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patrick_weber01_sap_com/Documents/SAP IBP Planning UI/SAP IBP Excel/VBA/VBA GitHub/"/>
    </mc:Choice>
  </mc:AlternateContent>
  <xr:revisionPtr revIDLastSave="455" documentId="8_{AAA8C92F-AAAC-4F8F-9068-B604B68F25E7}" xr6:coauthVersionLast="45" xr6:coauthVersionMax="45" xr10:uidLastSave="{83F72CA8-ADFA-4D75-9A4A-F7D0D789BF0E}"/>
  <bookViews>
    <workbookView xWindow="-120" yWindow="-120" windowWidth="29040" windowHeight="15840" xr2:uid="{AFCA2548-B1F5-46A5-AD5E-5890557E352A}"/>
  </bookViews>
  <sheets>
    <sheet name="Sheet1" sheetId="2" r:id="rId1"/>
    <sheet name="Sheet1 (2)" sheetId="3" r:id="rId2"/>
  </sheets>
  <functionGroups builtInGroupCount="19"/>
  <definedNames>
    <definedName name="__FPMExcelClient_Connection" localSheetId="0">"{A63CB8EE-6674-452e-ACA5-65D5174D689E}_[https://pt6-001.wdf.sap.corp/sap/sop/sopfnd/services/addin/excel/]_[SOP]_[PW4CONF]_[]_[]_[false]_[True]\1"</definedName>
    <definedName name="__FPMExcelClient_Connection" localSheetId="1">"{A63CB8EE-6674-452e-ACA5-65D5174D689E}_[https://pt6-001.wdf.sap.corp/sap/sop/sopfnd/services/addin/excel/]_[SOP]_[PW4CONF]_[]_[]_[false]_[True]\1"</definedName>
    <definedName name="EPMWorkbookOptions_1" hidden="1">"IAEAAB+LCAAAAAAAAAqFj7EOgjAURXcT/6HpDgVNHEiBQUcNJgy61vKABmhJWymfLxohUQfX+87Ju5emY9eiAbQRSsY49AOMQHJVCFnF+G5LL9zhNFmv6EXp5qZUk/V2Qg2aPGmi0YgY19b2ESHOOd9tfaUrsgmCkFxPx5zX0DFPSGOZ5IAXq/hv4ekrQnTfAtMHZlkmczZAUrLWACXf8YudO561ssAtFDP9e/jkXYHIc+QCvlcmDz7HneUg"</definedName>
    <definedName name="EPMWorkbookOptions_2" hidden="1">"AQAA"</definedName>
    <definedName name="SOP_Connection_Name">"PT6 PW4CONF"</definedName>
    <definedName name="SOP_Filter" localSheetId="0">{" "}</definedName>
    <definedName name="SOP_Filter" localSheetId="1">{" "}</definedName>
    <definedName name="SOP_Filter_Criteria_Count" localSheetId="0">0</definedName>
    <definedName name="SOP_Filter_Criteria_Count" localSheetId="1">0</definedName>
    <definedName name="SOP_Filter_Name" localSheetId="0">"(None)"</definedName>
    <definedName name="SOP_Filter_Name" localSheetId="1">"(None)"</definedName>
    <definedName name="SOP_Heading1" localSheetId="0">"Key Figure"</definedName>
    <definedName name="SOP_Heading1" localSheetId="1">"Key Figure"</definedName>
    <definedName name="SOP_Heading10" localSheetId="0">" "</definedName>
    <definedName name="SOP_Heading10" localSheetId="1">" "</definedName>
    <definedName name="SOP_Heading11" localSheetId="0">" "</definedName>
    <definedName name="SOP_Heading11" localSheetId="1">" "</definedName>
    <definedName name="SOP_Heading12" localSheetId="0">" "</definedName>
    <definedName name="SOP_Heading12" localSheetId="1">" "</definedName>
    <definedName name="SOP_Heading13" localSheetId="0">" "</definedName>
    <definedName name="SOP_Heading13" localSheetId="1">" "</definedName>
    <definedName name="SOP_Heading14" localSheetId="0">" "</definedName>
    <definedName name="SOP_Heading14" localSheetId="1">" "</definedName>
    <definedName name="SOP_Heading15" localSheetId="0">" "</definedName>
    <definedName name="SOP_Heading15" localSheetId="1">" "</definedName>
    <definedName name="SOP_Heading2" localSheetId="0">"Customer ID"</definedName>
    <definedName name="SOP_Heading2" localSheetId="1">"Customer ID"</definedName>
    <definedName name="SOP_Heading3" localSheetId="0">"Product ID"</definedName>
    <definedName name="SOP_Heading3" localSheetId="1">"Product ID"</definedName>
    <definedName name="SOP_Heading4" localSheetId="0">" "</definedName>
    <definedName name="SOP_Heading4" localSheetId="1">" "</definedName>
    <definedName name="SOP_Heading5" localSheetId="0">" "</definedName>
    <definedName name="SOP_Heading5" localSheetId="1">" "</definedName>
    <definedName name="SOP_Heading6" localSheetId="0">" "</definedName>
    <definedName name="SOP_Heading6" localSheetId="1">" "</definedName>
    <definedName name="SOP_Heading7" localSheetId="0">" "</definedName>
    <definedName name="SOP_Heading7" localSheetId="1">" "</definedName>
    <definedName name="SOP_Heading8" localSheetId="0">" "</definedName>
    <definedName name="SOP_Heading8" localSheetId="1">" "</definedName>
    <definedName name="SOP_Heading9" localSheetId="0">" "</definedName>
    <definedName name="SOP_Heading9" localSheetId="1">" "</definedName>
    <definedName name="SOP_Planning_Area">"PW4CONF"</definedName>
    <definedName name="SOP_Planning_Scope">"20.08.2021 - 10.08.2023 | Baseline | Base Version"</definedName>
    <definedName name="SOP_Refresh_Timestamp">44414.5892939815</definedName>
    <definedName name="SOP_TargetCurrency" localSheetId="1">" "</definedName>
    <definedName name="SOP_TargetUoM" localSheetId="1">" "</definedName>
    <definedName name="SOP_Value_Based_Filter" localSheetId="0">{" "}</definedName>
    <definedName name="SOP_Value_Based_Filter" localSheetId="1">{" "}</definedName>
    <definedName name="SOP_Value_Based_Filter_Name" localSheetId="0">"(None)"</definedName>
    <definedName name="SOP_Value_Based_Filter_Name" localSheetId="1">"(None)"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5" i="3" l="1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DE15" i="3"/>
  <c r="DF15" i="3"/>
  <c r="DG15" i="3"/>
  <c r="DH15" i="3"/>
  <c r="DI15" i="3"/>
  <c r="DJ15" i="3"/>
  <c r="DK15" i="3"/>
  <c r="DL15" i="3"/>
  <c r="DM15" i="3"/>
  <c r="DN15" i="3"/>
  <c r="DO15" i="3"/>
  <c r="DP15" i="3"/>
  <c r="DQ15" i="3"/>
  <c r="DR15" i="3"/>
  <c r="DS15" i="3"/>
  <c r="DT15" i="3"/>
  <c r="DU15" i="3"/>
  <c r="DV15" i="3"/>
  <c r="DW15" i="3"/>
  <c r="DX15" i="3"/>
  <c r="DY15" i="3"/>
  <c r="DZ15" i="3"/>
  <c r="EA15" i="3"/>
  <c r="EB15" i="3"/>
  <c r="EC15" i="3"/>
  <c r="ED15" i="3"/>
  <c r="EE15" i="3"/>
  <c r="EF15" i="3"/>
  <c r="EG15" i="3"/>
  <c r="EH15" i="3"/>
  <c r="EI15" i="3"/>
  <c r="EJ15" i="3"/>
  <c r="EK15" i="3"/>
  <c r="EL15" i="3"/>
  <c r="EM15" i="3"/>
  <c r="EN15" i="3"/>
  <c r="EO15" i="3"/>
  <c r="EP15" i="3"/>
  <c r="EQ15" i="3"/>
  <c r="ER15" i="3"/>
  <c r="ES15" i="3"/>
  <c r="ET15" i="3"/>
  <c r="EU15" i="3"/>
  <c r="EV15" i="3"/>
  <c r="EW15" i="3"/>
  <c r="EX15" i="3"/>
  <c r="EY15" i="3"/>
  <c r="EZ15" i="3"/>
  <c r="FA15" i="3"/>
  <c r="FB15" i="3"/>
  <c r="FC15" i="3"/>
  <c r="FD15" i="3"/>
  <c r="FE15" i="3"/>
  <c r="I15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DE13" i="3"/>
  <c r="DF13" i="3"/>
  <c r="DG13" i="3"/>
  <c r="DH13" i="3"/>
  <c r="DI13" i="3"/>
  <c r="DJ13" i="3"/>
  <c r="DK13" i="3"/>
  <c r="DL13" i="3"/>
  <c r="DM13" i="3"/>
  <c r="DN13" i="3"/>
  <c r="DO13" i="3"/>
  <c r="DP13" i="3"/>
  <c r="DQ13" i="3"/>
  <c r="DR13" i="3"/>
  <c r="DS13" i="3"/>
  <c r="DT13" i="3"/>
  <c r="DU13" i="3"/>
  <c r="DV13" i="3"/>
  <c r="DW13" i="3"/>
  <c r="DX13" i="3"/>
  <c r="DY13" i="3"/>
  <c r="DZ13" i="3"/>
  <c r="EA13" i="3"/>
  <c r="EB13" i="3"/>
  <c r="EC13" i="3"/>
  <c r="ED13" i="3"/>
  <c r="EE13" i="3"/>
  <c r="EF13" i="3"/>
  <c r="EG13" i="3"/>
  <c r="EH13" i="3"/>
  <c r="EI13" i="3"/>
  <c r="EJ13" i="3"/>
  <c r="EK13" i="3"/>
  <c r="EL13" i="3"/>
  <c r="EM13" i="3"/>
  <c r="EN13" i="3"/>
  <c r="EO13" i="3"/>
  <c r="EP13" i="3"/>
  <c r="EQ13" i="3"/>
  <c r="ER13" i="3"/>
  <c r="ES13" i="3"/>
  <c r="ET13" i="3"/>
  <c r="EU13" i="3"/>
  <c r="EV13" i="3"/>
  <c r="EW13" i="3"/>
  <c r="EX13" i="3"/>
  <c r="EY13" i="3"/>
  <c r="EZ13" i="3"/>
  <c r="FA13" i="3"/>
  <c r="FB13" i="3"/>
  <c r="FC13" i="3"/>
  <c r="FD13" i="3"/>
  <c r="FE13" i="3"/>
  <c r="I13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DE11" i="3"/>
  <c r="DF11" i="3"/>
  <c r="DG11" i="3"/>
  <c r="DH11" i="3"/>
  <c r="DI11" i="3"/>
  <c r="DJ11" i="3"/>
  <c r="DK11" i="3"/>
  <c r="DL11" i="3"/>
  <c r="DM11" i="3"/>
  <c r="DN11" i="3"/>
  <c r="DO11" i="3"/>
  <c r="DP11" i="3"/>
  <c r="DQ11" i="3"/>
  <c r="DR11" i="3"/>
  <c r="DS11" i="3"/>
  <c r="DT11" i="3"/>
  <c r="DU11" i="3"/>
  <c r="DV11" i="3"/>
  <c r="DW11" i="3"/>
  <c r="DX11" i="3"/>
  <c r="DY11" i="3"/>
  <c r="DZ11" i="3"/>
  <c r="EA11" i="3"/>
  <c r="EB11" i="3"/>
  <c r="EC11" i="3"/>
  <c r="ED11" i="3"/>
  <c r="EE11" i="3"/>
  <c r="EF11" i="3"/>
  <c r="EG11" i="3"/>
  <c r="EH11" i="3"/>
  <c r="EI11" i="3"/>
  <c r="EJ11" i="3"/>
  <c r="EK11" i="3"/>
  <c r="EL11" i="3"/>
  <c r="EM11" i="3"/>
  <c r="EN11" i="3"/>
  <c r="EO11" i="3"/>
  <c r="EP11" i="3"/>
  <c r="EQ11" i="3"/>
  <c r="ER11" i="3"/>
  <c r="ES11" i="3"/>
  <c r="ET11" i="3"/>
  <c r="EU11" i="3"/>
  <c r="EV11" i="3"/>
  <c r="EW11" i="3"/>
  <c r="EX11" i="3"/>
  <c r="EY11" i="3"/>
  <c r="EZ11" i="3"/>
  <c r="FA11" i="3"/>
  <c r="FB11" i="3"/>
  <c r="FC11" i="3"/>
  <c r="FD11" i="3"/>
  <c r="FE11" i="3"/>
  <c r="I11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DE9" i="3"/>
  <c r="DF9" i="3"/>
  <c r="DG9" i="3"/>
  <c r="DH9" i="3"/>
  <c r="DI9" i="3"/>
  <c r="DJ9" i="3"/>
  <c r="DK9" i="3"/>
  <c r="DL9" i="3"/>
  <c r="DM9" i="3"/>
  <c r="DN9" i="3"/>
  <c r="DO9" i="3"/>
  <c r="DP9" i="3"/>
  <c r="DQ9" i="3"/>
  <c r="DR9" i="3"/>
  <c r="DS9" i="3"/>
  <c r="DT9" i="3"/>
  <c r="DU9" i="3"/>
  <c r="DV9" i="3"/>
  <c r="DW9" i="3"/>
  <c r="DX9" i="3"/>
  <c r="DY9" i="3"/>
  <c r="DZ9" i="3"/>
  <c r="EA9" i="3"/>
  <c r="EB9" i="3"/>
  <c r="EC9" i="3"/>
  <c r="ED9" i="3"/>
  <c r="EE9" i="3"/>
  <c r="EF9" i="3"/>
  <c r="EG9" i="3"/>
  <c r="EH9" i="3"/>
  <c r="EI9" i="3"/>
  <c r="EJ9" i="3"/>
  <c r="EK9" i="3"/>
  <c r="EL9" i="3"/>
  <c r="EM9" i="3"/>
  <c r="EN9" i="3"/>
  <c r="EO9" i="3"/>
  <c r="EP9" i="3"/>
  <c r="EQ9" i="3"/>
  <c r="ER9" i="3"/>
  <c r="ES9" i="3"/>
  <c r="ET9" i="3"/>
  <c r="EU9" i="3"/>
  <c r="EV9" i="3"/>
  <c r="EW9" i="3"/>
  <c r="EX9" i="3"/>
  <c r="EY9" i="3"/>
  <c r="EZ9" i="3"/>
  <c r="FA9" i="3"/>
  <c r="FB9" i="3"/>
  <c r="FC9" i="3"/>
  <c r="FD9" i="3"/>
  <c r="FE9" i="3"/>
  <c r="I9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DE7" i="3"/>
  <c r="DF7" i="3"/>
  <c r="DG7" i="3"/>
  <c r="DH7" i="3"/>
  <c r="DI7" i="3"/>
  <c r="DJ7" i="3"/>
  <c r="DK7" i="3"/>
  <c r="DL7" i="3"/>
  <c r="DM7" i="3"/>
  <c r="DN7" i="3"/>
  <c r="DO7" i="3"/>
  <c r="DP7" i="3"/>
  <c r="DQ7" i="3"/>
  <c r="DR7" i="3"/>
  <c r="DS7" i="3"/>
  <c r="DT7" i="3"/>
  <c r="DU7" i="3"/>
  <c r="DV7" i="3"/>
  <c r="DW7" i="3"/>
  <c r="DX7" i="3"/>
  <c r="DY7" i="3"/>
  <c r="DZ7" i="3"/>
  <c r="EA7" i="3"/>
  <c r="EB7" i="3"/>
  <c r="EC7" i="3"/>
  <c r="ED7" i="3"/>
  <c r="EE7" i="3"/>
  <c r="EF7" i="3"/>
  <c r="EG7" i="3"/>
  <c r="EH7" i="3"/>
  <c r="EI7" i="3"/>
  <c r="EJ7" i="3"/>
  <c r="EK7" i="3"/>
  <c r="EL7" i="3"/>
  <c r="EM7" i="3"/>
  <c r="EN7" i="3"/>
  <c r="EO7" i="3"/>
  <c r="EP7" i="3"/>
  <c r="EQ7" i="3"/>
  <c r="ER7" i="3"/>
  <c r="ES7" i="3"/>
  <c r="ET7" i="3"/>
  <c r="EU7" i="3"/>
  <c r="EV7" i="3"/>
  <c r="EW7" i="3"/>
  <c r="EX7" i="3"/>
  <c r="EY7" i="3"/>
  <c r="EZ7" i="3"/>
  <c r="FA7" i="3"/>
  <c r="FB7" i="3"/>
  <c r="FC7" i="3"/>
  <c r="FD7" i="3"/>
  <c r="FE7" i="3"/>
  <c r="I7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DR5" i="3"/>
  <c r="DS5" i="3"/>
  <c r="DT5" i="3"/>
  <c r="DU5" i="3"/>
  <c r="DV5" i="3"/>
  <c r="DW5" i="3"/>
  <c r="DX5" i="3"/>
  <c r="DY5" i="3"/>
  <c r="DZ5" i="3"/>
  <c r="EA5" i="3"/>
  <c r="EB5" i="3"/>
  <c r="EC5" i="3"/>
  <c r="ED5" i="3"/>
  <c r="EE5" i="3"/>
  <c r="EF5" i="3"/>
  <c r="EG5" i="3"/>
  <c r="EH5" i="3"/>
  <c r="EI5" i="3"/>
  <c r="EJ5" i="3"/>
  <c r="EK5" i="3"/>
  <c r="EL5" i="3"/>
  <c r="EM5" i="3"/>
  <c r="EN5" i="3"/>
  <c r="EO5" i="3"/>
  <c r="EP5" i="3"/>
  <c r="EQ5" i="3"/>
  <c r="ER5" i="3"/>
  <c r="ES5" i="3"/>
  <c r="ET5" i="3"/>
  <c r="EU5" i="3"/>
  <c r="EV5" i="3"/>
  <c r="EW5" i="3"/>
  <c r="EX5" i="3"/>
  <c r="EY5" i="3"/>
  <c r="EZ5" i="3"/>
  <c r="FA5" i="3"/>
  <c r="FB5" i="3"/>
  <c r="FC5" i="3"/>
  <c r="FD5" i="3"/>
  <c r="FE5" i="3"/>
  <c r="I5" i="3"/>
  <c r="H3" i="3"/>
  <c r="G3" i="3"/>
  <c r="F3" i="3"/>
  <c r="E3" i="3"/>
  <c r="C3" i="3"/>
  <c r="B3" i="3"/>
  <c r="H4" i="3"/>
  <c r="H9" i="3"/>
  <c r="F14" i="3"/>
  <c r="M3" i="3"/>
  <c r="U3" i="3"/>
  <c r="AC3" i="3"/>
  <c r="AK3" i="3"/>
  <c r="AS3" i="3"/>
  <c r="BA3" i="3"/>
  <c r="BI3" i="3"/>
  <c r="BQ3" i="3"/>
  <c r="BY3" i="3"/>
  <c r="CG3" i="3"/>
  <c r="CO3" i="3"/>
  <c r="CW3" i="3"/>
  <c r="DE3" i="3"/>
  <c r="DM3" i="3"/>
  <c r="DU3" i="3"/>
  <c r="EC3" i="3"/>
  <c r="EK3" i="3"/>
  <c r="ES3" i="3"/>
  <c r="FA3" i="3"/>
  <c r="AE3" i="3"/>
  <c r="BS3" i="3"/>
  <c r="CQ3" i="3"/>
  <c r="DW3" i="3"/>
  <c r="EM3" i="3"/>
  <c r="G12" i="3"/>
  <c r="AX3" i="3"/>
  <c r="CL3" i="3"/>
  <c r="EP3" i="3"/>
  <c r="K3" i="3"/>
  <c r="BG3" i="3"/>
  <c r="DK3" i="3"/>
  <c r="H13" i="3"/>
  <c r="BX3" i="3"/>
  <c r="EB3" i="3"/>
  <c r="H5" i="3"/>
  <c r="G10" i="3"/>
  <c r="G14" i="3"/>
  <c r="N3" i="3"/>
  <c r="V3" i="3"/>
  <c r="AD3" i="3"/>
  <c r="AL3" i="3"/>
  <c r="AT3" i="3"/>
  <c r="BB3" i="3"/>
  <c r="BJ3" i="3"/>
  <c r="BR3" i="3"/>
  <c r="BZ3" i="3"/>
  <c r="CH3" i="3"/>
  <c r="CP3" i="3"/>
  <c r="CX3" i="3"/>
  <c r="DF3" i="3"/>
  <c r="DN3" i="3"/>
  <c r="DV3" i="3"/>
  <c r="ED3" i="3"/>
  <c r="EL3" i="3"/>
  <c r="ET3" i="3"/>
  <c r="FB3" i="3"/>
  <c r="H10" i="3"/>
  <c r="H14" i="3"/>
  <c r="O3" i="3"/>
  <c r="AM3" i="3"/>
  <c r="AU3" i="3"/>
  <c r="BK3" i="3"/>
  <c r="CA3" i="3"/>
  <c r="CY3" i="3"/>
  <c r="DO3" i="3"/>
  <c r="EU3" i="3"/>
  <c r="F8" i="3"/>
  <c r="AH3" i="3"/>
  <c r="BV3" i="3"/>
  <c r="DB3" i="3"/>
  <c r="EH3" i="3"/>
  <c r="G8" i="3"/>
  <c r="AI3" i="3"/>
  <c r="CE3" i="3"/>
  <c r="DS3" i="3"/>
  <c r="EY3" i="3"/>
  <c r="AB3" i="3"/>
  <c r="AZ3" i="3"/>
  <c r="CF3" i="3"/>
  <c r="DL3" i="3"/>
  <c r="G6" i="3"/>
  <c r="W3" i="3"/>
  <c r="BC3" i="3"/>
  <c r="CI3" i="3"/>
  <c r="DG3" i="3"/>
  <c r="EE3" i="3"/>
  <c r="FC3" i="3"/>
  <c r="J3" i="3"/>
  <c r="BN3" i="3"/>
  <c r="DR3" i="3"/>
  <c r="F4" i="3"/>
  <c r="AQ3" i="3"/>
  <c r="CM3" i="3"/>
  <c r="EQ3" i="3"/>
  <c r="G4" i="3"/>
  <c r="AJ3" i="3"/>
  <c r="CV3" i="3"/>
  <c r="EZ3" i="3"/>
  <c r="H6" i="3"/>
  <c r="H11" i="3"/>
  <c r="H15" i="3"/>
  <c r="P3" i="3"/>
  <c r="X3" i="3"/>
  <c r="AF3" i="3"/>
  <c r="AN3" i="3"/>
  <c r="AV3" i="3"/>
  <c r="BD3" i="3"/>
  <c r="BL3" i="3"/>
  <c r="BT3" i="3"/>
  <c r="CB3" i="3"/>
  <c r="CJ3" i="3"/>
  <c r="CR3" i="3"/>
  <c r="CZ3" i="3"/>
  <c r="DH3" i="3"/>
  <c r="DP3" i="3"/>
  <c r="DX3" i="3"/>
  <c r="EF3" i="3"/>
  <c r="EN3" i="3"/>
  <c r="EV3" i="3"/>
  <c r="FD3" i="3"/>
  <c r="Z3" i="3"/>
  <c r="BF3" i="3"/>
  <c r="CT3" i="3"/>
  <c r="DZ3" i="3"/>
  <c r="H12" i="3"/>
  <c r="AY3" i="3"/>
  <c r="CU3" i="3"/>
  <c r="EI3" i="3"/>
  <c r="L3" i="3"/>
  <c r="BP3" i="3"/>
  <c r="EJ3" i="3"/>
  <c r="H7" i="3"/>
  <c r="F12" i="3"/>
  <c r="I3" i="3"/>
  <c r="Q3" i="3"/>
  <c r="Y3" i="3"/>
  <c r="AG3" i="3"/>
  <c r="AO3" i="3"/>
  <c r="AW3" i="3"/>
  <c r="BE3" i="3"/>
  <c r="BM3" i="3"/>
  <c r="BU3" i="3"/>
  <c r="CC3" i="3"/>
  <c r="CK3" i="3"/>
  <c r="CS3" i="3"/>
  <c r="DA3" i="3"/>
  <c r="DI3" i="3"/>
  <c r="DQ3" i="3"/>
  <c r="DY3" i="3"/>
  <c r="EG3" i="3"/>
  <c r="EO3" i="3"/>
  <c r="EW3" i="3"/>
  <c r="FE3" i="3"/>
  <c r="R3" i="3"/>
  <c r="AP3" i="3"/>
  <c r="CD3" i="3"/>
  <c r="DJ3" i="3"/>
  <c r="EX3" i="3"/>
  <c r="S3" i="3"/>
  <c r="AA3" i="3"/>
  <c r="BO3" i="3"/>
  <c r="DC3" i="3"/>
  <c r="EA3" i="3"/>
  <c r="H8" i="3"/>
  <c r="AR3" i="3"/>
  <c r="CN3" i="3"/>
  <c r="DT3" i="3"/>
  <c r="BW3" i="3"/>
  <c r="T3" i="3"/>
  <c r="BH3" i="3"/>
  <c r="DD3" i="3"/>
  <c r="ER3" i="3"/>
  <c r="J13" i="2" l="1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DB13" i="2"/>
  <c r="DC13" i="2"/>
  <c r="DD13" i="2"/>
  <c r="DE13" i="2"/>
  <c r="DF13" i="2"/>
  <c r="DG13" i="2"/>
  <c r="DH13" i="2"/>
  <c r="DI13" i="2"/>
  <c r="DJ13" i="2"/>
  <c r="DK13" i="2"/>
  <c r="DL13" i="2"/>
  <c r="DM13" i="2"/>
  <c r="DN13" i="2"/>
  <c r="DO13" i="2"/>
  <c r="DP13" i="2"/>
  <c r="DQ13" i="2"/>
  <c r="DR13" i="2"/>
  <c r="DS13" i="2"/>
  <c r="DT13" i="2"/>
  <c r="DU13" i="2"/>
  <c r="DV13" i="2"/>
  <c r="DW13" i="2"/>
  <c r="DX13" i="2"/>
  <c r="DY13" i="2"/>
  <c r="DZ13" i="2"/>
  <c r="EA13" i="2"/>
  <c r="EB13" i="2"/>
  <c r="EC13" i="2"/>
  <c r="ED13" i="2"/>
  <c r="EE13" i="2"/>
  <c r="EF13" i="2"/>
  <c r="EG13" i="2"/>
  <c r="EH13" i="2"/>
  <c r="EI13" i="2"/>
  <c r="EJ13" i="2"/>
  <c r="EK13" i="2"/>
  <c r="EL13" i="2"/>
  <c r="EM13" i="2"/>
  <c r="EN13" i="2"/>
  <c r="EO13" i="2"/>
  <c r="EP13" i="2"/>
  <c r="EQ13" i="2"/>
  <c r="ER13" i="2"/>
  <c r="ES13" i="2"/>
  <c r="ET13" i="2"/>
  <c r="EU13" i="2"/>
  <c r="EV13" i="2"/>
  <c r="EW13" i="2"/>
  <c r="EX13" i="2"/>
  <c r="EY13" i="2"/>
  <c r="EZ13" i="2"/>
  <c r="FA13" i="2"/>
  <c r="FB13" i="2"/>
  <c r="FC13" i="2"/>
  <c r="FD13" i="2"/>
  <c r="FE13" i="2"/>
  <c r="I13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DB11" i="2"/>
  <c r="DC11" i="2"/>
  <c r="DD11" i="2"/>
  <c r="DE11" i="2"/>
  <c r="DF11" i="2"/>
  <c r="DG11" i="2"/>
  <c r="DH11" i="2"/>
  <c r="DI11" i="2"/>
  <c r="DJ11" i="2"/>
  <c r="DK11" i="2"/>
  <c r="DL11" i="2"/>
  <c r="DM11" i="2"/>
  <c r="DN11" i="2"/>
  <c r="DO11" i="2"/>
  <c r="DP11" i="2"/>
  <c r="DQ11" i="2"/>
  <c r="DR11" i="2"/>
  <c r="DS11" i="2"/>
  <c r="DT11" i="2"/>
  <c r="DU11" i="2"/>
  <c r="DV11" i="2"/>
  <c r="DW11" i="2"/>
  <c r="DX11" i="2"/>
  <c r="DY11" i="2"/>
  <c r="DZ11" i="2"/>
  <c r="EA11" i="2"/>
  <c r="EB11" i="2"/>
  <c r="EC11" i="2"/>
  <c r="ED11" i="2"/>
  <c r="EE11" i="2"/>
  <c r="EF11" i="2"/>
  <c r="EG11" i="2"/>
  <c r="EH11" i="2"/>
  <c r="EI11" i="2"/>
  <c r="EJ11" i="2"/>
  <c r="EK11" i="2"/>
  <c r="EL11" i="2"/>
  <c r="EM11" i="2"/>
  <c r="EN11" i="2"/>
  <c r="EO11" i="2"/>
  <c r="EP11" i="2"/>
  <c r="EQ11" i="2"/>
  <c r="ER11" i="2"/>
  <c r="ES11" i="2"/>
  <c r="ET11" i="2"/>
  <c r="EU11" i="2"/>
  <c r="EV11" i="2"/>
  <c r="EW11" i="2"/>
  <c r="EX11" i="2"/>
  <c r="EY11" i="2"/>
  <c r="EZ11" i="2"/>
  <c r="FA11" i="2"/>
  <c r="FB11" i="2"/>
  <c r="FC11" i="2"/>
  <c r="FD11" i="2"/>
  <c r="FE11" i="2"/>
  <c r="I11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DB9" i="2"/>
  <c r="DC9" i="2"/>
  <c r="DD9" i="2"/>
  <c r="DE9" i="2"/>
  <c r="DF9" i="2"/>
  <c r="DG9" i="2"/>
  <c r="DH9" i="2"/>
  <c r="DI9" i="2"/>
  <c r="DJ9" i="2"/>
  <c r="DK9" i="2"/>
  <c r="DL9" i="2"/>
  <c r="DM9" i="2"/>
  <c r="DN9" i="2"/>
  <c r="DO9" i="2"/>
  <c r="DP9" i="2"/>
  <c r="DQ9" i="2"/>
  <c r="DR9" i="2"/>
  <c r="DS9" i="2"/>
  <c r="DT9" i="2"/>
  <c r="DU9" i="2"/>
  <c r="DV9" i="2"/>
  <c r="DW9" i="2"/>
  <c r="DX9" i="2"/>
  <c r="DY9" i="2"/>
  <c r="DZ9" i="2"/>
  <c r="EA9" i="2"/>
  <c r="EB9" i="2"/>
  <c r="EC9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S9" i="2"/>
  <c r="ET9" i="2"/>
  <c r="EU9" i="2"/>
  <c r="EV9" i="2"/>
  <c r="EW9" i="2"/>
  <c r="EX9" i="2"/>
  <c r="EY9" i="2"/>
  <c r="EZ9" i="2"/>
  <c r="FA9" i="2"/>
  <c r="FB9" i="2"/>
  <c r="FC9" i="2"/>
  <c r="FD9" i="2"/>
  <c r="FE9" i="2"/>
  <c r="I9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DB7" i="2"/>
  <c r="DC7" i="2"/>
  <c r="DD7" i="2"/>
  <c r="DE7" i="2"/>
  <c r="DF7" i="2"/>
  <c r="DG7" i="2"/>
  <c r="DH7" i="2"/>
  <c r="DI7" i="2"/>
  <c r="DJ7" i="2"/>
  <c r="DK7" i="2"/>
  <c r="DL7" i="2"/>
  <c r="DM7" i="2"/>
  <c r="DN7" i="2"/>
  <c r="DO7" i="2"/>
  <c r="DP7" i="2"/>
  <c r="DQ7" i="2"/>
  <c r="DR7" i="2"/>
  <c r="DS7" i="2"/>
  <c r="DT7" i="2"/>
  <c r="DU7" i="2"/>
  <c r="DV7" i="2"/>
  <c r="DW7" i="2"/>
  <c r="DX7" i="2"/>
  <c r="DY7" i="2"/>
  <c r="DZ7" i="2"/>
  <c r="EA7" i="2"/>
  <c r="EB7" i="2"/>
  <c r="EC7" i="2"/>
  <c r="ED7" i="2"/>
  <c r="EE7" i="2"/>
  <c r="EF7" i="2"/>
  <c r="EG7" i="2"/>
  <c r="EH7" i="2"/>
  <c r="EI7" i="2"/>
  <c r="EJ7" i="2"/>
  <c r="EK7" i="2"/>
  <c r="EL7" i="2"/>
  <c r="EM7" i="2"/>
  <c r="EN7" i="2"/>
  <c r="EO7" i="2"/>
  <c r="EP7" i="2"/>
  <c r="EQ7" i="2"/>
  <c r="ER7" i="2"/>
  <c r="ES7" i="2"/>
  <c r="ET7" i="2"/>
  <c r="EU7" i="2"/>
  <c r="EV7" i="2"/>
  <c r="EW7" i="2"/>
  <c r="EX7" i="2"/>
  <c r="EY7" i="2"/>
  <c r="EZ7" i="2"/>
  <c r="FA7" i="2"/>
  <c r="FB7" i="2"/>
  <c r="FC7" i="2"/>
  <c r="FD7" i="2"/>
  <c r="FE7" i="2"/>
  <c r="I7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EC5" i="2"/>
  <c r="ED5" i="2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S5" i="2"/>
  <c r="ET5" i="2"/>
  <c r="EU5" i="2"/>
  <c r="EV5" i="2"/>
  <c r="EW5" i="2"/>
  <c r="EX5" i="2"/>
  <c r="EY5" i="2"/>
  <c r="EZ5" i="2"/>
  <c r="FA5" i="2"/>
  <c r="FB5" i="2"/>
  <c r="FC5" i="2"/>
  <c r="FD5" i="2"/>
  <c r="FE5" i="2"/>
  <c r="I5" i="2"/>
  <c r="G12" i="2"/>
  <c r="F4" i="2"/>
  <c r="H7" i="2"/>
  <c r="H9" i="2"/>
  <c r="G8" i="2"/>
  <c r="H12" i="2"/>
  <c r="H6" i="2"/>
  <c r="G4" i="2"/>
  <c r="H8" i="2"/>
  <c r="G6" i="2"/>
  <c r="H11" i="2"/>
  <c r="G10" i="2"/>
  <c r="H13" i="2"/>
  <c r="H10" i="2"/>
  <c r="H5" i="2"/>
  <c r="F12" i="2"/>
  <c r="F8" i="2"/>
  <c r="H4" i="2"/>
  <c r="F3" i="2" l="1"/>
  <c r="G3" i="2"/>
  <c r="H3" i="2"/>
  <c r="B3" i="2"/>
  <c r="C3" i="2"/>
  <c r="E3" i="2"/>
  <c r="AN3" i="2"/>
  <c r="AF3" i="2"/>
  <c r="EC3" i="2"/>
  <c r="CR3" i="2"/>
  <c r="BQ3" i="2"/>
  <c r="AK3" i="2"/>
  <c r="EO3" i="2"/>
  <c r="EL3" i="2"/>
  <c r="DC3" i="2"/>
  <c r="BF3" i="2"/>
  <c r="CN3" i="2"/>
  <c r="FE3" i="2"/>
  <c r="CQ3" i="2"/>
  <c r="EY3" i="2"/>
  <c r="BH3" i="2"/>
  <c r="CD3" i="2"/>
  <c r="S3" i="2"/>
  <c r="L3" i="2"/>
  <c r="EP3" i="2"/>
  <c r="O3" i="2"/>
  <c r="J3" i="2"/>
  <c r="DI3" i="2"/>
  <c r="EZ3" i="2"/>
  <c r="N3" i="2"/>
  <c r="EK3" i="2"/>
  <c r="CZ3" i="2"/>
  <c r="U3" i="2"/>
  <c r="EE3" i="2"/>
  <c r="CY3" i="2"/>
  <c r="BV3" i="2"/>
  <c r="T3" i="2"/>
  <c r="BA3" i="2"/>
  <c r="EB3" i="2"/>
  <c r="DO3" i="2"/>
  <c r="BJ3" i="2"/>
  <c r="AW3" i="2"/>
  <c r="BP3" i="2"/>
  <c r="BL3" i="2"/>
  <c r="EH3" i="2"/>
  <c r="EN3" i="2"/>
  <c r="CK3" i="2"/>
  <c r="CW3" i="2"/>
  <c r="AS3" i="2"/>
  <c r="CI3" i="2"/>
  <c r="DF3" i="2"/>
  <c r="ES3" i="2"/>
  <c r="BZ3" i="2"/>
  <c r="BK3" i="2"/>
  <c r="AR3" i="2"/>
  <c r="P3" i="2"/>
  <c r="Y3" i="2"/>
  <c r="BR3" i="2"/>
  <c r="K3" i="2"/>
  <c r="ET3" i="2"/>
  <c r="AI3" i="2"/>
  <c r="CE3" i="2"/>
  <c r="FC3" i="2"/>
  <c r="AX3" i="2"/>
  <c r="BE3" i="2"/>
  <c r="DM3" i="2"/>
  <c r="AB3" i="2"/>
  <c r="BI3" i="2"/>
  <c r="BG3" i="2"/>
  <c r="EX3" i="2"/>
  <c r="BT3" i="2"/>
  <c r="EA3" i="2"/>
  <c r="BN3" i="2"/>
  <c r="AG3" i="2"/>
  <c r="CS3" i="2"/>
  <c r="DR3" i="2"/>
  <c r="CF3" i="2"/>
  <c r="DV3" i="2"/>
  <c r="EM3" i="2"/>
  <c r="CP3" i="2"/>
  <c r="DS3" i="2"/>
  <c r="DE3" i="2"/>
  <c r="ED3" i="2"/>
  <c r="AO3" i="2"/>
  <c r="DD3" i="2"/>
  <c r="BD3" i="2"/>
  <c r="CM3" i="2"/>
  <c r="FB3" i="2"/>
  <c r="ER3" i="2"/>
  <c r="DA3" i="2"/>
  <c r="CJ3" i="2"/>
  <c r="EU3" i="2"/>
  <c r="EI3" i="2"/>
  <c r="AQ3" i="2"/>
  <c r="AT3" i="2"/>
  <c r="DT3" i="2"/>
  <c r="CT3" i="2"/>
  <c r="AE3" i="2"/>
  <c r="DY3" i="2"/>
  <c r="EQ3" i="2"/>
  <c r="CV3" i="2"/>
  <c r="DW3" i="2"/>
  <c r="AY3" i="2"/>
  <c r="DH3" i="2"/>
  <c r="EF3" i="2"/>
  <c r="CC3" i="2"/>
  <c r="AP3" i="2"/>
  <c r="AJ3" i="2"/>
  <c r="AU3" i="2"/>
  <c r="AZ3" i="2"/>
  <c r="W3" i="2"/>
  <c r="FD3" i="2"/>
  <c r="FA3" i="2"/>
  <c r="DK3" i="2"/>
  <c r="CX3" i="2"/>
  <c r="EJ3" i="2"/>
  <c r="BC3" i="2"/>
  <c r="CB3" i="2"/>
  <c r="I3" i="2"/>
  <c r="CO3" i="2"/>
  <c r="X3" i="2"/>
  <c r="CA3" i="2"/>
  <c r="R3" i="2"/>
  <c r="V3" i="2"/>
  <c r="AC3" i="2"/>
  <c r="BB3" i="2"/>
  <c r="EG3" i="2"/>
  <c r="EV3" i="2"/>
  <c r="DG3" i="2"/>
  <c r="DL3" i="2"/>
  <c r="BU3" i="2"/>
  <c r="AL3" i="2"/>
  <c r="Z3" i="2"/>
  <c r="M3" i="2"/>
  <c r="BO3" i="2"/>
  <c r="DX3" i="2"/>
  <c r="AM3" i="2"/>
  <c r="AD3" i="2"/>
  <c r="Q3" i="2"/>
  <c r="DJ3" i="2"/>
  <c r="DN3" i="2"/>
  <c r="AV3" i="2"/>
  <c r="CG3" i="2"/>
  <c r="BM3" i="2"/>
  <c r="CU3" i="2"/>
  <c r="CL3" i="2"/>
  <c r="BY3" i="2"/>
  <c r="CH3" i="2"/>
  <c r="DQ3" i="2"/>
  <c r="EW3" i="2"/>
  <c r="DZ3" i="2"/>
  <c r="DP3" i="2"/>
  <c r="BS3" i="2"/>
  <c r="DU3" i="2"/>
  <c r="BX3" i="2"/>
  <c r="BW3" i="2"/>
  <c r="DB3" i="2"/>
  <c r="AA3" i="2"/>
  <c r="AH3" i="2"/>
</calcChain>
</file>

<file path=xl/sharedStrings.xml><?xml version="1.0" encoding="utf-8"?>
<sst xmlns="http://schemas.openxmlformats.org/spreadsheetml/2006/main" count="2" uniqueCount="1">
  <si>
    <t>[PERIODID0].[].[28793]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</si>
</sst>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Protection="1"/>
    <xf numFmtId="0" fontId="0" fillId="0" borderId="0" xfId="0" applyNumberFormat="1" applyProtection="1"/>
    <xf numFmtId="0" fontId="0" fillId="0" borderId="0" xfId="0" applyNumberFormat="1" applyAlignment="1" applyProtection="1"/>
    <xf numFmtId="0" fontId="0" fillId="0" borderId="0" xfId="0" applyProtection="1">
      <protection locked="0"/>
    </xf>
    <xf numFmtId="0" fontId="0" fillId="0" borderId="0" xfId="0" applyNumberFormat="1"/>
    <xf numFmtId="0" fontId="0" fillId="0" borderId="0" xfId="0" applyNumberForma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2049" name="AnalyzerDynReport000tb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2050" name="ConnectionDescriptorsInfotb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2051" name="MultipleReportManagerInfotb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2052" name="FPMExcelClientSheetOptionstb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2053" name="ReportSubmitManagerControltb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2054" name="ReportSubmitControl_1tb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238125</xdr:colOff>
      <xdr:row>18</xdr:row>
      <xdr:rowOff>0</xdr:rowOff>
    </xdr:from>
    <xdr:to>
      <xdr:col>15</xdr:col>
      <xdr:colOff>238125</xdr:colOff>
      <xdr:row>24</xdr:row>
      <xdr:rowOff>171450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133850" y="3429000"/>
          <a:ext cx="4057650" cy="1314450"/>
        </a:xfrm>
        <a:prstGeom prst="rect">
          <a:avLst/>
        </a:prstGeom>
        <a:solidFill>
          <a:sysClr val="window" lastClr="FFFFFF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This workbook is intended to get familiar with VBA functions available in SAP IBP. To test</a:t>
          </a:r>
          <a:r>
            <a:rPr lang="de-DE" sz="1100" baseline="0">
              <a:solidFill>
                <a:sysClr val="windowText" lastClr="000000"/>
              </a:solidFill>
            </a:rPr>
            <a:t> the coding, please select "Developer", "Visual Basic", "Modules", "Module1". Once you reached function "testIBPVBA()" and you have a planning view in place, you can create a breakpoint. Press the play button and debug the given coding. You can use the "Object Browser" to check dimensions and their values.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3073" name="AnalyzerDynReport000tb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3074" name="ConnectionDescriptorsInfotb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3075" name="MultipleReportManagerInfotb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3076" name="FPMExcelClientSheetOptionstb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3077" name="ReportSubmitManagerControltb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323850</xdr:colOff>
          <xdr:row>0</xdr:row>
          <xdr:rowOff>0</xdr:rowOff>
        </xdr:to>
        <xdr:sp macro="" textlink="">
          <xdr:nvSpPr>
            <xdr:cNvPr id="3078" name="ReportSubmitControl_1tb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238125</xdr:colOff>
      <xdr:row>18</xdr:row>
      <xdr:rowOff>0</xdr:rowOff>
    </xdr:from>
    <xdr:to>
      <xdr:col>15</xdr:col>
      <xdr:colOff>238125</xdr:colOff>
      <xdr:row>24</xdr:row>
      <xdr:rowOff>171450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133850" y="3429000"/>
          <a:ext cx="4057650" cy="1314450"/>
        </a:xfrm>
        <a:prstGeom prst="rect">
          <a:avLst/>
        </a:prstGeom>
        <a:solidFill>
          <a:sysClr val="window" lastClr="FFFFFF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This workbook is intended to get familiar with VBA functions available in SAP IBP. To test</a:t>
          </a:r>
          <a:r>
            <a:rPr lang="de-DE" sz="1100" baseline="0">
              <a:solidFill>
                <a:sysClr val="windowText" lastClr="000000"/>
              </a:solidFill>
            </a:rPr>
            <a:t> the coding, please select "Developer", "Visual Basic", "Modules", "Module1". Once you reached function "testIBPVBA()" and you have a planning view in place, you can create a breakpoint. Press the play button and debug the given coding. You can use the "Object Browser" to check dimensions and their values.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customProperty" Target="../customProperty2.bin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5.emf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10.xml"/><Relationship Id="rId18" Type="http://schemas.openxmlformats.org/officeDocument/2006/relationships/image" Target="../media/image12.emf"/><Relationship Id="rId3" Type="http://schemas.openxmlformats.org/officeDocument/2006/relationships/customProperty" Target="../customProperty5.bin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17" Type="http://schemas.openxmlformats.org/officeDocument/2006/relationships/control" Target="../activeX/activeX12.xml"/><Relationship Id="rId2" Type="http://schemas.openxmlformats.org/officeDocument/2006/relationships/customProperty" Target="../customProperty4.bin"/><Relationship Id="rId16" Type="http://schemas.openxmlformats.org/officeDocument/2006/relationships/image" Target="../media/image11.emf"/><Relationship Id="rId1" Type="http://schemas.openxmlformats.org/officeDocument/2006/relationships/printerSettings" Target="../printerSettings/printerSettings2.bin"/><Relationship Id="rId6" Type="http://schemas.openxmlformats.org/officeDocument/2006/relationships/vmlDrawing" Target="../drawings/vmlDrawing2.vml"/><Relationship Id="rId11" Type="http://schemas.openxmlformats.org/officeDocument/2006/relationships/control" Target="../activeX/activeX9.xml"/><Relationship Id="rId5" Type="http://schemas.openxmlformats.org/officeDocument/2006/relationships/drawing" Target="../drawings/drawing2.xml"/><Relationship Id="rId15" Type="http://schemas.openxmlformats.org/officeDocument/2006/relationships/control" Target="../activeX/activeX11.xml"/><Relationship Id="rId10" Type="http://schemas.openxmlformats.org/officeDocument/2006/relationships/image" Target="../media/image8.emf"/><Relationship Id="rId4" Type="http://schemas.openxmlformats.org/officeDocument/2006/relationships/customProperty" Target="../customProperty6.bin"/><Relationship Id="rId9" Type="http://schemas.openxmlformats.org/officeDocument/2006/relationships/control" Target="../activeX/activeX8.xml"/><Relationship Id="rId1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5FDB-22EE-4011-9D6B-2E877E0E21BE}">
  <sheetPr codeName="Sheet1"/>
  <dimension ref="B1:QK371"/>
  <sheetViews>
    <sheetView tabSelected="1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I3" sqref="I3"/>
    </sheetView>
  </sheetViews>
  <sheetFormatPr defaultRowHeight="15" x14ac:dyDescent="0.25"/>
  <cols>
    <col min="1" max="5" width="1.7109375" customWidth="1"/>
    <col min="6" max="6" width="10.140625" bestFit="1" customWidth="1"/>
    <col min="7" max="7" width="11.85546875" bestFit="1" customWidth="1"/>
    <col min="8" max="8" width="17.7109375" bestFit="1" customWidth="1"/>
    <col min="9" max="95" width="10.140625" bestFit="1" customWidth="1"/>
    <col min="96" max="97" width="11" bestFit="1" customWidth="1"/>
    <col min="98" max="98" width="10.140625" bestFit="1" customWidth="1"/>
    <col min="99" max="99" width="11" bestFit="1" customWidth="1"/>
    <col min="100" max="100" width="11.7109375" bestFit="1" customWidth="1"/>
    <col min="101" max="105" width="11" bestFit="1" customWidth="1"/>
    <col min="106" max="106" width="10.140625" bestFit="1" customWidth="1"/>
    <col min="107" max="112" width="11" bestFit="1" customWidth="1"/>
    <col min="113" max="114" width="10.140625" bestFit="1" customWidth="1"/>
    <col min="115" max="115" width="11" bestFit="1" customWidth="1"/>
    <col min="116" max="116" width="10.140625" bestFit="1" customWidth="1"/>
    <col min="117" max="123" width="11" bestFit="1" customWidth="1"/>
    <col min="124" max="124" width="10.140625" bestFit="1" customWidth="1"/>
    <col min="125" max="127" width="11" bestFit="1" customWidth="1"/>
    <col min="128" max="128" width="10.140625" bestFit="1" customWidth="1"/>
    <col min="129" max="146" width="11" bestFit="1" customWidth="1"/>
    <col min="147" max="147" width="10.140625" bestFit="1" customWidth="1"/>
    <col min="148" max="157" width="11" bestFit="1" customWidth="1"/>
    <col min="158" max="158" width="10.140625" bestFit="1" customWidth="1"/>
    <col min="159" max="160" width="11" bestFit="1" customWidth="1"/>
    <col min="161" max="339" width="10.140625" bestFit="1" customWidth="1"/>
    <col min="340" max="340" width="11" bestFit="1" customWidth="1"/>
    <col min="341" max="353" width="10.140625" bestFit="1" customWidth="1"/>
    <col min="354" max="354" width="21.140625" bestFit="1" customWidth="1"/>
    <col min="355" max="403" width="10.140625" bestFit="1" customWidth="1"/>
    <col min="404" max="410" width="11" bestFit="1" customWidth="1"/>
    <col min="411" max="453" width="9.28515625" bestFit="1" customWidth="1"/>
  </cols>
  <sheetData>
    <row r="1" spans="2:453" x14ac:dyDescent="0.25">
      <c r="B1" s="1"/>
      <c r="C1" s="1"/>
      <c r="D1" s="1"/>
      <c r="E1" s="1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1"/>
      <c r="OM1" s="1"/>
    </row>
    <row r="2" spans="2:453" x14ac:dyDescent="0.25">
      <c r="B2" s="1"/>
      <c r="C2" s="1"/>
      <c r="D2" s="3"/>
      <c r="E2" s="3"/>
      <c r="F2" s="3"/>
      <c r="G2" s="1"/>
      <c r="H2" s="1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 t="s">
        <v>0</v>
      </c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</row>
    <row r="3" spans="2:453" x14ac:dyDescent="0.25">
      <c r="B3" s="2" t="str">
        <f>SOP_Heading6</f>
        <v xml:space="preserve"> </v>
      </c>
      <c r="C3" s="2" t="str">
        <f>SOP_Heading5</f>
        <v xml:space="preserve"> </v>
      </c>
      <c r="E3" s="2" t="str">
        <f>SOP_Heading4</f>
        <v xml:space="preserve"> </v>
      </c>
      <c r="F3" s="2" t="str">
        <f>SOP_Heading3</f>
        <v>Product ID</v>
      </c>
      <c r="G3" s="2" t="str">
        <f>SOP_Heading2</f>
        <v>Customer ID</v>
      </c>
      <c r="H3" s="2" t="str">
        <f>SOP_Heading1</f>
        <v>Key Figure</v>
      </c>
      <c r="I3" s="2" t="str">
        <f xml:space="preserve"> _xll.EPMOlapMemberO("[PERIODID0].[].[28688]","","01.03.2021","","000")</f>
        <v>01.03.2021</v>
      </c>
      <c r="J3" s="2" t="str">
        <f xml:space="preserve"> _xll.EPMOlapMemberO("[PERIODID0].[].[28689]","","02.03.2021","","000")</f>
        <v>02.03.2021</v>
      </c>
      <c r="K3" s="2" t="str">
        <f xml:space="preserve"> _xll.EPMOlapMemberO("[PERIODID0].[].[28690]","","03.03.2021","","000")</f>
        <v>03.03.2021</v>
      </c>
      <c r="L3" s="2" t="str">
        <f xml:space="preserve"> _xll.EPMOlapMemberO("[PERIODID0].[].[28691]","","04.03.2021","","000")</f>
        <v>04.03.2021</v>
      </c>
      <c r="M3" s="2" t="str">
        <f xml:space="preserve"> _xll.EPMOlapMemberO("[PERIODID0].[].[28692]","","05.03.2021","","000")</f>
        <v>05.03.2021</v>
      </c>
      <c r="N3" s="2" t="str">
        <f xml:space="preserve"> _xll.EPMOlapMemberO("[PERIODID0].[].[28693]","","06.03.2021","","000")</f>
        <v>06.03.2021</v>
      </c>
      <c r="O3" s="2" t="str">
        <f xml:space="preserve"> _xll.EPMOlapMemberO("[PERIODID0].[].[28694]","","07.03.2021","","000")</f>
        <v>07.03.2021</v>
      </c>
      <c r="P3" s="2" t="str">
        <f xml:space="preserve"> _xll.EPMOlapMemberO("[PERIODID0].[].[28695]","","08.03.2021","","000")</f>
        <v>08.03.2021</v>
      </c>
      <c r="Q3" s="2" t="str">
        <f xml:space="preserve"> _xll.EPMOlapMemberO("[PERIODID0].[].[28696]","","09.03.2021","","000")</f>
        <v>09.03.2021</v>
      </c>
      <c r="R3" s="2" t="str">
        <f xml:space="preserve"> _xll.EPMOlapMemberO("[PERIODID0].[].[28697]","","10.03.2021","","000")</f>
        <v>10.03.2021</v>
      </c>
      <c r="S3" s="2" t="str">
        <f xml:space="preserve"> _xll.EPMOlapMemberO("[PERIODID0].[].[28698]","","11.03.2021","","000")</f>
        <v>11.03.2021</v>
      </c>
      <c r="T3" s="2" t="str">
        <f xml:space="preserve"> _xll.EPMOlapMemberO("[PERIODID0].[].[28699]","","12.03.2021","","000")</f>
        <v>12.03.2021</v>
      </c>
      <c r="U3" s="2" t="str">
        <f xml:space="preserve"> _xll.EPMOlapMemberO("[PERIODID0].[].[28700]","","13.03.2021","","000")</f>
        <v>13.03.2021</v>
      </c>
      <c r="V3" s="2" t="str">
        <f xml:space="preserve"> _xll.EPMOlapMemberO("[PERIODID0].[].[28701]","","14.03.2021","","000")</f>
        <v>14.03.2021</v>
      </c>
      <c r="W3" s="2" t="str">
        <f xml:space="preserve"> _xll.EPMOlapMemberO("[PERIODID0].[].[28702]","","15.03.2021","","000")</f>
        <v>15.03.2021</v>
      </c>
      <c r="X3" s="2" t="str">
        <f xml:space="preserve"> _xll.EPMOlapMemberO("[PERIODID0].[].[28703]","","16.03.2021","","000")</f>
        <v>16.03.2021</v>
      </c>
      <c r="Y3" s="2" t="str">
        <f xml:space="preserve"> _xll.EPMOlapMemberO("[PERIODID0].[].[28704]","","17.03.2021","","000")</f>
        <v>17.03.2021</v>
      </c>
      <c r="Z3" s="2" t="str">
        <f xml:space="preserve"> _xll.EPMOlapMemberO("[PERIODID0].[].[28705]","","18.03.2021","","000")</f>
        <v>18.03.2021</v>
      </c>
      <c r="AA3" s="2" t="str">
        <f xml:space="preserve"> _xll.EPMOlapMemberO("[PERIODID0].[].[28706]","","19.03.2021","","000")</f>
        <v>19.03.2021</v>
      </c>
      <c r="AB3" s="2" t="str">
        <f xml:space="preserve"> _xll.EPMOlapMemberO("[PERIODID0].[].[28707]","","20.03.2021","","000")</f>
        <v>20.03.2021</v>
      </c>
      <c r="AC3" s="2" t="str">
        <f xml:space="preserve"> _xll.EPMOlapMemberO("[PERIODID0].[].[28708]","","21.03.2021","","000")</f>
        <v>21.03.2021</v>
      </c>
      <c r="AD3" s="2" t="str">
        <f xml:space="preserve"> _xll.EPMOlapMemberO("[PERIODID0].[].[28709]","","22.03.2021","","000")</f>
        <v>22.03.2021</v>
      </c>
      <c r="AE3" s="2" t="str">
        <f xml:space="preserve"> _xll.EPMOlapMemberO("[PERIODID0].[].[28710]","","23.03.2021","","000")</f>
        <v>23.03.2021</v>
      </c>
      <c r="AF3" s="2" t="str">
        <f xml:space="preserve"> _xll.EPMOlapMemberO("[PERIODID0].[].[28711]","","24.03.2021","","000")</f>
        <v>24.03.2021</v>
      </c>
      <c r="AG3" s="2" t="str">
        <f xml:space="preserve"> _xll.EPMOlapMemberO("[PERIODID0].[].[28712]","","25.03.2021","","000")</f>
        <v>25.03.2021</v>
      </c>
      <c r="AH3" s="2" t="str">
        <f xml:space="preserve"> _xll.EPMOlapMemberO("[PERIODID0].[].[28713]","","26.03.2021","","000")</f>
        <v>26.03.2021</v>
      </c>
      <c r="AI3" s="2" t="str">
        <f xml:space="preserve"> _xll.EPMOlapMemberO("[PERIODID0].[].[28714]","","27.03.2021","","000")</f>
        <v>27.03.2021</v>
      </c>
      <c r="AJ3" s="2" t="str">
        <f xml:space="preserve"> _xll.EPMOlapMemberO("[PERIODID0].[].[28715]","","28.03.2021","","000")</f>
        <v>28.03.2021</v>
      </c>
      <c r="AK3" s="2" t="str">
        <f xml:space="preserve"> _xll.EPMOlapMemberO("[PERIODID0].[].[28716]","","29.03.2021","","000")</f>
        <v>29.03.2021</v>
      </c>
      <c r="AL3" s="2" t="str">
        <f xml:space="preserve"> _xll.EPMOlapMemberO("[PERIODID0].[].[28717]","","30.03.2021","","000")</f>
        <v>30.03.2021</v>
      </c>
      <c r="AM3" s="2" t="str">
        <f xml:space="preserve"> _xll.EPMOlapMemberO("[PERIODID0].[].[28718]","","31.03.2021","","000")</f>
        <v>31.03.2021</v>
      </c>
      <c r="AN3" s="2" t="str">
        <f xml:space="preserve"> _xll.EPMOlapMemberO("[PERIODID0].[].[28719]","","01.04.2021","","000")</f>
        <v>01.04.2021</v>
      </c>
      <c r="AO3" s="2" t="str">
        <f xml:space="preserve"> _xll.EPMOlapMemberO("[PERIODID0].[].[28720]","","02.04.2021","","000")</f>
        <v>02.04.2021</v>
      </c>
      <c r="AP3" s="2" t="str">
        <f xml:space="preserve"> _xll.EPMOlapMemberO("[PERIODID0].[].[28721]","","03.04.2021","","000")</f>
        <v>03.04.2021</v>
      </c>
      <c r="AQ3" s="2" t="str">
        <f xml:space="preserve"> _xll.EPMOlapMemberO("[PERIODID0].[].[28722]","","04.04.2021","","000")</f>
        <v>04.04.2021</v>
      </c>
      <c r="AR3" s="2" t="str">
        <f xml:space="preserve"> _xll.EPMOlapMemberO("[PERIODID0].[].[28723]","","05.04.2021","","000")</f>
        <v>05.04.2021</v>
      </c>
      <c r="AS3" s="2" t="str">
        <f xml:space="preserve"> _xll.EPMOlapMemberO("[PERIODID0].[].[28724]","","06.04.2021","","000")</f>
        <v>06.04.2021</v>
      </c>
      <c r="AT3" s="2" t="str">
        <f xml:space="preserve"> _xll.EPMOlapMemberO("[PERIODID0].[].[28725]","","07.04.2021","","000")</f>
        <v>07.04.2021</v>
      </c>
      <c r="AU3" s="2" t="str">
        <f xml:space="preserve"> _xll.EPMOlapMemberO("[PERIODID0].[].[28726]","","08.04.2021","","000")</f>
        <v>08.04.2021</v>
      </c>
      <c r="AV3" s="2" t="str">
        <f xml:space="preserve"> _xll.EPMOlapMemberO("[PERIODID0].[].[28727]","","09.04.2021","","000")</f>
        <v>09.04.2021</v>
      </c>
      <c r="AW3" s="2" t="str">
        <f xml:space="preserve"> _xll.EPMOlapMemberO("[PERIODID0].[].[28728]","","10.04.2021","","000")</f>
        <v>10.04.2021</v>
      </c>
      <c r="AX3" s="2" t="str">
        <f xml:space="preserve"> _xll.EPMOlapMemberO("[PERIODID0].[].[28729]","","11.04.2021","","000")</f>
        <v>11.04.2021</v>
      </c>
      <c r="AY3" s="2" t="str">
        <f xml:space="preserve"> _xll.EPMOlapMemberO("[PERIODID0].[].[28730]","","12.04.2021","","000")</f>
        <v>12.04.2021</v>
      </c>
      <c r="AZ3" s="2" t="str">
        <f xml:space="preserve"> _xll.EPMOlapMemberO("[PERIODID0].[].[28731]","","13.04.2021","","000")</f>
        <v>13.04.2021</v>
      </c>
      <c r="BA3" s="2" t="str">
        <f xml:space="preserve"> _xll.EPMOlapMemberO("[PERIODID0].[].[28732]","","14.04.2021","","000")</f>
        <v>14.04.2021</v>
      </c>
      <c r="BB3" s="2" t="str">
        <f xml:space="preserve"> _xll.EPMOlapMemberO("[PERIODID0].[].[28733]","","15.04.2021","","000")</f>
        <v>15.04.2021</v>
      </c>
      <c r="BC3" s="2" t="str">
        <f xml:space="preserve"> _xll.EPMOlapMemberO("[PERIODID0].[].[28734]","","16.04.2021","","000")</f>
        <v>16.04.2021</v>
      </c>
      <c r="BD3" s="2" t="str">
        <f xml:space="preserve"> _xll.EPMOlapMemberO("[PERIODID0].[].[28735]","","17.04.2021","","000")</f>
        <v>17.04.2021</v>
      </c>
      <c r="BE3" s="2" t="str">
        <f xml:space="preserve"> _xll.EPMOlapMemberO("[PERIODID0].[].[28736]","","18.04.2021","","000")</f>
        <v>18.04.2021</v>
      </c>
      <c r="BF3" s="2" t="str">
        <f xml:space="preserve"> _xll.EPMOlapMemberO("[PERIODID0].[].[28737]","","19.04.2021","","000")</f>
        <v>19.04.2021</v>
      </c>
      <c r="BG3" s="2" t="str">
        <f xml:space="preserve"> _xll.EPMOlapMemberO("[PERIODID0].[].[28738]","","20.04.2021","","000")</f>
        <v>20.04.2021</v>
      </c>
      <c r="BH3" s="2" t="str">
        <f xml:space="preserve"> _xll.EPMOlapMemberO("[PERIODID0].[].[28739]","","21.04.2021","","000")</f>
        <v>21.04.2021</v>
      </c>
      <c r="BI3" s="2" t="str">
        <f xml:space="preserve"> _xll.EPMOlapMemberO("[PERIODID0].[].[28740]","","22.04.2021","","000")</f>
        <v>22.04.2021</v>
      </c>
      <c r="BJ3" s="2" t="str">
        <f xml:space="preserve"> _xll.EPMOlapMemberO("[PERIODID0].[].[28741]","","23.04.2021","","000")</f>
        <v>23.04.2021</v>
      </c>
      <c r="BK3" s="2" t="str">
        <f xml:space="preserve"> _xll.EPMOlapMemberO("[PERIODID0].[].[28742]","","24.04.2021","","000")</f>
        <v>24.04.2021</v>
      </c>
      <c r="BL3" s="2" t="str">
        <f xml:space="preserve"> _xll.EPMOlapMemberO("[PERIODID0].[].[28743]","","25.04.2021","","000")</f>
        <v>25.04.2021</v>
      </c>
      <c r="BM3" s="2" t="str">
        <f xml:space="preserve"> _xll.EPMOlapMemberO("[PERIODID0].[].[28744]","","26.04.2021","","000")</f>
        <v>26.04.2021</v>
      </c>
      <c r="BN3" s="2" t="str">
        <f xml:space="preserve"> _xll.EPMOlapMemberO("[PERIODID0].[].[28745]","","27.04.2021","","000")</f>
        <v>27.04.2021</v>
      </c>
      <c r="BO3" s="2" t="str">
        <f xml:space="preserve"> _xll.EPMOlapMemberO("[PERIODID0].[].[28746]","","28.04.2021","","000")</f>
        <v>28.04.2021</v>
      </c>
      <c r="BP3" s="2" t="str">
        <f xml:space="preserve"> _xll.EPMOlapMemberO("[PERIODID0].[].[28747]","","29.04.2021","","000")</f>
        <v>29.04.2021</v>
      </c>
      <c r="BQ3" s="2" t="str">
        <f xml:space="preserve"> _xll.EPMOlapMemberO("[PERIODID0].[].[28748]","","30.04.2021","","000")</f>
        <v>30.04.2021</v>
      </c>
      <c r="BR3" s="2" t="str">
        <f xml:space="preserve"> _xll.EPMOlapMemberO("[PERIODID0].[].[28749]","","01.05.2021","","000")</f>
        <v>01.05.2021</v>
      </c>
      <c r="BS3" s="2" t="str">
        <f xml:space="preserve"> _xll.EPMOlapMemberO("[PERIODID0].[].[28750]","","02.05.2021","","000")</f>
        <v>02.05.2021</v>
      </c>
      <c r="BT3" s="2" t="str">
        <f xml:space="preserve"> _xll.EPMOlapMemberO("[PERIODID0].[].[28751]","","03.05.2021","","000")</f>
        <v>03.05.2021</v>
      </c>
      <c r="BU3" s="2" t="str">
        <f xml:space="preserve"> _xll.EPMOlapMemberO("[PERIODID0].[].[28752]","","04.05.2021","","000")</f>
        <v>04.05.2021</v>
      </c>
      <c r="BV3" s="2" t="str">
        <f xml:space="preserve"> _xll.EPMOlapMemberO("[PERIODID0].[].[28753]","","05.05.2021","","000")</f>
        <v>05.05.2021</v>
      </c>
      <c r="BW3" s="2" t="str">
        <f xml:space="preserve"> _xll.EPMOlapMemberO("[PERIODID0].[].[28754]","","06.05.2021","","000")</f>
        <v>06.05.2021</v>
      </c>
      <c r="BX3" s="2" t="str">
        <f xml:space="preserve"> _xll.EPMOlapMemberO("[PERIODID0].[].[28755]","","07.05.2021","","000")</f>
        <v>07.05.2021</v>
      </c>
      <c r="BY3" s="2" t="str">
        <f xml:space="preserve"> _xll.EPMOlapMemberO("[PERIODID0].[].[28756]","","08.05.2021","","000")</f>
        <v>08.05.2021</v>
      </c>
      <c r="BZ3" s="2" t="str">
        <f xml:space="preserve"> _xll.EPMOlapMemberO("[PERIODID0].[].[28757]","","09.05.2021","","000")</f>
        <v>09.05.2021</v>
      </c>
      <c r="CA3" s="2" t="str">
        <f xml:space="preserve"> _xll.EPMOlapMemberO("[PERIODID0].[].[28758]","","10.05.2021","","000")</f>
        <v>10.05.2021</v>
      </c>
      <c r="CB3" s="2" t="str">
        <f xml:space="preserve"> _xll.EPMOlapMemberO("[PERIODID0].[].[28759]","","11.05.2021","","000")</f>
        <v>11.05.2021</v>
      </c>
      <c r="CC3" s="2" t="str">
        <f xml:space="preserve"> _xll.EPMOlapMemberO("[PERIODID0].[].[28760]","","12.05.2021","","000")</f>
        <v>12.05.2021</v>
      </c>
      <c r="CD3" s="2" t="str">
        <f xml:space="preserve"> _xll.EPMOlapMemberO("[PERIODID0].[].[28761]","","13.05.2021","","000")</f>
        <v>13.05.2021</v>
      </c>
      <c r="CE3" s="2" t="str">
        <f xml:space="preserve"> _xll.EPMOlapMemberO("[PERIODID0].[].[28762]","","14.05.2021","","000")</f>
        <v>14.05.2021</v>
      </c>
      <c r="CF3" s="2" t="str">
        <f xml:space="preserve"> _xll.EPMOlapMemberO("[PERIODID0].[].[28763]","","15.05.2021","","000")</f>
        <v>15.05.2021</v>
      </c>
      <c r="CG3" s="2" t="str">
        <f xml:space="preserve"> _xll.EPMOlapMemberO("[PERIODID0].[].[28764]","","16.05.2021","","000")</f>
        <v>16.05.2021</v>
      </c>
      <c r="CH3" s="2" t="str">
        <f xml:space="preserve"> _xll.EPMOlapMemberO("[PERIODID0].[].[28765]","","17.05.2021","","000")</f>
        <v>17.05.2021</v>
      </c>
      <c r="CI3" s="2" t="str">
        <f xml:space="preserve"> _xll.EPMOlapMemberO("[PERIODID0].[].[28766]","","18.05.2021","","000")</f>
        <v>18.05.2021</v>
      </c>
      <c r="CJ3" s="2" t="str">
        <f xml:space="preserve"> _xll.EPMOlapMemberO("[PERIODID0].[].[28767]","","19.05.2021","","000")</f>
        <v>19.05.2021</v>
      </c>
      <c r="CK3" s="2" t="str">
        <f xml:space="preserve"> _xll.EPMOlapMemberO("[PERIODID0].[].[28768]","","20.05.2021","","000")</f>
        <v>20.05.2021</v>
      </c>
      <c r="CL3" s="2" t="str">
        <f xml:space="preserve"> _xll.EPMOlapMemberO("[PERIODID0].[].[28769]","","21.05.2021","","000")</f>
        <v>21.05.2021</v>
      </c>
      <c r="CM3" s="2" t="str">
        <f xml:space="preserve"> _xll.EPMOlapMemberO("[PERIODID0].[].[28770]","","22.05.2021","","000")</f>
        <v>22.05.2021</v>
      </c>
      <c r="CN3" s="2" t="str">
        <f xml:space="preserve"> _xll.EPMOlapMemberO("[PERIODID0].[].[28771]","","23.05.2021","","000")</f>
        <v>23.05.2021</v>
      </c>
      <c r="CO3" s="2" t="str">
        <f xml:space="preserve"> _xll.EPMOlapMemberO("[PERIODID0].[].[28772]","","24.05.2021","","000")</f>
        <v>24.05.2021</v>
      </c>
      <c r="CP3" s="2" t="str">
        <f xml:space="preserve"> _xll.EPMOlapMemberO("[PERIODID0].[].[28773]","","25.05.2021","","000")</f>
        <v>25.05.2021</v>
      </c>
      <c r="CQ3" s="2" t="str">
        <f xml:space="preserve"> _xll.EPMOlapMemberO("[PERIODID0].[].[28774]","","26.05.2021","","000")</f>
        <v>26.05.2021</v>
      </c>
      <c r="CR3" s="2" t="str">
        <f xml:space="preserve"> _xll.EPMOlapMemberO("[PERIODID0].[].[28775]","","27.05.2021","","000")</f>
        <v>27.05.2021</v>
      </c>
      <c r="CS3" s="2" t="str">
        <f xml:space="preserve"> _xll.EPMOlapMemberO("[PERIODID0].[].[28776]","","28.05.2021","","000")</f>
        <v>28.05.2021</v>
      </c>
      <c r="CT3" s="2" t="str">
        <f xml:space="preserve"> _xll.EPMOlapMemberO("[PERIODID0].[].[28777]","","29.05.2021","","000")</f>
        <v>29.05.2021</v>
      </c>
      <c r="CU3" s="2" t="str">
        <f xml:space="preserve"> _xll.EPMOlapMemberO("[PERIODID0].[].[28778]","","30.05.2021","","000")</f>
        <v>30.05.2021</v>
      </c>
      <c r="CV3" s="2" t="str">
        <f xml:space="preserve"> _xll.EPMOlapMemberO("[PERIODID0].[].[28779]","","31.05.2021","","000")</f>
        <v>31.05.2021</v>
      </c>
      <c r="CW3" s="2" t="str">
        <f xml:space="preserve"> _xll.EPMOlapMemberO("[PERIODID0].[].[28780]","","01.06.2021","","000")</f>
        <v>01.06.2021</v>
      </c>
      <c r="CX3" s="2" t="str">
        <f xml:space="preserve"> _xll.EPMOlapMemberO("[PERIODID0].[].[28781]","","02.06.2021","","000")</f>
        <v>02.06.2021</v>
      </c>
      <c r="CY3" s="2" t="str">
        <f xml:space="preserve"> _xll.EPMOlapMemberO("[PERIODID0].[].[28782]","","03.06.2021","","000")</f>
        <v>03.06.2021</v>
      </c>
      <c r="CZ3" s="2" t="str">
        <f xml:space="preserve"> _xll.EPMOlapMemberO("[PERIODID0].[].[28783]","","04.06.2021","","000")</f>
        <v>04.06.2021</v>
      </c>
      <c r="DA3" s="2" t="str">
        <f xml:space="preserve"> _xll.EPMOlapMemberO("[PERIODID0].[].[28784]","","05.06.2021","","000")</f>
        <v>05.06.2021</v>
      </c>
      <c r="DB3" s="2" t="str">
        <f xml:space="preserve"> _xll.EPMOlapMemberO("[PERIODID0].[].[28785]","","06.06.2021","","000")</f>
        <v>06.06.2021</v>
      </c>
      <c r="DC3" s="2" t="str">
        <f xml:space="preserve"> _xll.EPMOlapMemberO("[PERIODID0].[].[28786]","","07.06.2021","","000")</f>
        <v>07.06.2021</v>
      </c>
      <c r="DD3" s="2" t="str">
        <f xml:space="preserve"> _xll.EPMOlapMemberO("[PERIODID0].[].[28787]","","08.06.2021","","000")</f>
        <v>08.06.2021</v>
      </c>
      <c r="DE3" s="2" t="str">
        <f xml:space="preserve"> _xll.EPMOlapMemberO("[PERIODID0].[].[28788]","","09.06.2021","","000")</f>
        <v>09.06.2021</v>
      </c>
      <c r="DF3" s="2" t="str">
        <f xml:space="preserve"> _xll.EPMOlapMemberO("[PERIODID0].[].[28789]","","10.06.2021","","000")</f>
        <v>10.06.2021</v>
      </c>
      <c r="DG3" s="2" t="str">
        <f xml:space="preserve"> _xll.EPMOlapMemberO("[PERIODID0].[].[28790]","","11.06.2021","","000")</f>
        <v>11.06.2021</v>
      </c>
      <c r="DH3" s="2" t="str">
        <f xml:space="preserve"> _xll.EPMOlapMemberO("[PERIODID0].[].[28791]","","12.06.2021","","000")</f>
        <v>12.06.2021</v>
      </c>
      <c r="DI3" s="2" t="str">
        <f xml:space="preserve"> _xll.EPMOlapMemberO("[PERIODID0].[].[28792]","","13.06.2021","","000")</f>
        <v>13.06.2021</v>
      </c>
      <c r="DJ3" s="2" t="str">
        <f xml:space="preserve"> _xll.EPMOlapMemberO("[PERIODID0].[].[28793]","","14.06.2021","","000")</f>
        <v>14.06.2021</v>
      </c>
      <c r="DK3" s="2" t="str">
        <f xml:space="preserve"> _xll.EPMOlapMemberO("[PERIODID0].[].[28794]","","15.06.2021","","000")</f>
        <v>15.06.2021</v>
      </c>
      <c r="DL3" s="2" t="str">
        <f xml:space="preserve"> _xll.EPMOlapMemberO("[PERIODID0].[].[28795]","","16.06.2021","","000")</f>
        <v>16.06.2021</v>
      </c>
      <c r="DM3" s="2" t="str">
        <f xml:space="preserve"> _xll.EPMOlapMemberO("[PERIODID0].[].[28796]","","17.06.2021","","000")</f>
        <v>17.06.2021</v>
      </c>
      <c r="DN3" s="2" t="str">
        <f xml:space="preserve"> _xll.EPMOlapMemberO("[PERIODID0].[].[28797]","","18.06.2021","","000")</f>
        <v>18.06.2021</v>
      </c>
      <c r="DO3" s="2" t="str">
        <f xml:space="preserve"> _xll.EPMOlapMemberO("[PERIODID0].[].[28798]","","19.06.2021","","000")</f>
        <v>19.06.2021</v>
      </c>
      <c r="DP3" s="2" t="str">
        <f xml:space="preserve"> _xll.EPMOlapMemberO("[PERIODID0].[].[28799]","","20.06.2021","","000")</f>
        <v>20.06.2021</v>
      </c>
      <c r="DQ3" s="2" t="str">
        <f xml:space="preserve"> _xll.EPMOlapMemberO("[PERIODID0].[].[28800]","","21.06.2021","","000")</f>
        <v>21.06.2021</v>
      </c>
      <c r="DR3" s="2" t="str">
        <f xml:space="preserve"> _xll.EPMOlapMemberO("[PERIODID0].[].[28801]","","22.06.2021","","000")</f>
        <v>22.06.2021</v>
      </c>
      <c r="DS3" s="2" t="str">
        <f xml:space="preserve"> _xll.EPMOlapMemberO("[PERIODID0].[].[28802]","","23.06.2021","","000")</f>
        <v>23.06.2021</v>
      </c>
      <c r="DT3" s="2" t="str">
        <f xml:space="preserve"> _xll.EPMOlapMemberO("[PERIODID0].[].[28803]","","24.06.2021","","000")</f>
        <v>24.06.2021</v>
      </c>
      <c r="DU3" s="2" t="str">
        <f xml:space="preserve"> _xll.EPMOlapMemberO("[PERIODID0].[].[28804]","","25.06.2021","","000")</f>
        <v>25.06.2021</v>
      </c>
      <c r="DV3" s="2" t="str">
        <f xml:space="preserve"> _xll.EPMOlapMemberO("[PERIODID0].[].[28805]","","26.06.2021","","000")</f>
        <v>26.06.2021</v>
      </c>
      <c r="DW3" s="2" t="str">
        <f xml:space="preserve"> _xll.EPMOlapMemberO("[PERIODID0].[].[28806]","","27.06.2021","","000")</f>
        <v>27.06.2021</v>
      </c>
      <c r="DX3" s="2" t="str">
        <f xml:space="preserve"> _xll.EPMOlapMemberO("[PERIODID0].[].[28807]","","28.06.2021","","000")</f>
        <v>28.06.2021</v>
      </c>
      <c r="DY3" s="2" t="str">
        <f xml:space="preserve"> _xll.EPMOlapMemberO("[PERIODID0].[].[28808]","","29.06.2021","","000")</f>
        <v>29.06.2021</v>
      </c>
      <c r="DZ3" s="2" t="str">
        <f xml:space="preserve"> _xll.EPMOlapMemberO("[PERIODID0].[].[28809]","","30.06.2021","","000")</f>
        <v>30.06.2021</v>
      </c>
      <c r="EA3" s="2" t="str">
        <f xml:space="preserve"> _xll.EPMOlapMemberO("[PERIODID0].[].[28810]","","01.07.2021","","000")</f>
        <v>01.07.2021</v>
      </c>
      <c r="EB3" s="2" t="str">
        <f xml:space="preserve"> _xll.EPMOlapMemberO("[PERIODID0].[].[28811]","","02.07.2021","","000")</f>
        <v>02.07.2021</v>
      </c>
      <c r="EC3" s="2" t="str">
        <f xml:space="preserve"> _xll.EPMOlapMemberO("[PERIODID0].[].[28812]","","03.07.2021","","000")</f>
        <v>03.07.2021</v>
      </c>
      <c r="ED3" s="2" t="str">
        <f xml:space="preserve"> _xll.EPMOlapMemberO("[PERIODID0].[].[28813]","","04.07.2021","","000")</f>
        <v>04.07.2021</v>
      </c>
      <c r="EE3" s="2" t="str">
        <f xml:space="preserve"> _xll.EPMOlapMemberO("[PERIODID0].[].[28814]","","05.07.2021","","000")</f>
        <v>05.07.2021</v>
      </c>
      <c r="EF3" s="2" t="str">
        <f xml:space="preserve"> _xll.EPMOlapMemberO("[PERIODID0].[].[28815]","","06.07.2021","","000")</f>
        <v>06.07.2021</v>
      </c>
      <c r="EG3" s="2" t="str">
        <f xml:space="preserve"> _xll.EPMOlapMemberO("[PERIODID0].[].[28816]","","07.07.2021","","000")</f>
        <v>07.07.2021</v>
      </c>
      <c r="EH3" s="2" t="str">
        <f xml:space="preserve"> _xll.EPMOlapMemberO("[PERIODID0].[].[28817]","","08.07.2021","","000")</f>
        <v>08.07.2021</v>
      </c>
      <c r="EI3" s="2" t="str">
        <f xml:space="preserve"> _xll.EPMOlapMemberO("[PERIODID0].[].[28818]","","09.07.2021","","000")</f>
        <v>09.07.2021</v>
      </c>
      <c r="EJ3" s="2" t="str">
        <f xml:space="preserve"> _xll.EPMOlapMemberO("[PERIODID0].[].[28819]","","10.07.2021","","000")</f>
        <v>10.07.2021</v>
      </c>
      <c r="EK3" s="2" t="str">
        <f xml:space="preserve"> _xll.EPMOlapMemberO("[PERIODID0].[].[28820]","","11.07.2021","","000")</f>
        <v>11.07.2021</v>
      </c>
      <c r="EL3" s="2" t="str">
        <f xml:space="preserve"> _xll.EPMOlapMemberO("[PERIODID0].[].[28821]","","12.07.2021","","000")</f>
        <v>12.07.2021</v>
      </c>
      <c r="EM3" s="2" t="str">
        <f xml:space="preserve"> _xll.EPMOlapMemberO("[PERIODID0].[].[28822]","","13.07.2021","","000")</f>
        <v>13.07.2021</v>
      </c>
      <c r="EN3" s="2" t="str">
        <f xml:space="preserve"> _xll.EPMOlapMemberO("[PERIODID0].[].[28823]","","14.07.2021","","000")</f>
        <v>14.07.2021</v>
      </c>
      <c r="EO3" s="2" t="str">
        <f xml:space="preserve"> _xll.EPMOlapMemberO("[PERIODID0].[].[28824]","","15.07.2021","","000")</f>
        <v>15.07.2021</v>
      </c>
      <c r="EP3" s="2" t="str">
        <f xml:space="preserve"> _xll.EPMOlapMemberO("[PERIODID0].[].[28825]","","16.07.2021","","000")</f>
        <v>16.07.2021</v>
      </c>
      <c r="EQ3" s="2" t="str">
        <f xml:space="preserve"> _xll.EPMOlapMemberO("[PERIODID0].[].[28826]","","17.07.2021","","000")</f>
        <v>17.07.2021</v>
      </c>
      <c r="ER3" s="2" t="str">
        <f xml:space="preserve"> _xll.EPMOlapMemberO("[PERIODID0].[].[28827]","","18.07.2021","","000")</f>
        <v>18.07.2021</v>
      </c>
      <c r="ES3" s="2" t="str">
        <f xml:space="preserve"> _xll.EPMOlapMemberO("[PERIODID0].[].[28828]","","19.07.2021","","000")</f>
        <v>19.07.2021</v>
      </c>
      <c r="ET3" s="2" t="str">
        <f xml:space="preserve"> _xll.EPMOlapMemberO("[PERIODID0].[].[28829]","","20.07.2021","","000")</f>
        <v>20.07.2021</v>
      </c>
      <c r="EU3" s="2" t="str">
        <f xml:space="preserve"> _xll.EPMOlapMemberO("[PERIODID0].[].[28830]","","21.07.2021","","000")</f>
        <v>21.07.2021</v>
      </c>
      <c r="EV3" s="2" t="str">
        <f xml:space="preserve"> _xll.EPMOlapMemberO("[PERIODID0].[].[28831]","","22.07.2021","","000")</f>
        <v>22.07.2021</v>
      </c>
      <c r="EW3" s="2" t="str">
        <f xml:space="preserve"> _xll.EPMOlapMemberO("[PERIODID0].[].[28832]","","23.07.2021","","000")</f>
        <v>23.07.2021</v>
      </c>
      <c r="EX3" s="2" t="str">
        <f xml:space="preserve"> _xll.EPMOlapMemberO("[PERIODID0].[].[28833]","","24.07.2021","","000")</f>
        <v>24.07.2021</v>
      </c>
      <c r="EY3" s="2" t="str">
        <f xml:space="preserve"> _xll.EPMOlapMemberO("[PERIODID0].[].[28834]","","25.07.2021","","000")</f>
        <v>25.07.2021</v>
      </c>
      <c r="EZ3" s="2" t="str">
        <f xml:space="preserve"> _xll.EPMOlapMemberO("[PERIODID0].[].[28835]","","26.07.2021","","000")</f>
        <v>26.07.2021</v>
      </c>
      <c r="FA3" s="2" t="str">
        <f xml:space="preserve"> _xll.EPMOlapMemberO("[PERIODID0].[].[28836]","","27.07.2021","","000")</f>
        <v>27.07.2021</v>
      </c>
      <c r="FB3" s="2" t="str">
        <f xml:space="preserve"> _xll.EPMOlapMemberO("[PERIODID0].[].[28837]","","28.07.2021","","000")</f>
        <v>28.07.2021</v>
      </c>
      <c r="FC3" s="2" t="str">
        <f xml:space="preserve"> _xll.EPMOlapMemberO("[PERIODID0].[].[28838]","","29.07.2021","","000")</f>
        <v>29.07.2021</v>
      </c>
      <c r="FD3" s="2" t="str">
        <f xml:space="preserve"> _xll.EPMOlapMemberO("[PERIODID0].[].[28839]","","30.07.2021","","000")</f>
        <v>30.07.2021</v>
      </c>
      <c r="FE3" s="2" t="str">
        <f xml:space="preserve"> _xll.EPMOlapMemberO("[PERIODID0].[].[28840]","","31.07.2021","","000")</f>
        <v>31.07.2021</v>
      </c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</row>
    <row r="4" spans="2:453" x14ac:dyDescent="0.25">
      <c r="B4" s="1"/>
      <c r="C4" s="1"/>
      <c r="D4" s="3"/>
      <c r="E4" s="3"/>
      <c r="F4" s="3" t="str">
        <f xml:space="preserve"> _xll.EPMOlapMemberO("[PRDID].[].[IBP-100]","","IBP-100","","000")</f>
        <v>IBP-100</v>
      </c>
      <c r="G4" s="3" t="str">
        <f xml:space="preserve"> _xll.EPMOlapMemberO("[CUSTID].[].[CUST A]","","Customer A","","000")</f>
        <v>Customer A</v>
      </c>
      <c r="H4" s="3" t="str">
        <f xml:space="preserve"> _xll.EPMOlapMemberO("[KEY_FIGURES].[].[CONSENSUSDEMAND]","","Customer Demand","","000")</f>
        <v>Customer Demand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>
        <v>15.654044000000001</v>
      </c>
      <c r="CS4" s="4">
        <v>52.663547000000001</v>
      </c>
      <c r="CT4" s="4">
        <v>96.948644999999999</v>
      </c>
      <c r="CU4" s="4">
        <v>3.7709359999999998</v>
      </c>
      <c r="CV4" s="4">
        <v>330.962828</v>
      </c>
      <c r="CW4" s="4">
        <v>0.51881500000000003</v>
      </c>
      <c r="CX4" s="4">
        <v>86.586230999999998</v>
      </c>
      <c r="CY4" s="4">
        <v>56.219382000000003</v>
      </c>
      <c r="CZ4" s="4">
        <v>46.401300999999997</v>
      </c>
      <c r="DA4" s="4">
        <v>74.006718000000006</v>
      </c>
      <c r="DB4" s="4">
        <v>43.913646</v>
      </c>
      <c r="DC4" s="4">
        <v>46.411093000000001</v>
      </c>
      <c r="DD4" s="4">
        <v>66.115104000000002</v>
      </c>
      <c r="DE4" s="4">
        <v>73.340512000000004</v>
      </c>
      <c r="DF4" s="4">
        <v>49.919263000000001</v>
      </c>
      <c r="DG4" s="4">
        <v>29.775216</v>
      </c>
      <c r="DH4" s="4">
        <v>66.381474999999995</v>
      </c>
      <c r="DI4" s="4">
        <v>9.6579689999999996</v>
      </c>
      <c r="DJ4" s="4">
        <v>91.393929999999997</v>
      </c>
      <c r="DK4" s="4">
        <v>81.863364000000004</v>
      </c>
      <c r="DL4" s="4">
        <v>34.638162999999999</v>
      </c>
      <c r="DM4" s="4">
        <v>57.062894999999997</v>
      </c>
      <c r="DN4" s="4">
        <v>73.884043000000005</v>
      </c>
      <c r="DO4" s="4">
        <v>67.039333999999997</v>
      </c>
      <c r="DP4" s="4">
        <v>3.2558539999999998</v>
      </c>
      <c r="DQ4" s="4">
        <v>54.991720000000001</v>
      </c>
      <c r="DR4" s="4">
        <v>51.166232999999998</v>
      </c>
      <c r="DS4" s="4">
        <v>57.460450999999999</v>
      </c>
      <c r="DT4" s="4">
        <v>7.8394880000000002</v>
      </c>
      <c r="DU4" s="4">
        <v>38.469445</v>
      </c>
      <c r="DV4" s="4">
        <v>5.1942430000000002</v>
      </c>
      <c r="DW4" s="4">
        <v>93.780704999999998</v>
      </c>
      <c r="DX4" s="4">
        <v>8.762931</v>
      </c>
      <c r="DY4" s="4">
        <v>33.269880999999998</v>
      </c>
      <c r="DZ4" s="4">
        <v>2.2606220000000001</v>
      </c>
      <c r="EA4" s="4">
        <v>71.467622000000006</v>
      </c>
      <c r="EB4" s="4">
        <v>3.3881579999999998</v>
      </c>
      <c r="EC4" s="4">
        <v>75.858565999999996</v>
      </c>
      <c r="ED4" s="4">
        <v>62.495584000000001</v>
      </c>
      <c r="EE4" s="4">
        <v>3.8808389999999999</v>
      </c>
      <c r="EF4" s="4">
        <v>25.462734999999999</v>
      </c>
      <c r="EG4" s="4">
        <v>52.883837</v>
      </c>
      <c r="EH4" s="4">
        <v>22.520567</v>
      </c>
      <c r="EI4" s="4">
        <v>51.652845999999997</v>
      </c>
      <c r="EJ4" s="4">
        <v>94.903758999999994</v>
      </c>
      <c r="EK4" s="4">
        <v>50.510528999999998</v>
      </c>
      <c r="EL4" s="4">
        <v>69.517313999999999</v>
      </c>
      <c r="EM4" s="4">
        <v>12.535322000000001</v>
      </c>
      <c r="EN4" s="4">
        <v>76.750429999999994</v>
      </c>
      <c r="EO4" s="4">
        <v>100</v>
      </c>
      <c r="EP4" s="4">
        <v>43</v>
      </c>
      <c r="EQ4" s="4">
        <v>44</v>
      </c>
      <c r="ER4" s="4">
        <v>15.545209</v>
      </c>
      <c r="ES4" s="4">
        <v>5.6890289999999997</v>
      </c>
      <c r="ET4" s="4">
        <v>5.0274330000000003</v>
      </c>
      <c r="EU4" s="4">
        <v>27.498237</v>
      </c>
      <c r="EV4" s="4">
        <v>12.533916</v>
      </c>
      <c r="EW4" s="4">
        <v>55.097185000000003</v>
      </c>
      <c r="EX4" s="4">
        <v>83.904681999999994</v>
      </c>
      <c r="EY4" s="4">
        <v>55.727986000000001</v>
      </c>
      <c r="EZ4" s="4">
        <v>22.330062000000002</v>
      </c>
      <c r="FA4" s="4">
        <v>58.946983000000003</v>
      </c>
      <c r="FB4" s="4">
        <v>33.222875000000002</v>
      </c>
      <c r="FC4" s="4">
        <v>65.640292000000002</v>
      </c>
      <c r="FD4" s="4">
        <v>10.545674999999999</v>
      </c>
      <c r="FE4" s="4">
        <v>15.032798</v>
      </c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</row>
    <row r="5" spans="2:453" x14ac:dyDescent="0.25">
      <c r="B5" s="1"/>
      <c r="C5" s="1"/>
      <c r="D5" s="3"/>
      <c r="E5" s="3"/>
      <c r="F5" s="3"/>
      <c r="G5" s="3"/>
      <c r="H5" s="3" t="str">
        <f xml:space="preserve"> _xll.EPMLocalMember("Local member","000","000")</f>
        <v>Local member</v>
      </c>
      <c r="I5" s="4">
        <f>I4*2</f>
        <v>0</v>
      </c>
      <c r="J5" s="4">
        <f t="shared" ref="J5:BU5" si="0">J4*2</f>
        <v>0</v>
      </c>
      <c r="K5" s="4">
        <f t="shared" si="0"/>
        <v>0</v>
      </c>
      <c r="L5" s="4">
        <f t="shared" si="0"/>
        <v>0</v>
      </c>
      <c r="M5" s="4">
        <f t="shared" si="0"/>
        <v>0</v>
      </c>
      <c r="N5" s="4">
        <f t="shared" si="0"/>
        <v>0</v>
      </c>
      <c r="O5" s="4">
        <f t="shared" si="0"/>
        <v>0</v>
      </c>
      <c r="P5" s="4">
        <f t="shared" si="0"/>
        <v>0</v>
      </c>
      <c r="Q5" s="4">
        <f t="shared" si="0"/>
        <v>0</v>
      </c>
      <c r="R5" s="4">
        <f t="shared" si="0"/>
        <v>0</v>
      </c>
      <c r="S5" s="4">
        <f t="shared" si="0"/>
        <v>0</v>
      </c>
      <c r="T5" s="4">
        <f t="shared" si="0"/>
        <v>0</v>
      </c>
      <c r="U5" s="4">
        <f t="shared" si="0"/>
        <v>0</v>
      </c>
      <c r="V5" s="4">
        <f t="shared" si="0"/>
        <v>0</v>
      </c>
      <c r="W5" s="4">
        <f t="shared" si="0"/>
        <v>0</v>
      </c>
      <c r="X5" s="4">
        <f t="shared" si="0"/>
        <v>0</v>
      </c>
      <c r="Y5" s="4">
        <f t="shared" si="0"/>
        <v>0</v>
      </c>
      <c r="Z5" s="4">
        <f t="shared" si="0"/>
        <v>0</v>
      </c>
      <c r="AA5" s="4">
        <f t="shared" si="0"/>
        <v>0</v>
      </c>
      <c r="AB5" s="4">
        <f t="shared" si="0"/>
        <v>0</v>
      </c>
      <c r="AC5" s="4">
        <f t="shared" si="0"/>
        <v>0</v>
      </c>
      <c r="AD5" s="4">
        <f t="shared" si="0"/>
        <v>0</v>
      </c>
      <c r="AE5" s="4">
        <f t="shared" si="0"/>
        <v>0</v>
      </c>
      <c r="AF5" s="4">
        <f t="shared" si="0"/>
        <v>0</v>
      </c>
      <c r="AG5" s="4">
        <f t="shared" si="0"/>
        <v>0</v>
      </c>
      <c r="AH5" s="4">
        <f t="shared" si="0"/>
        <v>0</v>
      </c>
      <c r="AI5" s="4">
        <f t="shared" si="0"/>
        <v>0</v>
      </c>
      <c r="AJ5" s="4">
        <f t="shared" si="0"/>
        <v>0</v>
      </c>
      <c r="AK5" s="4">
        <f t="shared" si="0"/>
        <v>0</v>
      </c>
      <c r="AL5" s="4">
        <f t="shared" si="0"/>
        <v>0</v>
      </c>
      <c r="AM5" s="4">
        <f t="shared" si="0"/>
        <v>0</v>
      </c>
      <c r="AN5" s="4">
        <f t="shared" si="0"/>
        <v>0</v>
      </c>
      <c r="AO5" s="4">
        <f t="shared" si="0"/>
        <v>0</v>
      </c>
      <c r="AP5" s="4">
        <f t="shared" si="0"/>
        <v>0</v>
      </c>
      <c r="AQ5" s="4">
        <f t="shared" si="0"/>
        <v>0</v>
      </c>
      <c r="AR5" s="4">
        <f t="shared" si="0"/>
        <v>0</v>
      </c>
      <c r="AS5" s="4">
        <f t="shared" si="0"/>
        <v>0</v>
      </c>
      <c r="AT5" s="4">
        <f t="shared" si="0"/>
        <v>0</v>
      </c>
      <c r="AU5" s="4">
        <f t="shared" si="0"/>
        <v>0</v>
      </c>
      <c r="AV5" s="4">
        <f t="shared" si="0"/>
        <v>0</v>
      </c>
      <c r="AW5" s="4">
        <f t="shared" si="0"/>
        <v>0</v>
      </c>
      <c r="AX5" s="4">
        <f t="shared" si="0"/>
        <v>0</v>
      </c>
      <c r="AY5" s="4">
        <f t="shared" si="0"/>
        <v>0</v>
      </c>
      <c r="AZ5" s="4">
        <f t="shared" si="0"/>
        <v>0</v>
      </c>
      <c r="BA5" s="4">
        <f t="shared" si="0"/>
        <v>0</v>
      </c>
      <c r="BB5" s="4">
        <f t="shared" si="0"/>
        <v>0</v>
      </c>
      <c r="BC5" s="4">
        <f t="shared" si="0"/>
        <v>0</v>
      </c>
      <c r="BD5" s="4">
        <f t="shared" si="0"/>
        <v>0</v>
      </c>
      <c r="BE5" s="4">
        <f t="shared" si="0"/>
        <v>0</v>
      </c>
      <c r="BF5" s="4">
        <f t="shared" si="0"/>
        <v>0</v>
      </c>
      <c r="BG5" s="4">
        <f t="shared" si="0"/>
        <v>0</v>
      </c>
      <c r="BH5" s="4">
        <f t="shared" si="0"/>
        <v>0</v>
      </c>
      <c r="BI5" s="4">
        <f t="shared" si="0"/>
        <v>0</v>
      </c>
      <c r="BJ5" s="4">
        <f t="shared" si="0"/>
        <v>0</v>
      </c>
      <c r="BK5" s="4">
        <f t="shared" si="0"/>
        <v>0</v>
      </c>
      <c r="BL5" s="4">
        <f t="shared" si="0"/>
        <v>0</v>
      </c>
      <c r="BM5" s="4">
        <f t="shared" si="0"/>
        <v>0</v>
      </c>
      <c r="BN5" s="4">
        <f t="shared" si="0"/>
        <v>0</v>
      </c>
      <c r="BO5" s="4">
        <f t="shared" si="0"/>
        <v>0</v>
      </c>
      <c r="BP5" s="4">
        <f t="shared" si="0"/>
        <v>0</v>
      </c>
      <c r="BQ5" s="4">
        <f t="shared" si="0"/>
        <v>0</v>
      </c>
      <c r="BR5" s="4">
        <f t="shared" si="0"/>
        <v>0</v>
      </c>
      <c r="BS5" s="4">
        <f t="shared" si="0"/>
        <v>0</v>
      </c>
      <c r="BT5" s="4">
        <f t="shared" si="0"/>
        <v>0</v>
      </c>
      <c r="BU5" s="4">
        <f t="shared" si="0"/>
        <v>0</v>
      </c>
      <c r="BV5" s="4">
        <f t="shared" ref="BV5:EG5" si="1">BV4*2</f>
        <v>0</v>
      </c>
      <c r="BW5" s="4">
        <f t="shared" si="1"/>
        <v>0</v>
      </c>
      <c r="BX5" s="4">
        <f t="shared" si="1"/>
        <v>0</v>
      </c>
      <c r="BY5" s="4">
        <f t="shared" si="1"/>
        <v>0</v>
      </c>
      <c r="BZ5" s="4">
        <f t="shared" si="1"/>
        <v>0</v>
      </c>
      <c r="CA5" s="4">
        <f t="shared" si="1"/>
        <v>0</v>
      </c>
      <c r="CB5" s="4">
        <f t="shared" si="1"/>
        <v>0</v>
      </c>
      <c r="CC5" s="4">
        <f t="shared" si="1"/>
        <v>0</v>
      </c>
      <c r="CD5" s="4">
        <f t="shared" si="1"/>
        <v>0</v>
      </c>
      <c r="CE5" s="4">
        <f t="shared" si="1"/>
        <v>0</v>
      </c>
      <c r="CF5" s="4">
        <f t="shared" si="1"/>
        <v>0</v>
      </c>
      <c r="CG5" s="4">
        <f t="shared" si="1"/>
        <v>0</v>
      </c>
      <c r="CH5" s="4">
        <f t="shared" si="1"/>
        <v>0</v>
      </c>
      <c r="CI5" s="4">
        <f t="shared" si="1"/>
        <v>0</v>
      </c>
      <c r="CJ5" s="4">
        <f t="shared" si="1"/>
        <v>0</v>
      </c>
      <c r="CK5" s="4">
        <f t="shared" si="1"/>
        <v>0</v>
      </c>
      <c r="CL5" s="4">
        <f t="shared" si="1"/>
        <v>0</v>
      </c>
      <c r="CM5" s="4">
        <f t="shared" si="1"/>
        <v>0</v>
      </c>
      <c r="CN5" s="4">
        <f t="shared" si="1"/>
        <v>0</v>
      </c>
      <c r="CO5" s="4">
        <f t="shared" si="1"/>
        <v>0</v>
      </c>
      <c r="CP5" s="4">
        <f t="shared" si="1"/>
        <v>0</v>
      </c>
      <c r="CQ5" s="4">
        <f t="shared" si="1"/>
        <v>0</v>
      </c>
      <c r="CR5" s="4">
        <f t="shared" si="1"/>
        <v>31.308088000000001</v>
      </c>
      <c r="CS5" s="4">
        <f t="shared" si="1"/>
        <v>105.327094</v>
      </c>
      <c r="CT5" s="4">
        <f t="shared" si="1"/>
        <v>193.89729</v>
      </c>
      <c r="CU5" s="4">
        <f t="shared" si="1"/>
        <v>7.5418719999999997</v>
      </c>
      <c r="CV5" s="4">
        <f t="shared" si="1"/>
        <v>661.925656</v>
      </c>
      <c r="CW5" s="4">
        <f t="shared" si="1"/>
        <v>1.0376300000000001</v>
      </c>
      <c r="CX5" s="4">
        <f t="shared" si="1"/>
        <v>173.172462</v>
      </c>
      <c r="CY5" s="4">
        <f t="shared" si="1"/>
        <v>112.43876400000001</v>
      </c>
      <c r="CZ5" s="4">
        <f t="shared" si="1"/>
        <v>92.802601999999993</v>
      </c>
      <c r="DA5" s="4">
        <f t="shared" si="1"/>
        <v>148.01343600000001</v>
      </c>
      <c r="DB5" s="4">
        <f t="shared" si="1"/>
        <v>87.827292</v>
      </c>
      <c r="DC5" s="4">
        <f t="shared" si="1"/>
        <v>92.822186000000002</v>
      </c>
      <c r="DD5" s="4">
        <f t="shared" si="1"/>
        <v>132.230208</v>
      </c>
      <c r="DE5" s="4">
        <f t="shared" si="1"/>
        <v>146.68102400000001</v>
      </c>
      <c r="DF5" s="4">
        <f t="shared" si="1"/>
        <v>99.838526000000002</v>
      </c>
      <c r="DG5" s="4">
        <f t="shared" si="1"/>
        <v>59.550432000000001</v>
      </c>
      <c r="DH5" s="4">
        <f t="shared" si="1"/>
        <v>132.76294999999999</v>
      </c>
      <c r="DI5" s="4">
        <f t="shared" si="1"/>
        <v>19.315937999999999</v>
      </c>
      <c r="DJ5" s="4">
        <f t="shared" si="1"/>
        <v>182.78785999999999</v>
      </c>
      <c r="DK5" s="4">
        <f t="shared" si="1"/>
        <v>163.72672800000001</v>
      </c>
      <c r="DL5" s="4">
        <f t="shared" si="1"/>
        <v>69.276325999999997</v>
      </c>
      <c r="DM5" s="4">
        <f t="shared" si="1"/>
        <v>114.12578999999999</v>
      </c>
      <c r="DN5" s="4">
        <f t="shared" si="1"/>
        <v>147.76808600000001</v>
      </c>
      <c r="DO5" s="4">
        <f t="shared" si="1"/>
        <v>134.07866799999999</v>
      </c>
      <c r="DP5" s="4">
        <f t="shared" si="1"/>
        <v>6.5117079999999996</v>
      </c>
      <c r="DQ5" s="4">
        <f t="shared" si="1"/>
        <v>109.98344</v>
      </c>
      <c r="DR5" s="4">
        <f t="shared" si="1"/>
        <v>102.332466</v>
      </c>
      <c r="DS5" s="4">
        <f t="shared" si="1"/>
        <v>114.920902</v>
      </c>
      <c r="DT5" s="4">
        <f t="shared" si="1"/>
        <v>15.678976</v>
      </c>
      <c r="DU5" s="4">
        <f t="shared" si="1"/>
        <v>76.938890000000001</v>
      </c>
      <c r="DV5" s="4">
        <f t="shared" si="1"/>
        <v>10.388486</v>
      </c>
      <c r="DW5" s="4">
        <f t="shared" si="1"/>
        <v>187.56141</v>
      </c>
      <c r="DX5" s="4">
        <f t="shared" si="1"/>
        <v>17.525862</v>
      </c>
      <c r="DY5" s="4">
        <f t="shared" si="1"/>
        <v>66.539761999999996</v>
      </c>
      <c r="DZ5" s="4">
        <f t="shared" si="1"/>
        <v>4.5212440000000003</v>
      </c>
      <c r="EA5" s="4">
        <f t="shared" si="1"/>
        <v>142.93524400000001</v>
      </c>
      <c r="EB5" s="4">
        <f t="shared" si="1"/>
        <v>6.7763159999999996</v>
      </c>
      <c r="EC5" s="4">
        <f t="shared" si="1"/>
        <v>151.71713199999999</v>
      </c>
      <c r="ED5" s="4">
        <f t="shared" si="1"/>
        <v>124.991168</v>
      </c>
      <c r="EE5" s="4">
        <f t="shared" si="1"/>
        <v>7.7616779999999999</v>
      </c>
      <c r="EF5" s="4">
        <f t="shared" si="1"/>
        <v>50.925469999999997</v>
      </c>
      <c r="EG5" s="4">
        <f t="shared" si="1"/>
        <v>105.767674</v>
      </c>
      <c r="EH5" s="4">
        <f t="shared" ref="EH5:FE5" si="2">EH4*2</f>
        <v>45.041134</v>
      </c>
      <c r="EI5" s="4">
        <f t="shared" si="2"/>
        <v>103.30569199999999</v>
      </c>
      <c r="EJ5" s="4">
        <f t="shared" si="2"/>
        <v>189.80751799999999</v>
      </c>
      <c r="EK5" s="4">
        <f t="shared" si="2"/>
        <v>101.021058</v>
      </c>
      <c r="EL5" s="4">
        <f t="shared" si="2"/>
        <v>139.034628</v>
      </c>
      <c r="EM5" s="4">
        <f t="shared" si="2"/>
        <v>25.070644000000001</v>
      </c>
      <c r="EN5" s="4">
        <f t="shared" si="2"/>
        <v>153.50085999999999</v>
      </c>
      <c r="EO5" s="4">
        <f t="shared" si="2"/>
        <v>200</v>
      </c>
      <c r="EP5" s="4">
        <f t="shared" si="2"/>
        <v>86</v>
      </c>
      <c r="EQ5" s="4">
        <f t="shared" si="2"/>
        <v>88</v>
      </c>
      <c r="ER5" s="4">
        <f t="shared" si="2"/>
        <v>31.090418</v>
      </c>
      <c r="ES5" s="4">
        <f t="shared" si="2"/>
        <v>11.378057999999999</v>
      </c>
      <c r="ET5" s="4">
        <f t="shared" si="2"/>
        <v>10.054866000000001</v>
      </c>
      <c r="EU5" s="4">
        <f t="shared" si="2"/>
        <v>54.996473999999999</v>
      </c>
      <c r="EV5" s="4">
        <f t="shared" si="2"/>
        <v>25.067831999999999</v>
      </c>
      <c r="EW5" s="4">
        <f t="shared" si="2"/>
        <v>110.19437000000001</v>
      </c>
      <c r="EX5" s="4">
        <f t="shared" si="2"/>
        <v>167.80936399999999</v>
      </c>
      <c r="EY5" s="4">
        <f t="shared" si="2"/>
        <v>111.455972</v>
      </c>
      <c r="EZ5" s="4">
        <f t="shared" si="2"/>
        <v>44.660124000000003</v>
      </c>
      <c r="FA5" s="4">
        <f t="shared" si="2"/>
        <v>117.89396600000001</v>
      </c>
      <c r="FB5" s="4">
        <f t="shared" si="2"/>
        <v>66.445750000000004</v>
      </c>
      <c r="FC5" s="4">
        <f t="shared" si="2"/>
        <v>131.280584</v>
      </c>
      <c r="FD5" s="4">
        <f t="shared" si="2"/>
        <v>21.091349999999998</v>
      </c>
      <c r="FE5" s="4">
        <f t="shared" si="2"/>
        <v>30.065595999999999</v>
      </c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</row>
    <row r="6" spans="2:453" x14ac:dyDescent="0.25">
      <c r="B6" s="1"/>
      <c r="C6" s="1"/>
      <c r="D6" s="3"/>
      <c r="E6" s="3"/>
      <c r="F6" s="3"/>
      <c r="G6" s="3" t="str">
        <f xml:space="preserve"> _xll.EPMOlapMemberO("[CUSTID].[].[CUST B]","","Customer B","","000")</f>
        <v>Customer B</v>
      </c>
      <c r="H6" s="3" t="str">
        <f xml:space="preserve"> _xll.EPMOlapMemberO("[KEY_FIGURES].[].[CONSENSUSDEMAND]","","Customer Demand","","000")</f>
        <v>Customer Demand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>
        <v>21.954702000000001</v>
      </c>
      <c r="CS6" s="4">
        <v>43.623156000000002</v>
      </c>
      <c r="CT6" s="4">
        <v>93.793599999999998</v>
      </c>
      <c r="CU6" s="4">
        <v>61.364139999999999</v>
      </c>
      <c r="CV6" s="4">
        <v>41.225873999999997</v>
      </c>
      <c r="CW6" s="4">
        <v>55.296776999999999</v>
      </c>
      <c r="CX6" s="4">
        <v>26.992156000000001</v>
      </c>
      <c r="CY6" s="4">
        <v>15.008834</v>
      </c>
      <c r="CZ6" s="4">
        <v>39.850417</v>
      </c>
      <c r="DA6" s="4">
        <v>75.721513999999999</v>
      </c>
      <c r="DB6" s="4">
        <v>31.487492</v>
      </c>
      <c r="DC6" s="4">
        <v>11</v>
      </c>
      <c r="DD6" s="4">
        <v>11</v>
      </c>
      <c r="DE6" s="4">
        <v>11</v>
      </c>
      <c r="DF6" s="4">
        <v>11</v>
      </c>
      <c r="DG6" s="4">
        <v>11</v>
      </c>
      <c r="DH6" s="4">
        <v>11</v>
      </c>
      <c r="DI6" s="4">
        <v>11</v>
      </c>
      <c r="DJ6" s="4">
        <v>11</v>
      </c>
      <c r="DK6" s="4">
        <v>11</v>
      </c>
      <c r="DL6" s="4">
        <v>11</v>
      </c>
      <c r="DM6" s="4">
        <v>11</v>
      </c>
      <c r="DN6" s="4">
        <v>12</v>
      </c>
      <c r="DO6" s="4">
        <v>23</v>
      </c>
      <c r="DP6" s="4">
        <v>10</v>
      </c>
      <c r="DQ6" s="4">
        <v>11</v>
      </c>
      <c r="DR6" s="4">
        <v>10</v>
      </c>
      <c r="DS6" s="4">
        <v>10</v>
      </c>
      <c r="DT6" s="4">
        <v>10</v>
      </c>
      <c r="DU6" s="4">
        <v>10</v>
      </c>
      <c r="DV6" s="4">
        <v>10</v>
      </c>
      <c r="DW6" s="4">
        <v>10</v>
      </c>
      <c r="DX6" s="4">
        <v>10</v>
      </c>
      <c r="DY6" s="4">
        <v>10</v>
      </c>
      <c r="DZ6" s="4">
        <v>10</v>
      </c>
      <c r="EA6" s="4">
        <v>57.803744999999999</v>
      </c>
      <c r="EB6" s="4">
        <v>25.648495</v>
      </c>
      <c r="EC6" s="4">
        <v>65.706754000000004</v>
      </c>
      <c r="ED6" s="4">
        <v>37.155434</v>
      </c>
      <c r="EE6" s="4">
        <v>98.857746000000006</v>
      </c>
      <c r="EF6" s="4">
        <v>35.768698999999998</v>
      </c>
      <c r="EG6" s="4">
        <v>74.194252000000006</v>
      </c>
      <c r="EH6" s="4">
        <v>12.289564</v>
      </c>
      <c r="EI6" s="4">
        <v>3.7748400000000002</v>
      </c>
      <c r="EJ6" s="4">
        <v>69.323473000000007</v>
      </c>
      <c r="EK6" s="4">
        <v>31.466155000000001</v>
      </c>
      <c r="EL6" s="4">
        <v>74.238023999999996</v>
      </c>
      <c r="EM6" s="4">
        <v>58.630780999999999</v>
      </c>
      <c r="EN6" s="4">
        <v>53.057068000000001</v>
      </c>
      <c r="EO6" s="4">
        <v>21.820176</v>
      </c>
      <c r="EP6" s="4">
        <v>55.053538000000003</v>
      </c>
      <c r="EQ6" s="4">
        <v>27.728117999999998</v>
      </c>
      <c r="ER6" s="4">
        <v>7.6001620000000001</v>
      </c>
      <c r="ES6" s="4">
        <v>58.631349999999998</v>
      </c>
      <c r="ET6" s="4">
        <v>62.621476000000001</v>
      </c>
      <c r="EU6" s="4">
        <v>63.991914000000001</v>
      </c>
      <c r="EV6" s="4">
        <v>63.82564</v>
      </c>
      <c r="EW6" s="4">
        <v>40.219423999999997</v>
      </c>
      <c r="EX6" s="4">
        <v>37.357706</v>
      </c>
      <c r="EY6" s="4">
        <v>41.665148000000002</v>
      </c>
      <c r="EZ6" s="4">
        <v>69.354787999999999</v>
      </c>
      <c r="FA6" s="4">
        <v>87.212406000000001</v>
      </c>
      <c r="FB6" s="4">
        <v>81.647019999999998</v>
      </c>
      <c r="FC6" s="4">
        <v>16.993903</v>
      </c>
      <c r="FD6" s="4">
        <v>21.304500999999998</v>
      </c>
      <c r="FE6" s="4">
        <v>38.476407999999999</v>
      </c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</row>
    <row r="7" spans="2:453" x14ac:dyDescent="0.25">
      <c r="B7" s="1"/>
      <c r="C7" s="1"/>
      <c r="D7" s="3"/>
      <c r="E7" s="3"/>
      <c r="F7" s="3"/>
      <c r="G7" s="3"/>
      <c r="H7" s="3" t="str">
        <f xml:space="preserve"> _xll.EPMLocalMember("Local member","000","000")</f>
        <v>Local member</v>
      </c>
      <c r="I7" s="4">
        <f>I6*2</f>
        <v>0</v>
      </c>
      <c r="J7" s="4">
        <f t="shared" ref="J7:BU7" si="3">J6*2</f>
        <v>0</v>
      </c>
      <c r="K7" s="4">
        <f t="shared" si="3"/>
        <v>0</v>
      </c>
      <c r="L7" s="4">
        <f t="shared" si="3"/>
        <v>0</v>
      </c>
      <c r="M7" s="4">
        <f t="shared" si="3"/>
        <v>0</v>
      </c>
      <c r="N7" s="4">
        <f t="shared" si="3"/>
        <v>0</v>
      </c>
      <c r="O7" s="4">
        <f t="shared" si="3"/>
        <v>0</v>
      </c>
      <c r="P7" s="4">
        <f t="shared" si="3"/>
        <v>0</v>
      </c>
      <c r="Q7" s="4">
        <f t="shared" si="3"/>
        <v>0</v>
      </c>
      <c r="R7" s="4">
        <f t="shared" si="3"/>
        <v>0</v>
      </c>
      <c r="S7" s="4">
        <f t="shared" si="3"/>
        <v>0</v>
      </c>
      <c r="T7" s="4">
        <f t="shared" si="3"/>
        <v>0</v>
      </c>
      <c r="U7" s="4">
        <f t="shared" si="3"/>
        <v>0</v>
      </c>
      <c r="V7" s="4">
        <f t="shared" si="3"/>
        <v>0</v>
      </c>
      <c r="W7" s="4">
        <f t="shared" si="3"/>
        <v>0</v>
      </c>
      <c r="X7" s="4">
        <f t="shared" si="3"/>
        <v>0</v>
      </c>
      <c r="Y7" s="4">
        <f t="shared" si="3"/>
        <v>0</v>
      </c>
      <c r="Z7" s="4">
        <f t="shared" si="3"/>
        <v>0</v>
      </c>
      <c r="AA7" s="4">
        <f t="shared" si="3"/>
        <v>0</v>
      </c>
      <c r="AB7" s="4">
        <f t="shared" si="3"/>
        <v>0</v>
      </c>
      <c r="AC7" s="4">
        <f t="shared" si="3"/>
        <v>0</v>
      </c>
      <c r="AD7" s="4">
        <f t="shared" si="3"/>
        <v>0</v>
      </c>
      <c r="AE7" s="4">
        <f t="shared" si="3"/>
        <v>0</v>
      </c>
      <c r="AF7" s="4">
        <f t="shared" si="3"/>
        <v>0</v>
      </c>
      <c r="AG7" s="4">
        <f t="shared" si="3"/>
        <v>0</v>
      </c>
      <c r="AH7" s="4">
        <f t="shared" si="3"/>
        <v>0</v>
      </c>
      <c r="AI7" s="4">
        <f t="shared" si="3"/>
        <v>0</v>
      </c>
      <c r="AJ7" s="4">
        <f t="shared" si="3"/>
        <v>0</v>
      </c>
      <c r="AK7" s="4">
        <f t="shared" si="3"/>
        <v>0</v>
      </c>
      <c r="AL7" s="4">
        <f t="shared" si="3"/>
        <v>0</v>
      </c>
      <c r="AM7" s="4">
        <f t="shared" si="3"/>
        <v>0</v>
      </c>
      <c r="AN7" s="4">
        <f t="shared" si="3"/>
        <v>0</v>
      </c>
      <c r="AO7" s="4">
        <f t="shared" si="3"/>
        <v>0</v>
      </c>
      <c r="AP7" s="4">
        <f t="shared" si="3"/>
        <v>0</v>
      </c>
      <c r="AQ7" s="4">
        <f t="shared" si="3"/>
        <v>0</v>
      </c>
      <c r="AR7" s="4">
        <f t="shared" si="3"/>
        <v>0</v>
      </c>
      <c r="AS7" s="4">
        <f t="shared" si="3"/>
        <v>0</v>
      </c>
      <c r="AT7" s="4">
        <f t="shared" si="3"/>
        <v>0</v>
      </c>
      <c r="AU7" s="4">
        <f t="shared" si="3"/>
        <v>0</v>
      </c>
      <c r="AV7" s="4">
        <f t="shared" si="3"/>
        <v>0</v>
      </c>
      <c r="AW7" s="4">
        <f t="shared" si="3"/>
        <v>0</v>
      </c>
      <c r="AX7" s="4">
        <f t="shared" si="3"/>
        <v>0</v>
      </c>
      <c r="AY7" s="4">
        <f t="shared" si="3"/>
        <v>0</v>
      </c>
      <c r="AZ7" s="4">
        <f t="shared" si="3"/>
        <v>0</v>
      </c>
      <c r="BA7" s="4">
        <f t="shared" si="3"/>
        <v>0</v>
      </c>
      <c r="BB7" s="4">
        <f t="shared" si="3"/>
        <v>0</v>
      </c>
      <c r="BC7" s="4">
        <f t="shared" si="3"/>
        <v>0</v>
      </c>
      <c r="BD7" s="4">
        <f t="shared" si="3"/>
        <v>0</v>
      </c>
      <c r="BE7" s="4">
        <f t="shared" si="3"/>
        <v>0</v>
      </c>
      <c r="BF7" s="4">
        <f t="shared" si="3"/>
        <v>0</v>
      </c>
      <c r="BG7" s="4">
        <f t="shared" si="3"/>
        <v>0</v>
      </c>
      <c r="BH7" s="4">
        <f t="shared" si="3"/>
        <v>0</v>
      </c>
      <c r="BI7" s="4">
        <f t="shared" si="3"/>
        <v>0</v>
      </c>
      <c r="BJ7" s="4">
        <f t="shared" si="3"/>
        <v>0</v>
      </c>
      <c r="BK7" s="4">
        <f t="shared" si="3"/>
        <v>0</v>
      </c>
      <c r="BL7" s="4">
        <f t="shared" si="3"/>
        <v>0</v>
      </c>
      <c r="BM7" s="4">
        <f t="shared" si="3"/>
        <v>0</v>
      </c>
      <c r="BN7" s="4">
        <f t="shared" si="3"/>
        <v>0</v>
      </c>
      <c r="BO7" s="4">
        <f t="shared" si="3"/>
        <v>0</v>
      </c>
      <c r="BP7" s="4">
        <f t="shared" si="3"/>
        <v>0</v>
      </c>
      <c r="BQ7" s="4">
        <f t="shared" si="3"/>
        <v>0</v>
      </c>
      <c r="BR7" s="4">
        <f t="shared" si="3"/>
        <v>0</v>
      </c>
      <c r="BS7" s="4">
        <f t="shared" si="3"/>
        <v>0</v>
      </c>
      <c r="BT7" s="4">
        <f t="shared" si="3"/>
        <v>0</v>
      </c>
      <c r="BU7" s="4">
        <f t="shared" si="3"/>
        <v>0</v>
      </c>
      <c r="BV7" s="4">
        <f t="shared" ref="BV7:EG7" si="4">BV6*2</f>
        <v>0</v>
      </c>
      <c r="BW7" s="4">
        <f t="shared" si="4"/>
        <v>0</v>
      </c>
      <c r="BX7" s="4">
        <f t="shared" si="4"/>
        <v>0</v>
      </c>
      <c r="BY7" s="4">
        <f t="shared" si="4"/>
        <v>0</v>
      </c>
      <c r="BZ7" s="4">
        <f t="shared" si="4"/>
        <v>0</v>
      </c>
      <c r="CA7" s="4">
        <f t="shared" si="4"/>
        <v>0</v>
      </c>
      <c r="CB7" s="4">
        <f t="shared" si="4"/>
        <v>0</v>
      </c>
      <c r="CC7" s="4">
        <f t="shared" si="4"/>
        <v>0</v>
      </c>
      <c r="CD7" s="4">
        <f t="shared" si="4"/>
        <v>0</v>
      </c>
      <c r="CE7" s="4">
        <f t="shared" si="4"/>
        <v>0</v>
      </c>
      <c r="CF7" s="4">
        <f t="shared" si="4"/>
        <v>0</v>
      </c>
      <c r="CG7" s="4">
        <f t="shared" si="4"/>
        <v>0</v>
      </c>
      <c r="CH7" s="4">
        <f t="shared" si="4"/>
        <v>0</v>
      </c>
      <c r="CI7" s="4">
        <f t="shared" si="4"/>
        <v>0</v>
      </c>
      <c r="CJ7" s="4">
        <f t="shared" si="4"/>
        <v>0</v>
      </c>
      <c r="CK7" s="4">
        <f t="shared" si="4"/>
        <v>0</v>
      </c>
      <c r="CL7" s="4">
        <f t="shared" si="4"/>
        <v>0</v>
      </c>
      <c r="CM7" s="4">
        <f t="shared" si="4"/>
        <v>0</v>
      </c>
      <c r="CN7" s="4">
        <f t="shared" si="4"/>
        <v>0</v>
      </c>
      <c r="CO7" s="4">
        <f t="shared" si="4"/>
        <v>0</v>
      </c>
      <c r="CP7" s="4">
        <f t="shared" si="4"/>
        <v>0</v>
      </c>
      <c r="CQ7" s="4">
        <f t="shared" si="4"/>
        <v>0</v>
      </c>
      <c r="CR7" s="4">
        <f t="shared" si="4"/>
        <v>43.909404000000002</v>
      </c>
      <c r="CS7" s="4">
        <f t="shared" si="4"/>
        <v>87.246312000000003</v>
      </c>
      <c r="CT7" s="4">
        <f t="shared" si="4"/>
        <v>187.5872</v>
      </c>
      <c r="CU7" s="4">
        <f t="shared" si="4"/>
        <v>122.72828</v>
      </c>
      <c r="CV7" s="4">
        <f t="shared" si="4"/>
        <v>82.451747999999995</v>
      </c>
      <c r="CW7" s="4">
        <f t="shared" si="4"/>
        <v>110.593554</v>
      </c>
      <c r="CX7" s="4">
        <f t="shared" si="4"/>
        <v>53.984312000000003</v>
      </c>
      <c r="CY7" s="4">
        <f t="shared" si="4"/>
        <v>30.017668</v>
      </c>
      <c r="CZ7" s="4">
        <f t="shared" si="4"/>
        <v>79.700834</v>
      </c>
      <c r="DA7" s="4">
        <f t="shared" si="4"/>
        <v>151.443028</v>
      </c>
      <c r="DB7" s="4">
        <f t="shared" si="4"/>
        <v>62.974983999999999</v>
      </c>
      <c r="DC7" s="4">
        <f t="shared" si="4"/>
        <v>22</v>
      </c>
      <c r="DD7" s="4">
        <f t="shared" si="4"/>
        <v>22</v>
      </c>
      <c r="DE7" s="4">
        <f t="shared" si="4"/>
        <v>22</v>
      </c>
      <c r="DF7" s="4">
        <f t="shared" si="4"/>
        <v>22</v>
      </c>
      <c r="DG7" s="4">
        <f t="shared" si="4"/>
        <v>22</v>
      </c>
      <c r="DH7" s="4">
        <f t="shared" si="4"/>
        <v>22</v>
      </c>
      <c r="DI7" s="4">
        <f t="shared" si="4"/>
        <v>22</v>
      </c>
      <c r="DJ7" s="4">
        <f t="shared" si="4"/>
        <v>22</v>
      </c>
      <c r="DK7" s="4">
        <f t="shared" si="4"/>
        <v>22</v>
      </c>
      <c r="DL7" s="4">
        <f t="shared" si="4"/>
        <v>22</v>
      </c>
      <c r="DM7" s="4">
        <f t="shared" si="4"/>
        <v>22</v>
      </c>
      <c r="DN7" s="4">
        <f t="shared" si="4"/>
        <v>24</v>
      </c>
      <c r="DO7" s="4">
        <f t="shared" si="4"/>
        <v>46</v>
      </c>
      <c r="DP7" s="4">
        <f t="shared" si="4"/>
        <v>20</v>
      </c>
      <c r="DQ7" s="4">
        <f t="shared" si="4"/>
        <v>22</v>
      </c>
      <c r="DR7" s="4">
        <f t="shared" si="4"/>
        <v>20</v>
      </c>
      <c r="DS7" s="4">
        <f t="shared" si="4"/>
        <v>20</v>
      </c>
      <c r="DT7" s="4">
        <f t="shared" si="4"/>
        <v>20</v>
      </c>
      <c r="DU7" s="4">
        <f t="shared" si="4"/>
        <v>20</v>
      </c>
      <c r="DV7" s="4">
        <f t="shared" si="4"/>
        <v>20</v>
      </c>
      <c r="DW7" s="4">
        <f t="shared" si="4"/>
        <v>20</v>
      </c>
      <c r="DX7" s="4">
        <f t="shared" si="4"/>
        <v>20</v>
      </c>
      <c r="DY7" s="4">
        <f t="shared" si="4"/>
        <v>20</v>
      </c>
      <c r="DZ7" s="4">
        <f t="shared" si="4"/>
        <v>20</v>
      </c>
      <c r="EA7" s="4">
        <f t="shared" si="4"/>
        <v>115.60749</v>
      </c>
      <c r="EB7" s="4">
        <f t="shared" si="4"/>
        <v>51.296990000000001</v>
      </c>
      <c r="EC7" s="4">
        <f t="shared" si="4"/>
        <v>131.41350800000001</v>
      </c>
      <c r="ED7" s="4">
        <f t="shared" si="4"/>
        <v>74.310867999999999</v>
      </c>
      <c r="EE7" s="4">
        <f t="shared" si="4"/>
        <v>197.71549200000001</v>
      </c>
      <c r="EF7" s="4">
        <f t="shared" si="4"/>
        <v>71.537397999999996</v>
      </c>
      <c r="EG7" s="4">
        <f t="shared" si="4"/>
        <v>148.38850400000001</v>
      </c>
      <c r="EH7" s="4">
        <f t="shared" ref="EH7:FE7" si="5">EH6*2</f>
        <v>24.579128000000001</v>
      </c>
      <c r="EI7" s="4">
        <f t="shared" si="5"/>
        <v>7.5496800000000004</v>
      </c>
      <c r="EJ7" s="4">
        <f t="shared" si="5"/>
        <v>138.64694600000001</v>
      </c>
      <c r="EK7" s="4">
        <f t="shared" si="5"/>
        <v>62.932310000000001</v>
      </c>
      <c r="EL7" s="4">
        <f t="shared" si="5"/>
        <v>148.47604799999999</v>
      </c>
      <c r="EM7" s="4">
        <f t="shared" si="5"/>
        <v>117.261562</v>
      </c>
      <c r="EN7" s="4">
        <f t="shared" si="5"/>
        <v>106.114136</v>
      </c>
      <c r="EO7" s="4">
        <f t="shared" si="5"/>
        <v>43.640352</v>
      </c>
      <c r="EP7" s="4">
        <f t="shared" si="5"/>
        <v>110.10707600000001</v>
      </c>
      <c r="EQ7" s="4">
        <f t="shared" si="5"/>
        <v>55.456235999999997</v>
      </c>
      <c r="ER7" s="4">
        <f t="shared" si="5"/>
        <v>15.200324</v>
      </c>
      <c r="ES7" s="4">
        <f t="shared" si="5"/>
        <v>117.2627</v>
      </c>
      <c r="ET7" s="4">
        <f t="shared" si="5"/>
        <v>125.242952</v>
      </c>
      <c r="EU7" s="4">
        <f t="shared" si="5"/>
        <v>127.983828</v>
      </c>
      <c r="EV7" s="4">
        <f t="shared" si="5"/>
        <v>127.65128</v>
      </c>
      <c r="EW7" s="4">
        <f t="shared" si="5"/>
        <v>80.438847999999993</v>
      </c>
      <c r="EX7" s="4">
        <f t="shared" si="5"/>
        <v>74.715412000000001</v>
      </c>
      <c r="EY7" s="4">
        <f t="shared" si="5"/>
        <v>83.330296000000004</v>
      </c>
      <c r="EZ7" s="4">
        <f t="shared" si="5"/>
        <v>138.709576</v>
      </c>
      <c r="FA7" s="4">
        <f t="shared" si="5"/>
        <v>174.424812</v>
      </c>
      <c r="FB7" s="4">
        <f t="shared" si="5"/>
        <v>163.29404</v>
      </c>
      <c r="FC7" s="4">
        <f t="shared" si="5"/>
        <v>33.987805999999999</v>
      </c>
      <c r="FD7" s="4">
        <f t="shared" si="5"/>
        <v>42.609001999999997</v>
      </c>
      <c r="FE7" s="4">
        <f t="shared" si="5"/>
        <v>76.952815999999999</v>
      </c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</row>
    <row r="8" spans="2:453" x14ac:dyDescent="0.25">
      <c r="B8" s="1"/>
      <c r="C8" s="1"/>
      <c r="D8" s="3"/>
      <c r="E8" s="3"/>
      <c r="F8" s="3" t="str">
        <f xml:space="preserve"> _xll.EPMOlapMemberO("[PRDID].[].[IBP-150]","","IBP-150","","000")</f>
        <v>IBP-150</v>
      </c>
      <c r="G8" s="3" t="str">
        <f xml:space="preserve"> _xll.EPMOlapMemberO("[CUSTID].[].[CUST A]","","Customer A","","000")</f>
        <v>Customer A</v>
      </c>
      <c r="H8" s="3" t="str">
        <f xml:space="preserve"> _xll.EPMOlapMemberO("[KEY_FIGURES].[].[CONSENSUSDEMAND]","","Customer Demand","","000")</f>
        <v>Customer Demand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>
        <v>3.2941999999999999E-2</v>
      </c>
      <c r="CS8" s="4">
        <v>9.2816220000000005</v>
      </c>
      <c r="CT8" s="4">
        <v>0.65775600000000001</v>
      </c>
      <c r="CU8" s="4">
        <v>95.018253000000001</v>
      </c>
      <c r="CV8" s="4">
        <v>13.798711000000001</v>
      </c>
      <c r="CW8" s="4">
        <v>26.926613</v>
      </c>
      <c r="CX8" s="4">
        <v>94.372403000000006</v>
      </c>
      <c r="CY8" s="4">
        <v>42.394649999999999</v>
      </c>
      <c r="CZ8" s="4">
        <v>12.236639</v>
      </c>
      <c r="DA8" s="4">
        <v>47.093505999999998</v>
      </c>
      <c r="DB8" s="4">
        <v>12.219533</v>
      </c>
      <c r="DC8" s="4">
        <v>42.328881000000003</v>
      </c>
      <c r="DD8" s="4">
        <v>97.172782999999995</v>
      </c>
      <c r="DE8" s="4">
        <v>38.882064</v>
      </c>
      <c r="DF8" s="4">
        <v>76.233230000000006</v>
      </c>
      <c r="DG8" s="4">
        <v>37.104261000000001</v>
      </c>
      <c r="DH8" s="4">
        <v>93.607062999999997</v>
      </c>
      <c r="DI8" s="4">
        <v>12.624062</v>
      </c>
      <c r="DJ8" s="4">
        <v>26.384360999999998</v>
      </c>
      <c r="DK8" s="4">
        <v>34.766503</v>
      </c>
      <c r="DL8" s="4">
        <v>38.834456000000003</v>
      </c>
      <c r="DM8" s="4">
        <v>66.908497999999994</v>
      </c>
      <c r="DN8" s="4">
        <v>70.019098999999997</v>
      </c>
      <c r="DO8" s="4">
        <v>45.869849000000002</v>
      </c>
      <c r="DP8" s="4">
        <v>67.211613</v>
      </c>
      <c r="DQ8" s="4">
        <v>59.814518999999997</v>
      </c>
      <c r="DR8" s="4">
        <v>83.511561</v>
      </c>
      <c r="DS8" s="4">
        <v>84.863354999999999</v>
      </c>
      <c r="DT8" s="4">
        <v>29.553293</v>
      </c>
      <c r="DU8" s="4">
        <v>39.392847000000003</v>
      </c>
      <c r="DV8" s="4">
        <v>82.418505999999994</v>
      </c>
      <c r="DW8" s="4">
        <v>80.082455999999993</v>
      </c>
      <c r="DX8" s="4">
        <v>33.328142</v>
      </c>
      <c r="DY8" s="4">
        <v>90.592287999999996</v>
      </c>
      <c r="DZ8" s="4">
        <v>45.418990000000001</v>
      </c>
      <c r="EA8" s="4">
        <v>84.587905000000006</v>
      </c>
      <c r="EB8" s="4">
        <v>78.312595000000002</v>
      </c>
      <c r="EC8" s="4">
        <v>86.403139999999993</v>
      </c>
      <c r="ED8" s="4">
        <v>30.383087</v>
      </c>
      <c r="EE8" s="4">
        <v>23.192845999999999</v>
      </c>
      <c r="EF8" s="4">
        <v>90.417096999999998</v>
      </c>
      <c r="EG8" s="4">
        <v>92.158330000000007</v>
      </c>
      <c r="EH8" s="4">
        <v>19.408421000000001</v>
      </c>
      <c r="EI8" s="4">
        <v>14.654991000000001</v>
      </c>
      <c r="EJ8" s="4">
        <v>66.191757999999993</v>
      </c>
      <c r="EK8" s="4">
        <v>0.97954699999999995</v>
      </c>
      <c r="EL8" s="4">
        <v>23.821649000000001</v>
      </c>
      <c r="EM8" s="4">
        <v>18.682708000000002</v>
      </c>
      <c r="EN8" s="4">
        <v>5.5481239999999996</v>
      </c>
      <c r="EO8" s="4">
        <v>29.030691999999998</v>
      </c>
      <c r="EP8" s="4">
        <v>89.465446</v>
      </c>
      <c r="EQ8" s="4">
        <v>15.502081</v>
      </c>
      <c r="ER8" s="4">
        <v>84.419484999999995</v>
      </c>
      <c r="ES8" s="4">
        <v>56.496985000000002</v>
      </c>
      <c r="ET8" s="4">
        <v>86.154330999999999</v>
      </c>
      <c r="EU8" s="4">
        <v>94.848078999999998</v>
      </c>
      <c r="EV8" s="4">
        <v>62.986094000000001</v>
      </c>
      <c r="EW8" s="4">
        <v>86.652097999999995</v>
      </c>
      <c r="EX8" s="4">
        <v>15.170634</v>
      </c>
      <c r="EY8" s="4">
        <v>31.832491000000001</v>
      </c>
      <c r="EZ8" s="4">
        <v>99.689006000000006</v>
      </c>
      <c r="FA8" s="4">
        <v>45.648916</v>
      </c>
      <c r="FB8" s="4">
        <v>23.231417</v>
      </c>
      <c r="FC8" s="4">
        <v>36.115792999999996</v>
      </c>
      <c r="FD8" s="4">
        <v>93.310638999999995</v>
      </c>
      <c r="FE8" s="4">
        <v>19.770354000000001</v>
      </c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</row>
    <row r="9" spans="2:453" x14ac:dyDescent="0.25">
      <c r="B9" s="1"/>
      <c r="C9" s="1"/>
      <c r="D9" s="1"/>
      <c r="E9" s="3"/>
      <c r="F9" s="3"/>
      <c r="G9" s="3"/>
      <c r="H9" s="3" t="str">
        <f xml:space="preserve"> _xll.EPMLocalMember("Local member","000","000")</f>
        <v>Local member</v>
      </c>
      <c r="I9" s="4">
        <f>I8*2</f>
        <v>0</v>
      </c>
      <c r="J9" s="4">
        <f t="shared" ref="J9:BU9" si="6">J8*2</f>
        <v>0</v>
      </c>
      <c r="K9" s="4">
        <f t="shared" si="6"/>
        <v>0</v>
      </c>
      <c r="L9" s="4">
        <f t="shared" si="6"/>
        <v>0</v>
      </c>
      <c r="M9" s="4">
        <f t="shared" si="6"/>
        <v>0</v>
      </c>
      <c r="N9" s="4">
        <f t="shared" si="6"/>
        <v>0</v>
      </c>
      <c r="O9" s="4">
        <f t="shared" si="6"/>
        <v>0</v>
      </c>
      <c r="P9" s="4">
        <f t="shared" si="6"/>
        <v>0</v>
      </c>
      <c r="Q9" s="4">
        <f t="shared" si="6"/>
        <v>0</v>
      </c>
      <c r="R9" s="4">
        <f t="shared" si="6"/>
        <v>0</v>
      </c>
      <c r="S9" s="4">
        <f t="shared" si="6"/>
        <v>0</v>
      </c>
      <c r="T9" s="4">
        <f t="shared" si="6"/>
        <v>0</v>
      </c>
      <c r="U9" s="4">
        <f t="shared" si="6"/>
        <v>0</v>
      </c>
      <c r="V9" s="4">
        <f t="shared" si="6"/>
        <v>0</v>
      </c>
      <c r="W9" s="4">
        <f t="shared" si="6"/>
        <v>0</v>
      </c>
      <c r="X9" s="4">
        <f t="shared" si="6"/>
        <v>0</v>
      </c>
      <c r="Y9" s="4">
        <f t="shared" si="6"/>
        <v>0</v>
      </c>
      <c r="Z9" s="4">
        <f t="shared" si="6"/>
        <v>0</v>
      </c>
      <c r="AA9" s="4">
        <f t="shared" si="6"/>
        <v>0</v>
      </c>
      <c r="AB9" s="4">
        <f t="shared" si="6"/>
        <v>0</v>
      </c>
      <c r="AC9" s="4">
        <f t="shared" si="6"/>
        <v>0</v>
      </c>
      <c r="AD9" s="4">
        <f t="shared" si="6"/>
        <v>0</v>
      </c>
      <c r="AE9" s="4">
        <f t="shared" si="6"/>
        <v>0</v>
      </c>
      <c r="AF9" s="4">
        <f t="shared" si="6"/>
        <v>0</v>
      </c>
      <c r="AG9" s="4">
        <f t="shared" si="6"/>
        <v>0</v>
      </c>
      <c r="AH9" s="4">
        <f t="shared" si="6"/>
        <v>0</v>
      </c>
      <c r="AI9" s="4">
        <f t="shared" si="6"/>
        <v>0</v>
      </c>
      <c r="AJ9" s="4">
        <f t="shared" si="6"/>
        <v>0</v>
      </c>
      <c r="AK9" s="4">
        <f t="shared" si="6"/>
        <v>0</v>
      </c>
      <c r="AL9" s="4">
        <f t="shared" si="6"/>
        <v>0</v>
      </c>
      <c r="AM9" s="4">
        <f t="shared" si="6"/>
        <v>0</v>
      </c>
      <c r="AN9" s="4">
        <f t="shared" si="6"/>
        <v>0</v>
      </c>
      <c r="AO9" s="4">
        <f t="shared" si="6"/>
        <v>0</v>
      </c>
      <c r="AP9" s="4">
        <f t="shared" si="6"/>
        <v>0</v>
      </c>
      <c r="AQ9" s="4">
        <f t="shared" si="6"/>
        <v>0</v>
      </c>
      <c r="AR9" s="4">
        <f t="shared" si="6"/>
        <v>0</v>
      </c>
      <c r="AS9" s="4">
        <f t="shared" si="6"/>
        <v>0</v>
      </c>
      <c r="AT9" s="4">
        <f t="shared" si="6"/>
        <v>0</v>
      </c>
      <c r="AU9" s="4">
        <f t="shared" si="6"/>
        <v>0</v>
      </c>
      <c r="AV9" s="4">
        <f t="shared" si="6"/>
        <v>0</v>
      </c>
      <c r="AW9" s="4">
        <f t="shared" si="6"/>
        <v>0</v>
      </c>
      <c r="AX9" s="4">
        <f t="shared" si="6"/>
        <v>0</v>
      </c>
      <c r="AY9" s="4">
        <f t="shared" si="6"/>
        <v>0</v>
      </c>
      <c r="AZ9" s="4">
        <f t="shared" si="6"/>
        <v>0</v>
      </c>
      <c r="BA9" s="4">
        <f t="shared" si="6"/>
        <v>0</v>
      </c>
      <c r="BB9" s="4">
        <f t="shared" si="6"/>
        <v>0</v>
      </c>
      <c r="BC9" s="4">
        <f t="shared" si="6"/>
        <v>0</v>
      </c>
      <c r="BD9" s="4">
        <f t="shared" si="6"/>
        <v>0</v>
      </c>
      <c r="BE9" s="4">
        <f t="shared" si="6"/>
        <v>0</v>
      </c>
      <c r="BF9" s="4">
        <f t="shared" si="6"/>
        <v>0</v>
      </c>
      <c r="BG9" s="4">
        <f t="shared" si="6"/>
        <v>0</v>
      </c>
      <c r="BH9" s="4">
        <f t="shared" si="6"/>
        <v>0</v>
      </c>
      <c r="BI9" s="4">
        <f t="shared" si="6"/>
        <v>0</v>
      </c>
      <c r="BJ9" s="4">
        <f t="shared" si="6"/>
        <v>0</v>
      </c>
      <c r="BK9" s="4">
        <f t="shared" si="6"/>
        <v>0</v>
      </c>
      <c r="BL9" s="4">
        <f t="shared" si="6"/>
        <v>0</v>
      </c>
      <c r="BM9" s="4">
        <f t="shared" si="6"/>
        <v>0</v>
      </c>
      <c r="BN9" s="4">
        <f t="shared" si="6"/>
        <v>0</v>
      </c>
      <c r="BO9" s="4">
        <f t="shared" si="6"/>
        <v>0</v>
      </c>
      <c r="BP9" s="4">
        <f t="shared" si="6"/>
        <v>0</v>
      </c>
      <c r="BQ9" s="4">
        <f t="shared" si="6"/>
        <v>0</v>
      </c>
      <c r="BR9" s="4">
        <f t="shared" si="6"/>
        <v>0</v>
      </c>
      <c r="BS9" s="4">
        <f t="shared" si="6"/>
        <v>0</v>
      </c>
      <c r="BT9" s="4">
        <f t="shared" si="6"/>
        <v>0</v>
      </c>
      <c r="BU9" s="4">
        <f t="shared" si="6"/>
        <v>0</v>
      </c>
      <c r="BV9" s="4">
        <f t="shared" ref="BV9:EG9" si="7">BV8*2</f>
        <v>0</v>
      </c>
      <c r="BW9" s="4">
        <f t="shared" si="7"/>
        <v>0</v>
      </c>
      <c r="BX9" s="4">
        <f t="shared" si="7"/>
        <v>0</v>
      </c>
      <c r="BY9" s="4">
        <f t="shared" si="7"/>
        <v>0</v>
      </c>
      <c r="BZ9" s="4">
        <f t="shared" si="7"/>
        <v>0</v>
      </c>
      <c r="CA9" s="4">
        <f t="shared" si="7"/>
        <v>0</v>
      </c>
      <c r="CB9" s="4">
        <f t="shared" si="7"/>
        <v>0</v>
      </c>
      <c r="CC9" s="4">
        <f t="shared" si="7"/>
        <v>0</v>
      </c>
      <c r="CD9" s="4">
        <f t="shared" si="7"/>
        <v>0</v>
      </c>
      <c r="CE9" s="4">
        <f t="shared" si="7"/>
        <v>0</v>
      </c>
      <c r="CF9" s="4">
        <f t="shared" si="7"/>
        <v>0</v>
      </c>
      <c r="CG9" s="4">
        <f t="shared" si="7"/>
        <v>0</v>
      </c>
      <c r="CH9" s="4">
        <f t="shared" si="7"/>
        <v>0</v>
      </c>
      <c r="CI9" s="4">
        <f t="shared" si="7"/>
        <v>0</v>
      </c>
      <c r="CJ9" s="4">
        <f t="shared" si="7"/>
        <v>0</v>
      </c>
      <c r="CK9" s="4">
        <f t="shared" si="7"/>
        <v>0</v>
      </c>
      <c r="CL9" s="4">
        <f t="shared" si="7"/>
        <v>0</v>
      </c>
      <c r="CM9" s="4">
        <f t="shared" si="7"/>
        <v>0</v>
      </c>
      <c r="CN9" s="4">
        <f t="shared" si="7"/>
        <v>0</v>
      </c>
      <c r="CO9" s="4">
        <f t="shared" si="7"/>
        <v>0</v>
      </c>
      <c r="CP9" s="4">
        <f t="shared" si="7"/>
        <v>0</v>
      </c>
      <c r="CQ9" s="4">
        <f t="shared" si="7"/>
        <v>0</v>
      </c>
      <c r="CR9" s="4">
        <f t="shared" si="7"/>
        <v>6.5883999999999998E-2</v>
      </c>
      <c r="CS9" s="4">
        <f t="shared" si="7"/>
        <v>18.563244000000001</v>
      </c>
      <c r="CT9" s="4">
        <f t="shared" si="7"/>
        <v>1.315512</v>
      </c>
      <c r="CU9" s="4">
        <f t="shared" si="7"/>
        <v>190.036506</v>
      </c>
      <c r="CV9" s="4">
        <f t="shared" si="7"/>
        <v>27.597422000000002</v>
      </c>
      <c r="CW9" s="4">
        <f t="shared" si="7"/>
        <v>53.853225999999999</v>
      </c>
      <c r="CX9" s="4">
        <f t="shared" si="7"/>
        <v>188.74480600000001</v>
      </c>
      <c r="CY9" s="4">
        <f t="shared" si="7"/>
        <v>84.789299999999997</v>
      </c>
      <c r="CZ9" s="4">
        <f t="shared" si="7"/>
        <v>24.473278000000001</v>
      </c>
      <c r="DA9" s="4">
        <f t="shared" si="7"/>
        <v>94.187011999999996</v>
      </c>
      <c r="DB9" s="4">
        <f t="shared" si="7"/>
        <v>24.439066</v>
      </c>
      <c r="DC9" s="4">
        <f t="shared" si="7"/>
        <v>84.657762000000005</v>
      </c>
      <c r="DD9" s="4">
        <f t="shared" si="7"/>
        <v>194.34556599999999</v>
      </c>
      <c r="DE9" s="4">
        <f t="shared" si="7"/>
        <v>77.764127999999999</v>
      </c>
      <c r="DF9" s="4">
        <f t="shared" si="7"/>
        <v>152.46646000000001</v>
      </c>
      <c r="DG9" s="4">
        <f t="shared" si="7"/>
        <v>74.208522000000002</v>
      </c>
      <c r="DH9" s="4">
        <f t="shared" si="7"/>
        <v>187.21412599999999</v>
      </c>
      <c r="DI9" s="4">
        <f t="shared" si="7"/>
        <v>25.248124000000001</v>
      </c>
      <c r="DJ9" s="4">
        <f t="shared" si="7"/>
        <v>52.768721999999997</v>
      </c>
      <c r="DK9" s="4">
        <f t="shared" si="7"/>
        <v>69.533006</v>
      </c>
      <c r="DL9" s="4">
        <f t="shared" si="7"/>
        <v>77.668912000000006</v>
      </c>
      <c r="DM9" s="4">
        <f t="shared" si="7"/>
        <v>133.81699599999999</v>
      </c>
      <c r="DN9" s="4">
        <f t="shared" si="7"/>
        <v>140.03819799999999</v>
      </c>
      <c r="DO9" s="4">
        <f t="shared" si="7"/>
        <v>91.739698000000004</v>
      </c>
      <c r="DP9" s="4">
        <f t="shared" si="7"/>
        <v>134.423226</v>
      </c>
      <c r="DQ9" s="4">
        <f t="shared" si="7"/>
        <v>119.62903799999999</v>
      </c>
      <c r="DR9" s="4">
        <f t="shared" si="7"/>
        <v>167.023122</v>
      </c>
      <c r="DS9" s="4">
        <f t="shared" si="7"/>
        <v>169.72671</v>
      </c>
      <c r="DT9" s="4">
        <f t="shared" si="7"/>
        <v>59.106586</v>
      </c>
      <c r="DU9" s="4">
        <f t="shared" si="7"/>
        <v>78.785694000000007</v>
      </c>
      <c r="DV9" s="4">
        <f t="shared" si="7"/>
        <v>164.83701199999999</v>
      </c>
      <c r="DW9" s="4">
        <f t="shared" si="7"/>
        <v>160.16491199999999</v>
      </c>
      <c r="DX9" s="4">
        <f t="shared" si="7"/>
        <v>66.656283999999999</v>
      </c>
      <c r="DY9" s="4">
        <f t="shared" si="7"/>
        <v>181.18457599999999</v>
      </c>
      <c r="DZ9" s="4">
        <f t="shared" si="7"/>
        <v>90.837980000000002</v>
      </c>
      <c r="EA9" s="4">
        <f t="shared" si="7"/>
        <v>169.17581000000001</v>
      </c>
      <c r="EB9" s="4">
        <f t="shared" si="7"/>
        <v>156.62519</v>
      </c>
      <c r="EC9" s="4">
        <f t="shared" si="7"/>
        <v>172.80627999999999</v>
      </c>
      <c r="ED9" s="4">
        <f t="shared" si="7"/>
        <v>60.766173999999999</v>
      </c>
      <c r="EE9" s="4">
        <f t="shared" si="7"/>
        <v>46.385691999999999</v>
      </c>
      <c r="EF9" s="4">
        <f t="shared" si="7"/>
        <v>180.834194</v>
      </c>
      <c r="EG9" s="4">
        <f t="shared" si="7"/>
        <v>184.31666000000001</v>
      </c>
      <c r="EH9" s="4">
        <f t="shared" ref="EH9:FE9" si="8">EH8*2</f>
        <v>38.816842000000001</v>
      </c>
      <c r="EI9" s="4">
        <f t="shared" si="8"/>
        <v>29.309982000000002</v>
      </c>
      <c r="EJ9" s="4">
        <f t="shared" si="8"/>
        <v>132.38351599999999</v>
      </c>
      <c r="EK9" s="4">
        <f t="shared" si="8"/>
        <v>1.9590939999999999</v>
      </c>
      <c r="EL9" s="4">
        <f t="shared" si="8"/>
        <v>47.643298000000001</v>
      </c>
      <c r="EM9" s="4">
        <f t="shared" si="8"/>
        <v>37.365416000000003</v>
      </c>
      <c r="EN9" s="4">
        <f t="shared" si="8"/>
        <v>11.096247999999999</v>
      </c>
      <c r="EO9" s="4">
        <f t="shared" si="8"/>
        <v>58.061383999999997</v>
      </c>
      <c r="EP9" s="4">
        <f t="shared" si="8"/>
        <v>178.930892</v>
      </c>
      <c r="EQ9" s="4">
        <f t="shared" si="8"/>
        <v>31.004162000000001</v>
      </c>
      <c r="ER9" s="4">
        <f t="shared" si="8"/>
        <v>168.83896999999999</v>
      </c>
      <c r="ES9" s="4">
        <f t="shared" si="8"/>
        <v>112.99397</v>
      </c>
      <c r="ET9" s="4">
        <f t="shared" si="8"/>
        <v>172.308662</v>
      </c>
      <c r="EU9" s="4">
        <f t="shared" si="8"/>
        <v>189.696158</v>
      </c>
      <c r="EV9" s="4">
        <f t="shared" si="8"/>
        <v>125.972188</v>
      </c>
      <c r="EW9" s="4">
        <f t="shared" si="8"/>
        <v>173.30419599999999</v>
      </c>
      <c r="EX9" s="4">
        <f t="shared" si="8"/>
        <v>30.341267999999999</v>
      </c>
      <c r="EY9" s="4">
        <f t="shared" si="8"/>
        <v>63.664982000000002</v>
      </c>
      <c r="EZ9" s="4">
        <f t="shared" si="8"/>
        <v>199.37801200000001</v>
      </c>
      <c r="FA9" s="4">
        <f t="shared" si="8"/>
        <v>91.297832</v>
      </c>
      <c r="FB9" s="4">
        <f t="shared" si="8"/>
        <v>46.462834000000001</v>
      </c>
      <c r="FC9" s="4">
        <f t="shared" si="8"/>
        <v>72.231585999999993</v>
      </c>
      <c r="FD9" s="4">
        <f t="shared" si="8"/>
        <v>186.62127799999999</v>
      </c>
      <c r="FE9" s="4">
        <f t="shared" si="8"/>
        <v>39.540708000000002</v>
      </c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</row>
    <row r="10" spans="2:453" x14ac:dyDescent="0.25">
      <c r="B10" s="1"/>
      <c r="C10" s="1"/>
      <c r="D10" s="1"/>
      <c r="E10" s="3"/>
      <c r="F10" s="3"/>
      <c r="G10" s="3" t="str">
        <f xml:space="preserve"> _xll.EPMOlapMemberO("[CUSTID].[].[CUST B]","","Customer B","","000")</f>
        <v>Customer B</v>
      </c>
      <c r="H10" s="3" t="str">
        <f xml:space="preserve"> _xll.EPMOlapMemberO("[KEY_FIGURES].[].[CONSENSUSDEMAND]","","Customer Demand","","000")</f>
        <v>Customer Demand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>
        <v>67.657504000000003</v>
      </c>
      <c r="CS10" s="4">
        <v>26.271066999999999</v>
      </c>
      <c r="CT10" s="4">
        <v>40.032955000000001</v>
      </c>
      <c r="CU10" s="4">
        <v>22.932518000000002</v>
      </c>
      <c r="CV10" s="4">
        <v>68.329183</v>
      </c>
      <c r="CW10" s="4">
        <v>71.172824000000006</v>
      </c>
      <c r="CX10" s="4">
        <v>92.042399000000003</v>
      </c>
      <c r="CY10" s="4">
        <v>75.092304999999996</v>
      </c>
      <c r="CZ10" s="4">
        <v>27.875976000000001</v>
      </c>
      <c r="DA10" s="4">
        <v>81.815878999999995</v>
      </c>
      <c r="DB10" s="4">
        <v>19.139953999999999</v>
      </c>
      <c r="DC10" s="4">
        <v>75.407483999999997</v>
      </c>
      <c r="DD10" s="4">
        <v>65.186723999999998</v>
      </c>
      <c r="DE10" s="4">
        <v>93.900707999999995</v>
      </c>
      <c r="DF10" s="4">
        <v>15.713184</v>
      </c>
      <c r="DG10" s="4">
        <v>9.3099860000000003</v>
      </c>
      <c r="DH10" s="4">
        <v>84.991212000000004</v>
      </c>
      <c r="DI10" s="4">
        <v>42.113928999999999</v>
      </c>
      <c r="DJ10" s="4">
        <v>38.323799000000001</v>
      </c>
      <c r="DK10" s="4">
        <v>65.454706999999999</v>
      </c>
      <c r="DL10" s="4">
        <v>26.12208</v>
      </c>
      <c r="DM10" s="4">
        <v>54.040804000000001</v>
      </c>
      <c r="DN10" s="4">
        <v>18.317316000000002</v>
      </c>
      <c r="DO10" s="4">
        <v>65.907105999999999</v>
      </c>
      <c r="DP10" s="4">
        <v>85.184887000000003</v>
      </c>
      <c r="DQ10" s="4">
        <v>36.890304</v>
      </c>
      <c r="DR10" s="4">
        <v>85.761555000000001</v>
      </c>
      <c r="DS10" s="4">
        <v>76.476530999999994</v>
      </c>
      <c r="DT10" s="4">
        <v>47.416682999999999</v>
      </c>
      <c r="DU10" s="4">
        <v>68.660143000000005</v>
      </c>
      <c r="DV10" s="4">
        <v>65.877949999999998</v>
      </c>
      <c r="DW10" s="4">
        <v>87.185833000000002</v>
      </c>
      <c r="DX10" s="4">
        <v>8.9508510000000001</v>
      </c>
      <c r="DY10" s="4">
        <v>27.736946</v>
      </c>
      <c r="DZ10" s="4">
        <v>64.616643999999994</v>
      </c>
      <c r="EA10" s="4">
        <v>15.365187000000001</v>
      </c>
      <c r="EB10" s="4">
        <v>54.194316000000001</v>
      </c>
      <c r="EC10" s="4">
        <v>27.556274999999999</v>
      </c>
      <c r="ED10" s="4">
        <v>12.094224000000001</v>
      </c>
      <c r="EE10" s="4">
        <v>40.901888</v>
      </c>
      <c r="EF10" s="4">
        <v>54.633733999999997</v>
      </c>
      <c r="EG10" s="4">
        <v>11.148012</v>
      </c>
      <c r="EH10" s="4">
        <v>11.821047</v>
      </c>
      <c r="EI10" s="4">
        <v>41.156455000000001</v>
      </c>
      <c r="EJ10" s="4">
        <v>70.955219999999997</v>
      </c>
      <c r="EK10" s="4">
        <v>51.505892000000003</v>
      </c>
      <c r="EL10" s="4">
        <v>1.805399</v>
      </c>
      <c r="EM10" s="4">
        <v>6.9564310000000003</v>
      </c>
      <c r="EN10" s="4">
        <v>27.199947000000002</v>
      </c>
      <c r="EO10" s="4">
        <v>83.924092000000002</v>
      </c>
      <c r="EP10" s="4">
        <v>80.167726000000002</v>
      </c>
      <c r="EQ10" s="4">
        <v>3.8665060000000002</v>
      </c>
      <c r="ER10" s="4">
        <v>24.894911</v>
      </c>
      <c r="ES10" s="4">
        <v>85.276266000000007</v>
      </c>
      <c r="ET10" s="4">
        <v>54.598255000000002</v>
      </c>
      <c r="EU10" s="4">
        <v>59.039340000000003</v>
      </c>
      <c r="EV10" s="4">
        <v>34.549574</v>
      </c>
      <c r="EW10" s="4">
        <v>42.799059</v>
      </c>
      <c r="EX10" s="4">
        <v>6.0034869999999998</v>
      </c>
      <c r="EY10" s="4">
        <v>45.142992999999997</v>
      </c>
      <c r="EZ10" s="4">
        <v>44.161856999999998</v>
      </c>
      <c r="FA10" s="4">
        <v>98.257400000000004</v>
      </c>
      <c r="FB10" s="4">
        <v>20.321109</v>
      </c>
      <c r="FC10" s="4">
        <v>68.986947999999998</v>
      </c>
      <c r="FD10" s="4">
        <v>57.506377999999998</v>
      </c>
      <c r="FE10" s="4">
        <v>12.279878</v>
      </c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</row>
    <row r="11" spans="2:453" x14ac:dyDescent="0.25">
      <c r="E11" s="6"/>
      <c r="F11" s="6"/>
      <c r="G11" s="6"/>
      <c r="H11" s="6" t="str">
        <f xml:space="preserve"> _xll.EPMLocalMember("Local member","000","000")</f>
        <v>Local member</v>
      </c>
      <c r="I11">
        <f>I10*2</f>
        <v>0</v>
      </c>
      <c r="J11">
        <f t="shared" ref="J11:BU11" si="9">J10*2</f>
        <v>0</v>
      </c>
      <c r="K11">
        <f t="shared" si="9"/>
        <v>0</v>
      </c>
      <c r="L11">
        <f t="shared" si="9"/>
        <v>0</v>
      </c>
      <c r="M11">
        <f t="shared" si="9"/>
        <v>0</v>
      </c>
      <c r="N11">
        <f t="shared" si="9"/>
        <v>0</v>
      </c>
      <c r="O11">
        <f t="shared" si="9"/>
        <v>0</v>
      </c>
      <c r="P11">
        <f t="shared" si="9"/>
        <v>0</v>
      </c>
      <c r="Q11">
        <f t="shared" si="9"/>
        <v>0</v>
      </c>
      <c r="R11">
        <f t="shared" si="9"/>
        <v>0</v>
      </c>
      <c r="S11">
        <f t="shared" si="9"/>
        <v>0</v>
      </c>
      <c r="T11">
        <f t="shared" si="9"/>
        <v>0</v>
      </c>
      <c r="U11">
        <f t="shared" si="9"/>
        <v>0</v>
      </c>
      <c r="V11">
        <f t="shared" si="9"/>
        <v>0</v>
      </c>
      <c r="W11">
        <f t="shared" si="9"/>
        <v>0</v>
      </c>
      <c r="X11">
        <f t="shared" si="9"/>
        <v>0</v>
      </c>
      <c r="Y11">
        <f t="shared" si="9"/>
        <v>0</v>
      </c>
      <c r="Z11">
        <f t="shared" si="9"/>
        <v>0</v>
      </c>
      <c r="AA11">
        <f t="shared" si="9"/>
        <v>0</v>
      </c>
      <c r="AB11">
        <f t="shared" si="9"/>
        <v>0</v>
      </c>
      <c r="AC11">
        <f t="shared" si="9"/>
        <v>0</v>
      </c>
      <c r="AD11">
        <f t="shared" si="9"/>
        <v>0</v>
      </c>
      <c r="AE11">
        <f t="shared" si="9"/>
        <v>0</v>
      </c>
      <c r="AF11">
        <f t="shared" si="9"/>
        <v>0</v>
      </c>
      <c r="AG11">
        <f t="shared" si="9"/>
        <v>0</v>
      </c>
      <c r="AH11">
        <f t="shared" si="9"/>
        <v>0</v>
      </c>
      <c r="AI11">
        <f t="shared" si="9"/>
        <v>0</v>
      </c>
      <c r="AJ11">
        <f t="shared" si="9"/>
        <v>0</v>
      </c>
      <c r="AK11">
        <f t="shared" si="9"/>
        <v>0</v>
      </c>
      <c r="AL11">
        <f t="shared" si="9"/>
        <v>0</v>
      </c>
      <c r="AM11">
        <f t="shared" si="9"/>
        <v>0</v>
      </c>
      <c r="AN11">
        <f t="shared" si="9"/>
        <v>0</v>
      </c>
      <c r="AO11">
        <f t="shared" si="9"/>
        <v>0</v>
      </c>
      <c r="AP11">
        <f t="shared" si="9"/>
        <v>0</v>
      </c>
      <c r="AQ11">
        <f t="shared" si="9"/>
        <v>0</v>
      </c>
      <c r="AR11">
        <f t="shared" si="9"/>
        <v>0</v>
      </c>
      <c r="AS11">
        <f t="shared" si="9"/>
        <v>0</v>
      </c>
      <c r="AT11">
        <f t="shared" si="9"/>
        <v>0</v>
      </c>
      <c r="AU11">
        <f t="shared" si="9"/>
        <v>0</v>
      </c>
      <c r="AV11">
        <f t="shared" si="9"/>
        <v>0</v>
      </c>
      <c r="AW11">
        <f t="shared" si="9"/>
        <v>0</v>
      </c>
      <c r="AX11">
        <f t="shared" si="9"/>
        <v>0</v>
      </c>
      <c r="AY11">
        <f t="shared" si="9"/>
        <v>0</v>
      </c>
      <c r="AZ11">
        <f t="shared" si="9"/>
        <v>0</v>
      </c>
      <c r="BA11">
        <f t="shared" si="9"/>
        <v>0</v>
      </c>
      <c r="BB11">
        <f t="shared" si="9"/>
        <v>0</v>
      </c>
      <c r="BC11">
        <f t="shared" si="9"/>
        <v>0</v>
      </c>
      <c r="BD11">
        <f t="shared" si="9"/>
        <v>0</v>
      </c>
      <c r="BE11">
        <f t="shared" si="9"/>
        <v>0</v>
      </c>
      <c r="BF11">
        <f t="shared" si="9"/>
        <v>0</v>
      </c>
      <c r="BG11">
        <f t="shared" si="9"/>
        <v>0</v>
      </c>
      <c r="BH11">
        <f t="shared" si="9"/>
        <v>0</v>
      </c>
      <c r="BI11">
        <f t="shared" si="9"/>
        <v>0</v>
      </c>
      <c r="BJ11">
        <f t="shared" si="9"/>
        <v>0</v>
      </c>
      <c r="BK11">
        <f t="shared" si="9"/>
        <v>0</v>
      </c>
      <c r="BL11">
        <f t="shared" si="9"/>
        <v>0</v>
      </c>
      <c r="BM11">
        <f t="shared" si="9"/>
        <v>0</v>
      </c>
      <c r="BN11">
        <f t="shared" si="9"/>
        <v>0</v>
      </c>
      <c r="BO11">
        <f t="shared" si="9"/>
        <v>0</v>
      </c>
      <c r="BP11">
        <f t="shared" si="9"/>
        <v>0</v>
      </c>
      <c r="BQ11">
        <f t="shared" si="9"/>
        <v>0</v>
      </c>
      <c r="BR11">
        <f t="shared" si="9"/>
        <v>0</v>
      </c>
      <c r="BS11">
        <f t="shared" si="9"/>
        <v>0</v>
      </c>
      <c r="BT11">
        <f t="shared" si="9"/>
        <v>0</v>
      </c>
      <c r="BU11">
        <f t="shared" si="9"/>
        <v>0</v>
      </c>
      <c r="BV11">
        <f t="shared" ref="BV11:EG11" si="10">BV10*2</f>
        <v>0</v>
      </c>
      <c r="BW11">
        <f t="shared" si="10"/>
        <v>0</v>
      </c>
      <c r="BX11">
        <f t="shared" si="10"/>
        <v>0</v>
      </c>
      <c r="BY11">
        <f t="shared" si="10"/>
        <v>0</v>
      </c>
      <c r="BZ11">
        <f t="shared" si="10"/>
        <v>0</v>
      </c>
      <c r="CA11">
        <f t="shared" si="10"/>
        <v>0</v>
      </c>
      <c r="CB11">
        <f t="shared" si="10"/>
        <v>0</v>
      </c>
      <c r="CC11">
        <f t="shared" si="10"/>
        <v>0</v>
      </c>
      <c r="CD11">
        <f t="shared" si="10"/>
        <v>0</v>
      </c>
      <c r="CE11">
        <f t="shared" si="10"/>
        <v>0</v>
      </c>
      <c r="CF11">
        <f t="shared" si="10"/>
        <v>0</v>
      </c>
      <c r="CG11">
        <f t="shared" si="10"/>
        <v>0</v>
      </c>
      <c r="CH11">
        <f t="shared" si="10"/>
        <v>0</v>
      </c>
      <c r="CI11">
        <f t="shared" si="10"/>
        <v>0</v>
      </c>
      <c r="CJ11">
        <f t="shared" si="10"/>
        <v>0</v>
      </c>
      <c r="CK11">
        <f t="shared" si="10"/>
        <v>0</v>
      </c>
      <c r="CL11">
        <f t="shared" si="10"/>
        <v>0</v>
      </c>
      <c r="CM11">
        <f t="shared" si="10"/>
        <v>0</v>
      </c>
      <c r="CN11">
        <f t="shared" si="10"/>
        <v>0</v>
      </c>
      <c r="CO11">
        <f t="shared" si="10"/>
        <v>0</v>
      </c>
      <c r="CP11">
        <f t="shared" si="10"/>
        <v>0</v>
      </c>
      <c r="CQ11">
        <f t="shared" si="10"/>
        <v>0</v>
      </c>
      <c r="CR11">
        <f t="shared" si="10"/>
        <v>135.31500800000001</v>
      </c>
      <c r="CS11">
        <f t="shared" si="10"/>
        <v>52.542133999999997</v>
      </c>
      <c r="CT11">
        <f t="shared" si="10"/>
        <v>80.065910000000002</v>
      </c>
      <c r="CU11">
        <f t="shared" si="10"/>
        <v>45.865036000000003</v>
      </c>
      <c r="CV11">
        <f t="shared" si="10"/>
        <v>136.658366</v>
      </c>
      <c r="CW11">
        <f t="shared" si="10"/>
        <v>142.34564800000001</v>
      </c>
      <c r="CX11">
        <f t="shared" si="10"/>
        <v>184.08479800000001</v>
      </c>
      <c r="CY11">
        <f t="shared" si="10"/>
        <v>150.18460999999999</v>
      </c>
      <c r="CZ11">
        <f t="shared" si="10"/>
        <v>55.751952000000003</v>
      </c>
      <c r="DA11">
        <f t="shared" si="10"/>
        <v>163.63175799999999</v>
      </c>
      <c r="DB11">
        <f t="shared" si="10"/>
        <v>38.279907999999999</v>
      </c>
      <c r="DC11">
        <f t="shared" si="10"/>
        <v>150.81496799999999</v>
      </c>
      <c r="DD11">
        <f t="shared" si="10"/>
        <v>130.373448</v>
      </c>
      <c r="DE11">
        <f t="shared" si="10"/>
        <v>187.80141599999999</v>
      </c>
      <c r="DF11">
        <f t="shared" si="10"/>
        <v>31.426368</v>
      </c>
      <c r="DG11">
        <f t="shared" si="10"/>
        <v>18.619972000000001</v>
      </c>
      <c r="DH11">
        <f t="shared" si="10"/>
        <v>169.98242400000001</v>
      </c>
      <c r="DI11">
        <f t="shared" si="10"/>
        <v>84.227857999999998</v>
      </c>
      <c r="DJ11">
        <f t="shared" si="10"/>
        <v>76.647598000000002</v>
      </c>
      <c r="DK11">
        <f t="shared" si="10"/>
        <v>130.909414</v>
      </c>
      <c r="DL11">
        <f t="shared" si="10"/>
        <v>52.244160000000001</v>
      </c>
      <c r="DM11">
        <f t="shared" si="10"/>
        <v>108.081608</v>
      </c>
      <c r="DN11">
        <f t="shared" si="10"/>
        <v>36.634632000000003</v>
      </c>
      <c r="DO11">
        <f t="shared" si="10"/>
        <v>131.814212</v>
      </c>
      <c r="DP11">
        <f t="shared" si="10"/>
        <v>170.36977400000001</v>
      </c>
      <c r="DQ11">
        <f t="shared" si="10"/>
        <v>73.780608000000001</v>
      </c>
      <c r="DR11">
        <f t="shared" si="10"/>
        <v>171.52311</v>
      </c>
      <c r="DS11">
        <f t="shared" si="10"/>
        <v>152.95306199999999</v>
      </c>
      <c r="DT11">
        <f t="shared" si="10"/>
        <v>94.833365999999998</v>
      </c>
      <c r="DU11">
        <f t="shared" si="10"/>
        <v>137.32028600000001</v>
      </c>
      <c r="DV11">
        <f t="shared" si="10"/>
        <v>131.7559</v>
      </c>
      <c r="DW11">
        <f t="shared" si="10"/>
        <v>174.371666</v>
      </c>
      <c r="DX11">
        <f t="shared" si="10"/>
        <v>17.901702</v>
      </c>
      <c r="DY11">
        <f t="shared" si="10"/>
        <v>55.473891999999999</v>
      </c>
      <c r="DZ11">
        <f t="shared" si="10"/>
        <v>129.23328799999999</v>
      </c>
      <c r="EA11">
        <f t="shared" si="10"/>
        <v>30.730374000000001</v>
      </c>
      <c r="EB11">
        <f t="shared" si="10"/>
        <v>108.388632</v>
      </c>
      <c r="EC11">
        <f t="shared" si="10"/>
        <v>55.112549999999999</v>
      </c>
      <c r="ED11">
        <f t="shared" si="10"/>
        <v>24.188448000000001</v>
      </c>
      <c r="EE11">
        <f t="shared" si="10"/>
        <v>81.803775999999999</v>
      </c>
      <c r="EF11">
        <f t="shared" si="10"/>
        <v>109.26746799999999</v>
      </c>
      <c r="EG11">
        <f t="shared" si="10"/>
        <v>22.296023999999999</v>
      </c>
      <c r="EH11">
        <f t="shared" ref="EH11:FE11" si="11">EH10*2</f>
        <v>23.642094</v>
      </c>
      <c r="EI11">
        <f t="shared" si="11"/>
        <v>82.312910000000002</v>
      </c>
      <c r="EJ11">
        <f t="shared" si="11"/>
        <v>141.91043999999999</v>
      </c>
      <c r="EK11">
        <f t="shared" si="11"/>
        <v>103.01178400000001</v>
      </c>
      <c r="EL11">
        <f t="shared" si="11"/>
        <v>3.610798</v>
      </c>
      <c r="EM11">
        <f t="shared" si="11"/>
        <v>13.912862000000001</v>
      </c>
      <c r="EN11">
        <f t="shared" si="11"/>
        <v>54.399894000000003</v>
      </c>
      <c r="EO11">
        <f t="shared" si="11"/>
        <v>167.848184</v>
      </c>
      <c r="EP11">
        <f t="shared" si="11"/>
        <v>160.335452</v>
      </c>
      <c r="EQ11">
        <f t="shared" si="11"/>
        <v>7.7330120000000004</v>
      </c>
      <c r="ER11">
        <f t="shared" si="11"/>
        <v>49.789822000000001</v>
      </c>
      <c r="ES11">
        <f t="shared" si="11"/>
        <v>170.55253200000001</v>
      </c>
      <c r="ET11">
        <f t="shared" si="11"/>
        <v>109.19651</v>
      </c>
      <c r="EU11">
        <f t="shared" si="11"/>
        <v>118.07868000000001</v>
      </c>
      <c r="EV11">
        <f t="shared" si="11"/>
        <v>69.099148</v>
      </c>
      <c r="EW11">
        <f t="shared" si="11"/>
        <v>85.598117999999999</v>
      </c>
      <c r="EX11">
        <f t="shared" si="11"/>
        <v>12.006974</v>
      </c>
      <c r="EY11">
        <f t="shared" si="11"/>
        <v>90.285985999999994</v>
      </c>
      <c r="EZ11">
        <f t="shared" si="11"/>
        <v>88.323713999999995</v>
      </c>
      <c r="FA11">
        <f t="shared" si="11"/>
        <v>196.51480000000001</v>
      </c>
      <c r="FB11">
        <f t="shared" si="11"/>
        <v>40.642218</v>
      </c>
      <c r="FC11">
        <f t="shared" si="11"/>
        <v>137.973896</v>
      </c>
      <c r="FD11">
        <f t="shared" si="11"/>
        <v>115.012756</v>
      </c>
      <c r="FE11">
        <f t="shared" si="11"/>
        <v>24.559756</v>
      </c>
    </row>
    <row r="12" spans="2:453" x14ac:dyDescent="0.25">
      <c r="E12" s="6"/>
      <c r="F12" s="6" t="str">
        <f xml:space="preserve"> _xll.EPMOlapMemberO("[PRDID].[].[IBP-200]","","IBP-200","","000")</f>
        <v>IBP-200</v>
      </c>
      <c r="G12" s="6" t="str">
        <f xml:space="preserve"> _xll.EPMOlapMemberO("[CUSTID].[].[CUST A]","","Customer A","","000")</f>
        <v>Customer A</v>
      </c>
      <c r="H12" s="6" t="str">
        <f xml:space="preserve"> _xll.EPMOlapMemberO("[KEY_FIGURES].[].[CONSENSUSDEMAND]","","Customer Demand","","000")</f>
        <v>Customer Demand</v>
      </c>
      <c r="CR12">
        <v>57.210286000000004</v>
      </c>
      <c r="CS12">
        <v>34.295904999999998</v>
      </c>
      <c r="CT12">
        <v>29.937404999999998</v>
      </c>
      <c r="CU12">
        <v>71.056358000000003</v>
      </c>
      <c r="CV12">
        <v>-92.499954000000002</v>
      </c>
      <c r="CW12">
        <v>33.797367999999999</v>
      </c>
      <c r="CX12">
        <v>32.807989999999997</v>
      </c>
      <c r="CY12">
        <v>93.293413000000001</v>
      </c>
      <c r="CZ12">
        <v>79.855524000000003</v>
      </c>
      <c r="DA12">
        <v>18.011289999999999</v>
      </c>
      <c r="DB12">
        <v>47.966431999999998</v>
      </c>
      <c r="DC12">
        <v>87.788427999999996</v>
      </c>
      <c r="DD12">
        <v>84.637863999999993</v>
      </c>
      <c r="DE12">
        <v>29.808758000000001</v>
      </c>
      <c r="DF12">
        <v>85.295793000000003</v>
      </c>
      <c r="DG12">
        <v>61.463428</v>
      </c>
      <c r="DH12">
        <v>32.174841000000001</v>
      </c>
      <c r="DI12">
        <v>13.811899</v>
      </c>
      <c r="DJ12">
        <v>38.634720999999999</v>
      </c>
      <c r="DK12">
        <v>19.406441000000001</v>
      </c>
      <c r="DL12">
        <v>22.249891999999999</v>
      </c>
      <c r="DM12">
        <v>39.750458000000002</v>
      </c>
      <c r="DN12">
        <v>45.098515999999996</v>
      </c>
      <c r="DO12">
        <v>88.879485000000003</v>
      </c>
      <c r="DP12">
        <v>63.962575000000001</v>
      </c>
      <c r="DQ12">
        <v>36.689920999999998</v>
      </c>
      <c r="DR12">
        <v>75.767883999999995</v>
      </c>
      <c r="DS12">
        <v>33.928521000000003</v>
      </c>
      <c r="DT12">
        <v>77.106454999999997</v>
      </c>
      <c r="DU12">
        <v>33.82779</v>
      </c>
      <c r="DV12">
        <v>61.840181000000001</v>
      </c>
      <c r="DW12">
        <v>55.464668000000003</v>
      </c>
      <c r="DX12">
        <v>1.2013990000000001</v>
      </c>
      <c r="DY12">
        <v>89.884020000000007</v>
      </c>
      <c r="DZ12">
        <v>63.854619</v>
      </c>
      <c r="EA12">
        <v>41.080514999999998</v>
      </c>
      <c r="EB12">
        <v>8.9698080000000004</v>
      </c>
      <c r="EC12">
        <v>30.447946000000002</v>
      </c>
      <c r="ED12">
        <v>69.610247999999999</v>
      </c>
      <c r="EE12">
        <v>7.4652969999999996</v>
      </c>
      <c r="EF12">
        <v>91.229450999999997</v>
      </c>
      <c r="EG12">
        <v>51.524231999999998</v>
      </c>
      <c r="EH12">
        <v>75.871104000000003</v>
      </c>
      <c r="EI12">
        <v>56.361328</v>
      </c>
      <c r="EJ12">
        <v>4.3671199999999999</v>
      </c>
      <c r="EK12">
        <v>43.342346999999997</v>
      </c>
      <c r="EL12">
        <v>55.264042000000003</v>
      </c>
      <c r="EM12">
        <v>32.305607999999999</v>
      </c>
      <c r="EN12">
        <v>67.231182000000004</v>
      </c>
      <c r="EO12">
        <v>21.462578000000001</v>
      </c>
      <c r="EP12">
        <v>40.456507000000002</v>
      </c>
      <c r="EQ12">
        <v>10.614591000000001</v>
      </c>
      <c r="ER12">
        <v>83.935531999999995</v>
      </c>
      <c r="ES12">
        <v>68.178944999999999</v>
      </c>
      <c r="ET12">
        <v>41.323692999999999</v>
      </c>
      <c r="EU12">
        <v>65.769930000000002</v>
      </c>
      <c r="EV12">
        <v>54.584546000000003</v>
      </c>
      <c r="EW12">
        <v>88.027479999999997</v>
      </c>
      <c r="EX12">
        <v>60.322403999999999</v>
      </c>
      <c r="EY12">
        <v>70.954622000000001</v>
      </c>
      <c r="EZ12">
        <v>37.527293</v>
      </c>
      <c r="FA12">
        <v>94.877641999999994</v>
      </c>
      <c r="FB12">
        <v>15.069383</v>
      </c>
      <c r="FC12">
        <v>93.602359000000007</v>
      </c>
      <c r="FD12">
        <v>98.094945999999993</v>
      </c>
      <c r="FE12">
        <v>15.183310000000001</v>
      </c>
    </row>
    <row r="13" spans="2:453" x14ac:dyDescent="0.25">
      <c r="E13" s="6"/>
      <c r="F13" s="6"/>
      <c r="G13" s="6"/>
      <c r="H13" s="6" t="str">
        <f xml:space="preserve"> _xll.EPMLocalMember("Local member","000","000")</f>
        <v>Local member</v>
      </c>
      <c r="I13">
        <f>I12*2</f>
        <v>0</v>
      </c>
      <c r="J13">
        <f t="shared" ref="J13:BU13" si="12">J12*2</f>
        <v>0</v>
      </c>
      <c r="K13">
        <f t="shared" si="12"/>
        <v>0</v>
      </c>
      <c r="L13">
        <f t="shared" si="12"/>
        <v>0</v>
      </c>
      <c r="M13">
        <f t="shared" si="12"/>
        <v>0</v>
      </c>
      <c r="N13">
        <f t="shared" si="12"/>
        <v>0</v>
      </c>
      <c r="O13">
        <f t="shared" si="12"/>
        <v>0</v>
      </c>
      <c r="P13">
        <f t="shared" si="12"/>
        <v>0</v>
      </c>
      <c r="Q13">
        <f t="shared" si="12"/>
        <v>0</v>
      </c>
      <c r="R13">
        <f t="shared" si="12"/>
        <v>0</v>
      </c>
      <c r="S13">
        <f t="shared" si="12"/>
        <v>0</v>
      </c>
      <c r="T13">
        <f t="shared" si="12"/>
        <v>0</v>
      </c>
      <c r="U13">
        <f t="shared" si="12"/>
        <v>0</v>
      </c>
      <c r="V13">
        <f t="shared" si="12"/>
        <v>0</v>
      </c>
      <c r="W13">
        <f t="shared" si="12"/>
        <v>0</v>
      </c>
      <c r="X13">
        <f t="shared" si="12"/>
        <v>0</v>
      </c>
      <c r="Y13">
        <f t="shared" si="12"/>
        <v>0</v>
      </c>
      <c r="Z13">
        <f t="shared" si="12"/>
        <v>0</v>
      </c>
      <c r="AA13">
        <f t="shared" si="12"/>
        <v>0</v>
      </c>
      <c r="AB13">
        <f t="shared" si="12"/>
        <v>0</v>
      </c>
      <c r="AC13">
        <f t="shared" si="12"/>
        <v>0</v>
      </c>
      <c r="AD13">
        <f t="shared" si="12"/>
        <v>0</v>
      </c>
      <c r="AE13">
        <f t="shared" si="12"/>
        <v>0</v>
      </c>
      <c r="AF13">
        <f t="shared" si="12"/>
        <v>0</v>
      </c>
      <c r="AG13">
        <f t="shared" si="12"/>
        <v>0</v>
      </c>
      <c r="AH13">
        <f t="shared" si="12"/>
        <v>0</v>
      </c>
      <c r="AI13">
        <f t="shared" si="12"/>
        <v>0</v>
      </c>
      <c r="AJ13">
        <f t="shared" si="12"/>
        <v>0</v>
      </c>
      <c r="AK13">
        <f t="shared" si="12"/>
        <v>0</v>
      </c>
      <c r="AL13">
        <f t="shared" si="12"/>
        <v>0</v>
      </c>
      <c r="AM13">
        <f t="shared" si="12"/>
        <v>0</v>
      </c>
      <c r="AN13">
        <f t="shared" si="12"/>
        <v>0</v>
      </c>
      <c r="AO13">
        <f t="shared" si="12"/>
        <v>0</v>
      </c>
      <c r="AP13">
        <f t="shared" si="12"/>
        <v>0</v>
      </c>
      <c r="AQ13">
        <f t="shared" si="12"/>
        <v>0</v>
      </c>
      <c r="AR13">
        <f t="shared" si="12"/>
        <v>0</v>
      </c>
      <c r="AS13">
        <f t="shared" si="12"/>
        <v>0</v>
      </c>
      <c r="AT13">
        <f t="shared" si="12"/>
        <v>0</v>
      </c>
      <c r="AU13">
        <f t="shared" si="12"/>
        <v>0</v>
      </c>
      <c r="AV13">
        <f t="shared" si="12"/>
        <v>0</v>
      </c>
      <c r="AW13">
        <f t="shared" si="12"/>
        <v>0</v>
      </c>
      <c r="AX13">
        <f t="shared" si="12"/>
        <v>0</v>
      </c>
      <c r="AY13">
        <f t="shared" si="12"/>
        <v>0</v>
      </c>
      <c r="AZ13">
        <f t="shared" si="12"/>
        <v>0</v>
      </c>
      <c r="BA13">
        <f t="shared" si="12"/>
        <v>0</v>
      </c>
      <c r="BB13">
        <f t="shared" si="12"/>
        <v>0</v>
      </c>
      <c r="BC13">
        <f t="shared" si="12"/>
        <v>0</v>
      </c>
      <c r="BD13">
        <f t="shared" si="12"/>
        <v>0</v>
      </c>
      <c r="BE13">
        <f t="shared" si="12"/>
        <v>0</v>
      </c>
      <c r="BF13">
        <f t="shared" si="12"/>
        <v>0</v>
      </c>
      <c r="BG13">
        <f t="shared" si="12"/>
        <v>0</v>
      </c>
      <c r="BH13">
        <f t="shared" si="12"/>
        <v>0</v>
      </c>
      <c r="BI13">
        <f t="shared" si="12"/>
        <v>0</v>
      </c>
      <c r="BJ13">
        <f t="shared" si="12"/>
        <v>0</v>
      </c>
      <c r="BK13">
        <f t="shared" si="12"/>
        <v>0</v>
      </c>
      <c r="BL13">
        <f t="shared" si="12"/>
        <v>0</v>
      </c>
      <c r="BM13">
        <f t="shared" si="12"/>
        <v>0</v>
      </c>
      <c r="BN13">
        <f t="shared" si="12"/>
        <v>0</v>
      </c>
      <c r="BO13">
        <f t="shared" si="12"/>
        <v>0</v>
      </c>
      <c r="BP13">
        <f t="shared" si="12"/>
        <v>0</v>
      </c>
      <c r="BQ13">
        <f t="shared" si="12"/>
        <v>0</v>
      </c>
      <c r="BR13">
        <f t="shared" si="12"/>
        <v>0</v>
      </c>
      <c r="BS13">
        <f t="shared" si="12"/>
        <v>0</v>
      </c>
      <c r="BT13">
        <f t="shared" si="12"/>
        <v>0</v>
      </c>
      <c r="BU13">
        <f t="shared" si="12"/>
        <v>0</v>
      </c>
      <c r="BV13">
        <f t="shared" ref="BV13:EG13" si="13">BV12*2</f>
        <v>0</v>
      </c>
      <c r="BW13">
        <f t="shared" si="13"/>
        <v>0</v>
      </c>
      <c r="BX13">
        <f t="shared" si="13"/>
        <v>0</v>
      </c>
      <c r="BY13">
        <f t="shared" si="13"/>
        <v>0</v>
      </c>
      <c r="BZ13">
        <f t="shared" si="13"/>
        <v>0</v>
      </c>
      <c r="CA13">
        <f t="shared" si="13"/>
        <v>0</v>
      </c>
      <c r="CB13">
        <f t="shared" si="13"/>
        <v>0</v>
      </c>
      <c r="CC13">
        <f t="shared" si="13"/>
        <v>0</v>
      </c>
      <c r="CD13">
        <f t="shared" si="13"/>
        <v>0</v>
      </c>
      <c r="CE13">
        <f t="shared" si="13"/>
        <v>0</v>
      </c>
      <c r="CF13">
        <f t="shared" si="13"/>
        <v>0</v>
      </c>
      <c r="CG13">
        <f t="shared" si="13"/>
        <v>0</v>
      </c>
      <c r="CH13">
        <f t="shared" si="13"/>
        <v>0</v>
      </c>
      <c r="CI13">
        <f t="shared" si="13"/>
        <v>0</v>
      </c>
      <c r="CJ13">
        <f t="shared" si="13"/>
        <v>0</v>
      </c>
      <c r="CK13">
        <f t="shared" si="13"/>
        <v>0</v>
      </c>
      <c r="CL13">
        <f t="shared" si="13"/>
        <v>0</v>
      </c>
      <c r="CM13">
        <f t="shared" si="13"/>
        <v>0</v>
      </c>
      <c r="CN13">
        <f t="shared" si="13"/>
        <v>0</v>
      </c>
      <c r="CO13">
        <f t="shared" si="13"/>
        <v>0</v>
      </c>
      <c r="CP13">
        <f t="shared" si="13"/>
        <v>0</v>
      </c>
      <c r="CQ13">
        <f t="shared" si="13"/>
        <v>0</v>
      </c>
      <c r="CR13">
        <f t="shared" si="13"/>
        <v>114.42057200000001</v>
      </c>
      <c r="CS13">
        <f t="shared" si="13"/>
        <v>68.591809999999995</v>
      </c>
      <c r="CT13">
        <f t="shared" si="13"/>
        <v>59.874809999999997</v>
      </c>
      <c r="CU13">
        <f t="shared" si="13"/>
        <v>142.11271600000001</v>
      </c>
      <c r="CV13">
        <f t="shared" si="13"/>
        <v>-184.999908</v>
      </c>
      <c r="CW13">
        <f t="shared" si="13"/>
        <v>67.594735999999997</v>
      </c>
      <c r="CX13">
        <f t="shared" si="13"/>
        <v>65.615979999999993</v>
      </c>
      <c r="CY13">
        <f t="shared" si="13"/>
        <v>186.586826</v>
      </c>
      <c r="CZ13">
        <f t="shared" si="13"/>
        <v>159.71104800000001</v>
      </c>
      <c r="DA13">
        <f t="shared" si="13"/>
        <v>36.022579999999998</v>
      </c>
      <c r="DB13">
        <f t="shared" si="13"/>
        <v>95.932863999999995</v>
      </c>
      <c r="DC13">
        <f t="shared" si="13"/>
        <v>175.57685599999999</v>
      </c>
      <c r="DD13">
        <f t="shared" si="13"/>
        <v>169.27572799999999</v>
      </c>
      <c r="DE13">
        <f t="shared" si="13"/>
        <v>59.617516000000002</v>
      </c>
      <c r="DF13">
        <f t="shared" si="13"/>
        <v>170.59158600000001</v>
      </c>
      <c r="DG13">
        <f t="shared" si="13"/>
        <v>122.926856</v>
      </c>
      <c r="DH13">
        <f t="shared" si="13"/>
        <v>64.349682000000001</v>
      </c>
      <c r="DI13">
        <f t="shared" si="13"/>
        <v>27.623798000000001</v>
      </c>
      <c r="DJ13">
        <f t="shared" si="13"/>
        <v>77.269441999999998</v>
      </c>
      <c r="DK13">
        <f t="shared" si="13"/>
        <v>38.812882000000002</v>
      </c>
      <c r="DL13">
        <f t="shared" si="13"/>
        <v>44.499783999999998</v>
      </c>
      <c r="DM13">
        <f t="shared" si="13"/>
        <v>79.500916000000004</v>
      </c>
      <c r="DN13">
        <f t="shared" si="13"/>
        <v>90.197031999999993</v>
      </c>
      <c r="DO13">
        <f t="shared" si="13"/>
        <v>177.75897000000001</v>
      </c>
      <c r="DP13">
        <f t="shared" si="13"/>
        <v>127.92515</v>
      </c>
      <c r="DQ13">
        <f t="shared" si="13"/>
        <v>73.379841999999996</v>
      </c>
      <c r="DR13">
        <f t="shared" si="13"/>
        <v>151.53576799999999</v>
      </c>
      <c r="DS13">
        <f t="shared" si="13"/>
        <v>67.857042000000007</v>
      </c>
      <c r="DT13">
        <f t="shared" si="13"/>
        <v>154.21290999999999</v>
      </c>
      <c r="DU13">
        <f t="shared" si="13"/>
        <v>67.65558</v>
      </c>
      <c r="DV13">
        <f t="shared" si="13"/>
        <v>123.680362</v>
      </c>
      <c r="DW13">
        <f t="shared" si="13"/>
        <v>110.92933600000001</v>
      </c>
      <c r="DX13">
        <f t="shared" si="13"/>
        <v>2.4027980000000002</v>
      </c>
      <c r="DY13">
        <f t="shared" si="13"/>
        <v>179.76804000000001</v>
      </c>
      <c r="DZ13">
        <f t="shared" si="13"/>
        <v>127.709238</v>
      </c>
      <c r="EA13">
        <f t="shared" si="13"/>
        <v>82.161029999999997</v>
      </c>
      <c r="EB13">
        <f t="shared" si="13"/>
        <v>17.939616000000001</v>
      </c>
      <c r="EC13">
        <f t="shared" si="13"/>
        <v>60.895892000000003</v>
      </c>
      <c r="ED13">
        <f t="shared" si="13"/>
        <v>139.220496</v>
      </c>
      <c r="EE13">
        <f t="shared" si="13"/>
        <v>14.930593999999999</v>
      </c>
      <c r="EF13">
        <f t="shared" si="13"/>
        <v>182.45890199999999</v>
      </c>
      <c r="EG13">
        <f t="shared" si="13"/>
        <v>103.048464</v>
      </c>
      <c r="EH13">
        <f t="shared" ref="EH13:FE13" si="14">EH12*2</f>
        <v>151.74220800000001</v>
      </c>
      <c r="EI13">
        <f t="shared" si="14"/>
        <v>112.722656</v>
      </c>
      <c r="EJ13">
        <f t="shared" si="14"/>
        <v>8.7342399999999998</v>
      </c>
      <c r="EK13">
        <f t="shared" si="14"/>
        <v>86.684693999999993</v>
      </c>
      <c r="EL13">
        <f t="shared" si="14"/>
        <v>110.52808400000001</v>
      </c>
      <c r="EM13">
        <f t="shared" si="14"/>
        <v>64.611215999999999</v>
      </c>
      <c r="EN13">
        <f t="shared" si="14"/>
        <v>134.46236400000001</v>
      </c>
      <c r="EO13">
        <f t="shared" si="14"/>
        <v>42.925156000000001</v>
      </c>
      <c r="EP13">
        <f t="shared" si="14"/>
        <v>80.913014000000004</v>
      </c>
      <c r="EQ13">
        <f t="shared" si="14"/>
        <v>21.229182000000002</v>
      </c>
      <c r="ER13">
        <f t="shared" si="14"/>
        <v>167.87106399999999</v>
      </c>
      <c r="ES13">
        <f t="shared" si="14"/>
        <v>136.35789</v>
      </c>
      <c r="ET13">
        <f t="shared" si="14"/>
        <v>82.647385999999997</v>
      </c>
      <c r="EU13">
        <f t="shared" si="14"/>
        <v>131.53986</v>
      </c>
      <c r="EV13">
        <f t="shared" si="14"/>
        <v>109.16909200000001</v>
      </c>
      <c r="EW13">
        <f t="shared" si="14"/>
        <v>176.05495999999999</v>
      </c>
      <c r="EX13">
        <f t="shared" si="14"/>
        <v>120.644808</v>
      </c>
      <c r="EY13">
        <f t="shared" si="14"/>
        <v>141.909244</v>
      </c>
      <c r="EZ13">
        <f t="shared" si="14"/>
        <v>75.054586</v>
      </c>
      <c r="FA13">
        <f t="shared" si="14"/>
        <v>189.75528399999999</v>
      </c>
      <c r="FB13">
        <f t="shared" si="14"/>
        <v>30.138766</v>
      </c>
      <c r="FC13">
        <f t="shared" si="14"/>
        <v>187.20471800000001</v>
      </c>
      <c r="FD13">
        <f t="shared" si="14"/>
        <v>196.18989199999999</v>
      </c>
      <c r="FE13">
        <f t="shared" si="14"/>
        <v>30.366620000000001</v>
      </c>
    </row>
    <row r="14" spans="2:453" x14ac:dyDescent="0.25">
      <c r="E14" s="6"/>
      <c r="F14" s="6"/>
      <c r="G14" s="6"/>
      <c r="H14" s="6"/>
    </row>
    <row r="15" spans="2:453" x14ac:dyDescent="0.25">
      <c r="E15" s="6"/>
      <c r="F15" s="6"/>
      <c r="G15" s="6"/>
      <c r="H15" s="6"/>
    </row>
    <row r="16" spans="2:453" x14ac:dyDescent="0.25">
      <c r="E16" s="6"/>
      <c r="F16" s="6"/>
      <c r="G16" s="6"/>
      <c r="H16" s="6"/>
    </row>
    <row r="17" spans="5:8" x14ac:dyDescent="0.25">
      <c r="E17" s="6"/>
      <c r="F17" s="6"/>
      <c r="G17" s="6"/>
      <c r="H17" s="6"/>
    </row>
    <row r="18" spans="5:8" x14ac:dyDescent="0.25">
      <c r="E18" s="6"/>
      <c r="F18" s="6"/>
      <c r="G18" s="6"/>
      <c r="H18" s="6"/>
    </row>
    <row r="19" spans="5:8" x14ac:dyDescent="0.25">
      <c r="E19" s="6"/>
      <c r="F19" s="6"/>
      <c r="G19" s="6"/>
      <c r="H19" s="6"/>
    </row>
    <row r="20" spans="5:8" x14ac:dyDescent="0.25">
      <c r="E20" s="6"/>
      <c r="F20" s="6"/>
      <c r="G20" s="6"/>
      <c r="H20" s="6"/>
    </row>
    <row r="21" spans="5:8" x14ac:dyDescent="0.25">
      <c r="E21" s="6"/>
      <c r="F21" s="6"/>
      <c r="G21" s="6"/>
      <c r="H21" s="6"/>
    </row>
    <row r="22" spans="5:8" x14ac:dyDescent="0.25">
      <c r="E22" s="6"/>
      <c r="F22" s="6"/>
      <c r="G22" s="6"/>
      <c r="H22" s="6"/>
    </row>
    <row r="23" spans="5:8" x14ac:dyDescent="0.25">
      <c r="E23" s="6"/>
      <c r="F23" s="6"/>
      <c r="G23" s="6"/>
      <c r="H23" s="6"/>
    </row>
    <row r="24" spans="5:8" x14ac:dyDescent="0.25">
      <c r="E24" s="6"/>
      <c r="F24" s="6"/>
      <c r="G24" s="6"/>
      <c r="H24" s="6"/>
    </row>
    <row r="25" spans="5:8" x14ac:dyDescent="0.25">
      <c r="E25" s="6"/>
      <c r="F25" s="6"/>
      <c r="G25" s="6"/>
      <c r="H25" s="6"/>
    </row>
    <row r="26" spans="5:8" x14ac:dyDescent="0.25">
      <c r="E26" s="6"/>
      <c r="F26" s="6"/>
      <c r="G26" s="6"/>
      <c r="H26" s="6"/>
    </row>
    <row r="27" spans="5:8" x14ac:dyDescent="0.25">
      <c r="E27" s="6"/>
      <c r="F27" s="6"/>
      <c r="G27" s="6"/>
      <c r="H27" s="6"/>
    </row>
    <row r="28" spans="5:8" x14ac:dyDescent="0.25">
      <c r="E28" s="6"/>
      <c r="F28" s="6"/>
      <c r="G28" s="6"/>
      <c r="H28" s="6"/>
    </row>
    <row r="29" spans="5:8" x14ac:dyDescent="0.25">
      <c r="E29" s="6"/>
      <c r="F29" s="6"/>
      <c r="G29" s="6"/>
      <c r="H29" s="6"/>
    </row>
    <row r="30" spans="5:8" x14ac:dyDescent="0.25">
      <c r="E30" s="6"/>
      <c r="F30" s="6"/>
      <c r="G30" s="6"/>
      <c r="H30" s="6"/>
    </row>
    <row r="31" spans="5:8" x14ac:dyDescent="0.25">
      <c r="E31" s="6"/>
      <c r="F31" s="6"/>
      <c r="G31" s="6"/>
      <c r="H31" s="6"/>
    </row>
    <row r="32" spans="5:8" x14ac:dyDescent="0.25">
      <c r="E32" s="6"/>
      <c r="F32" s="6"/>
      <c r="G32" s="6"/>
      <c r="H32" s="6"/>
    </row>
    <row r="33" spans="5:8" x14ac:dyDescent="0.25">
      <c r="E33" s="6"/>
      <c r="F33" s="6"/>
      <c r="G33" s="6"/>
      <c r="H33" s="6"/>
    </row>
    <row r="34" spans="5:8" x14ac:dyDescent="0.25">
      <c r="E34" s="6"/>
      <c r="F34" s="6"/>
      <c r="G34" s="6"/>
      <c r="H34" s="6"/>
    </row>
    <row r="35" spans="5:8" x14ac:dyDescent="0.25">
      <c r="E35" s="6"/>
      <c r="F35" s="6"/>
      <c r="G35" s="6"/>
      <c r="H35" s="6"/>
    </row>
    <row r="36" spans="5:8" x14ac:dyDescent="0.25">
      <c r="E36" s="6"/>
      <c r="F36" s="6"/>
      <c r="G36" s="6"/>
      <c r="H36" s="6"/>
    </row>
    <row r="37" spans="5:8" x14ac:dyDescent="0.25">
      <c r="E37" s="6"/>
      <c r="F37" s="6"/>
      <c r="G37" s="6"/>
      <c r="H37" s="6"/>
    </row>
    <row r="38" spans="5:8" x14ac:dyDescent="0.25">
      <c r="E38" s="6"/>
      <c r="F38" s="6"/>
      <c r="G38" s="6"/>
      <c r="H38" s="6"/>
    </row>
    <row r="39" spans="5:8" x14ac:dyDescent="0.25">
      <c r="E39" s="6"/>
      <c r="F39" s="6"/>
      <c r="G39" s="6"/>
      <c r="H39" s="6"/>
    </row>
    <row r="40" spans="5:8" x14ac:dyDescent="0.25">
      <c r="E40" s="6"/>
      <c r="F40" s="6"/>
      <c r="G40" s="6"/>
      <c r="H40" s="6"/>
    </row>
    <row r="41" spans="5:8" x14ac:dyDescent="0.25">
      <c r="E41" s="6"/>
      <c r="F41" s="6"/>
      <c r="G41" s="6"/>
      <c r="H41" s="6"/>
    </row>
    <row r="42" spans="5:8" x14ac:dyDescent="0.25">
      <c r="E42" s="6"/>
      <c r="F42" s="6"/>
      <c r="G42" s="6"/>
      <c r="H42" s="6"/>
    </row>
    <row r="43" spans="5:8" x14ac:dyDescent="0.25">
      <c r="E43" s="6"/>
      <c r="F43" s="6"/>
      <c r="G43" s="6"/>
      <c r="H43" s="6"/>
    </row>
    <row r="44" spans="5:8" x14ac:dyDescent="0.25">
      <c r="E44" s="6"/>
      <c r="F44" s="6"/>
      <c r="G44" s="6"/>
      <c r="H44" s="6"/>
    </row>
    <row r="45" spans="5:8" x14ac:dyDescent="0.25">
      <c r="E45" s="6"/>
      <c r="F45" s="6"/>
      <c r="G45" s="6"/>
      <c r="H45" s="6"/>
    </row>
    <row r="46" spans="5:8" x14ac:dyDescent="0.25">
      <c r="E46" s="6"/>
      <c r="F46" s="6"/>
      <c r="G46" s="6"/>
      <c r="H46" s="6"/>
    </row>
    <row r="47" spans="5:8" x14ac:dyDescent="0.25">
      <c r="E47" s="6"/>
      <c r="F47" s="6"/>
      <c r="G47" s="6"/>
      <c r="H47" s="6"/>
    </row>
    <row r="48" spans="5:8" x14ac:dyDescent="0.25">
      <c r="E48" s="6"/>
      <c r="F48" s="6"/>
      <c r="G48" s="6"/>
      <c r="H48" s="6"/>
    </row>
    <row r="49" spans="5:8" x14ac:dyDescent="0.25">
      <c r="E49" s="6"/>
      <c r="F49" s="6"/>
      <c r="G49" s="6"/>
      <c r="H49" s="6"/>
    </row>
    <row r="50" spans="5:8" x14ac:dyDescent="0.25">
      <c r="E50" s="6"/>
      <c r="F50" s="6"/>
      <c r="G50" s="6"/>
      <c r="H50" s="6"/>
    </row>
    <row r="51" spans="5:8" x14ac:dyDescent="0.25">
      <c r="E51" s="6"/>
      <c r="F51" s="6"/>
      <c r="G51" s="6"/>
      <c r="H51" s="6"/>
    </row>
    <row r="52" spans="5:8" x14ac:dyDescent="0.25">
      <c r="E52" s="6"/>
      <c r="F52" s="6"/>
      <c r="G52" s="6"/>
      <c r="H52" s="6"/>
    </row>
    <row r="53" spans="5:8" x14ac:dyDescent="0.25">
      <c r="E53" s="6"/>
      <c r="F53" s="6"/>
      <c r="G53" s="6"/>
      <c r="H53" s="6"/>
    </row>
    <row r="54" spans="5:8" x14ac:dyDescent="0.25">
      <c r="E54" s="6"/>
      <c r="F54" s="6"/>
      <c r="G54" s="6"/>
      <c r="H54" s="6"/>
    </row>
    <row r="55" spans="5:8" x14ac:dyDescent="0.25">
      <c r="E55" s="6"/>
      <c r="F55" s="6"/>
      <c r="G55" s="6"/>
      <c r="H55" s="6"/>
    </row>
    <row r="56" spans="5:8" x14ac:dyDescent="0.25">
      <c r="E56" s="6"/>
      <c r="F56" s="6"/>
      <c r="G56" s="6"/>
      <c r="H56" s="6"/>
    </row>
    <row r="57" spans="5:8" x14ac:dyDescent="0.25">
      <c r="E57" s="6"/>
      <c r="F57" s="6"/>
      <c r="G57" s="6"/>
      <c r="H57" s="6"/>
    </row>
    <row r="58" spans="5:8" x14ac:dyDescent="0.25">
      <c r="E58" s="6"/>
      <c r="F58" s="6"/>
      <c r="G58" s="6"/>
      <c r="H58" s="6"/>
    </row>
    <row r="59" spans="5:8" x14ac:dyDescent="0.25">
      <c r="E59" s="6"/>
      <c r="F59" s="6"/>
      <c r="G59" s="6"/>
      <c r="H59" s="6"/>
    </row>
    <row r="60" spans="5:8" x14ac:dyDescent="0.25">
      <c r="E60" s="6"/>
      <c r="F60" s="6"/>
      <c r="G60" s="6"/>
      <c r="H60" s="6"/>
    </row>
    <row r="61" spans="5:8" x14ac:dyDescent="0.25">
      <c r="E61" s="6"/>
      <c r="F61" s="6"/>
      <c r="G61" s="6"/>
      <c r="H61" s="6"/>
    </row>
    <row r="62" spans="5:8" x14ac:dyDescent="0.25">
      <c r="E62" s="6"/>
      <c r="F62" s="6"/>
      <c r="G62" s="6"/>
      <c r="H62" s="6"/>
    </row>
    <row r="63" spans="5:8" x14ac:dyDescent="0.25">
      <c r="E63" s="6"/>
      <c r="F63" s="6"/>
      <c r="G63" s="6"/>
      <c r="H63" s="6"/>
    </row>
    <row r="64" spans="5:8" x14ac:dyDescent="0.25">
      <c r="E64" s="6"/>
      <c r="F64" s="6"/>
      <c r="G64" s="6"/>
      <c r="H64" s="6"/>
    </row>
    <row r="65" spans="5:8" x14ac:dyDescent="0.25">
      <c r="E65" s="6"/>
      <c r="F65" s="6"/>
      <c r="G65" s="6"/>
      <c r="H65" s="6"/>
    </row>
    <row r="66" spans="5:8" x14ac:dyDescent="0.25">
      <c r="E66" s="6"/>
      <c r="F66" s="6"/>
      <c r="G66" s="6"/>
      <c r="H66" s="6"/>
    </row>
    <row r="67" spans="5:8" x14ac:dyDescent="0.25">
      <c r="E67" s="6"/>
      <c r="F67" s="6"/>
      <c r="G67" s="6"/>
      <c r="H67" s="6"/>
    </row>
    <row r="68" spans="5:8" x14ac:dyDescent="0.25">
      <c r="E68" s="6"/>
      <c r="F68" s="6"/>
      <c r="G68" s="6"/>
      <c r="H68" s="6"/>
    </row>
    <row r="69" spans="5:8" x14ac:dyDescent="0.25">
      <c r="E69" s="6"/>
      <c r="F69" s="6"/>
      <c r="G69" s="6"/>
      <c r="H69" s="6"/>
    </row>
    <row r="70" spans="5:8" x14ac:dyDescent="0.25">
      <c r="E70" s="6"/>
      <c r="F70" s="6"/>
      <c r="G70" s="6"/>
      <c r="H70" s="6"/>
    </row>
    <row r="71" spans="5:8" x14ac:dyDescent="0.25">
      <c r="E71" s="6"/>
      <c r="F71" s="6"/>
      <c r="G71" s="6"/>
      <c r="H71" s="6"/>
    </row>
    <row r="72" spans="5:8" x14ac:dyDescent="0.25">
      <c r="E72" s="6"/>
      <c r="F72" s="6"/>
      <c r="G72" s="6"/>
      <c r="H72" s="6"/>
    </row>
    <row r="73" spans="5:8" x14ac:dyDescent="0.25">
      <c r="E73" s="6"/>
      <c r="F73" s="6"/>
      <c r="G73" s="6"/>
      <c r="H73" s="6"/>
    </row>
    <row r="74" spans="5:8" x14ac:dyDescent="0.25">
      <c r="E74" s="6"/>
      <c r="F74" s="6"/>
      <c r="G74" s="6"/>
      <c r="H74" s="6"/>
    </row>
    <row r="75" spans="5:8" x14ac:dyDescent="0.25">
      <c r="E75" s="6"/>
      <c r="F75" s="6"/>
      <c r="G75" s="6"/>
      <c r="H75" s="6"/>
    </row>
    <row r="76" spans="5:8" x14ac:dyDescent="0.25">
      <c r="E76" s="6"/>
      <c r="F76" s="6"/>
      <c r="G76" s="6"/>
      <c r="H76" s="6"/>
    </row>
    <row r="77" spans="5:8" x14ac:dyDescent="0.25">
      <c r="E77" s="6"/>
      <c r="F77" s="6"/>
      <c r="G77" s="6"/>
      <c r="H77" s="6"/>
    </row>
    <row r="78" spans="5:8" x14ac:dyDescent="0.25">
      <c r="E78" s="6"/>
      <c r="F78" s="6"/>
      <c r="G78" s="6"/>
      <c r="H78" s="6"/>
    </row>
    <row r="79" spans="5:8" x14ac:dyDescent="0.25">
      <c r="E79" s="6"/>
      <c r="F79" s="6"/>
      <c r="G79" s="6"/>
      <c r="H79" s="6"/>
    </row>
    <row r="80" spans="5:8" x14ac:dyDescent="0.25">
      <c r="E80" s="6"/>
      <c r="F80" s="6"/>
      <c r="G80" s="6"/>
      <c r="H80" s="6"/>
    </row>
    <row r="81" spans="5:8" x14ac:dyDescent="0.25">
      <c r="E81" s="6"/>
      <c r="F81" s="6"/>
      <c r="G81" s="6"/>
      <c r="H81" s="6"/>
    </row>
    <row r="82" spans="5:8" x14ac:dyDescent="0.25">
      <c r="E82" s="6"/>
      <c r="F82" s="6"/>
      <c r="G82" s="6"/>
      <c r="H82" s="6"/>
    </row>
    <row r="83" spans="5:8" x14ac:dyDescent="0.25">
      <c r="E83" s="6"/>
      <c r="F83" s="6"/>
      <c r="G83" s="6"/>
      <c r="H83" s="6"/>
    </row>
    <row r="84" spans="5:8" x14ac:dyDescent="0.25">
      <c r="E84" s="6"/>
      <c r="F84" s="6"/>
      <c r="G84" s="6"/>
      <c r="H84" s="6"/>
    </row>
    <row r="85" spans="5:8" x14ac:dyDescent="0.25">
      <c r="E85" s="6"/>
      <c r="F85" s="6"/>
      <c r="G85" s="6"/>
      <c r="H85" s="6"/>
    </row>
    <row r="86" spans="5:8" x14ac:dyDescent="0.25">
      <c r="E86" s="6"/>
      <c r="F86" s="6"/>
      <c r="G86" s="6"/>
      <c r="H86" s="6"/>
    </row>
    <row r="87" spans="5:8" x14ac:dyDescent="0.25">
      <c r="E87" s="6"/>
      <c r="F87" s="6"/>
      <c r="G87" s="6"/>
      <c r="H87" s="6"/>
    </row>
    <row r="88" spans="5:8" x14ac:dyDescent="0.25">
      <c r="E88" s="6"/>
      <c r="F88" s="6"/>
      <c r="G88" s="6"/>
      <c r="H88" s="6"/>
    </row>
    <row r="89" spans="5:8" x14ac:dyDescent="0.25">
      <c r="E89" s="6"/>
      <c r="F89" s="6"/>
      <c r="G89" s="6"/>
      <c r="H89" s="6"/>
    </row>
    <row r="90" spans="5:8" x14ac:dyDescent="0.25">
      <c r="E90" s="6"/>
      <c r="F90" s="6"/>
      <c r="G90" s="6"/>
      <c r="H90" s="6"/>
    </row>
    <row r="91" spans="5:8" x14ac:dyDescent="0.25">
      <c r="E91" s="6"/>
      <c r="F91" s="6"/>
      <c r="G91" s="6"/>
      <c r="H91" s="6"/>
    </row>
    <row r="92" spans="5:8" x14ac:dyDescent="0.25">
      <c r="E92" s="6"/>
      <c r="F92" s="6"/>
      <c r="G92" s="6"/>
      <c r="H92" s="6"/>
    </row>
    <row r="93" spans="5:8" x14ac:dyDescent="0.25">
      <c r="E93" s="6"/>
      <c r="F93" s="6"/>
      <c r="G93" s="6"/>
      <c r="H93" s="6"/>
    </row>
    <row r="94" spans="5:8" x14ac:dyDescent="0.25">
      <c r="E94" s="6"/>
      <c r="F94" s="6"/>
      <c r="G94" s="6"/>
      <c r="H94" s="6"/>
    </row>
    <row r="95" spans="5:8" x14ac:dyDescent="0.25">
      <c r="E95" s="6"/>
      <c r="F95" s="6"/>
      <c r="G95" s="6"/>
      <c r="H95" s="6"/>
    </row>
    <row r="96" spans="5:8" x14ac:dyDescent="0.25">
      <c r="E96" s="6"/>
      <c r="F96" s="6"/>
      <c r="G96" s="6"/>
      <c r="H96" s="6"/>
    </row>
    <row r="97" spans="5:8" x14ac:dyDescent="0.25">
      <c r="E97" s="6"/>
      <c r="F97" s="6"/>
      <c r="G97" s="6"/>
      <c r="H97" s="6"/>
    </row>
    <row r="98" spans="5:8" x14ac:dyDescent="0.25">
      <c r="E98" s="6"/>
      <c r="F98" s="6"/>
      <c r="G98" s="6"/>
      <c r="H98" s="6"/>
    </row>
    <row r="99" spans="5:8" x14ac:dyDescent="0.25">
      <c r="E99" s="6"/>
      <c r="F99" s="6"/>
      <c r="G99" s="6"/>
      <c r="H99" s="6"/>
    </row>
    <row r="100" spans="5:8" x14ac:dyDescent="0.25">
      <c r="E100" s="6"/>
      <c r="F100" s="6"/>
      <c r="G100" s="6"/>
      <c r="H100" s="6"/>
    </row>
    <row r="101" spans="5:8" x14ac:dyDescent="0.25">
      <c r="E101" s="6"/>
      <c r="F101" s="6"/>
      <c r="G101" s="6"/>
      <c r="H101" s="6"/>
    </row>
    <row r="102" spans="5:8" x14ac:dyDescent="0.25">
      <c r="E102" s="6"/>
      <c r="F102" s="6"/>
      <c r="G102" s="6"/>
      <c r="H102" s="6"/>
    </row>
    <row r="103" spans="5:8" x14ac:dyDescent="0.25">
      <c r="E103" s="6"/>
      <c r="F103" s="6"/>
      <c r="G103" s="6"/>
      <c r="H103" s="6"/>
    </row>
    <row r="104" spans="5:8" x14ac:dyDescent="0.25">
      <c r="E104" s="6"/>
      <c r="F104" s="6"/>
      <c r="G104" s="6"/>
      <c r="H104" s="6"/>
    </row>
    <row r="105" spans="5:8" x14ac:dyDescent="0.25">
      <c r="E105" s="6"/>
      <c r="F105" s="6"/>
      <c r="G105" s="6"/>
      <c r="H105" s="6"/>
    </row>
    <row r="106" spans="5:8" x14ac:dyDescent="0.25">
      <c r="E106" s="6"/>
      <c r="F106" s="6"/>
      <c r="G106" s="6"/>
      <c r="H106" s="6"/>
    </row>
    <row r="107" spans="5:8" x14ac:dyDescent="0.25">
      <c r="E107" s="6"/>
      <c r="F107" s="6"/>
      <c r="G107" s="6"/>
      <c r="H107" s="6"/>
    </row>
    <row r="108" spans="5:8" x14ac:dyDescent="0.25">
      <c r="E108" s="6"/>
      <c r="F108" s="6"/>
      <c r="G108" s="6"/>
      <c r="H108" s="6"/>
    </row>
    <row r="109" spans="5:8" x14ac:dyDescent="0.25">
      <c r="E109" s="6"/>
      <c r="F109" s="6"/>
      <c r="G109" s="6"/>
      <c r="H109" s="6"/>
    </row>
    <row r="110" spans="5:8" x14ac:dyDescent="0.25">
      <c r="E110" s="6"/>
      <c r="F110" s="6"/>
      <c r="G110" s="6"/>
      <c r="H110" s="6"/>
    </row>
    <row r="111" spans="5:8" x14ac:dyDescent="0.25">
      <c r="E111" s="6"/>
      <c r="F111" s="6"/>
      <c r="G111" s="6"/>
      <c r="H111" s="6"/>
    </row>
    <row r="112" spans="5:8" x14ac:dyDescent="0.25">
      <c r="E112" s="6"/>
      <c r="F112" s="6"/>
      <c r="G112" s="6"/>
      <c r="H112" s="6"/>
    </row>
    <row r="113" spans="5:8" x14ac:dyDescent="0.25">
      <c r="E113" s="6"/>
      <c r="F113" s="6"/>
      <c r="G113" s="6"/>
      <c r="H113" s="6"/>
    </row>
    <row r="114" spans="5:8" x14ac:dyDescent="0.25">
      <c r="E114" s="6"/>
      <c r="F114" s="6"/>
      <c r="G114" s="6"/>
      <c r="H114" s="6"/>
    </row>
    <row r="115" spans="5:8" x14ac:dyDescent="0.25">
      <c r="E115" s="6"/>
      <c r="F115" s="6"/>
      <c r="G115" s="6"/>
      <c r="H115" s="6"/>
    </row>
    <row r="116" spans="5:8" x14ac:dyDescent="0.25">
      <c r="E116" s="6"/>
      <c r="F116" s="6"/>
      <c r="G116" s="6"/>
      <c r="H116" s="6"/>
    </row>
    <row r="117" spans="5:8" x14ac:dyDescent="0.25">
      <c r="E117" s="6"/>
      <c r="F117" s="6"/>
      <c r="G117" s="6"/>
      <c r="H117" s="6"/>
    </row>
    <row r="118" spans="5:8" x14ac:dyDescent="0.25">
      <c r="E118" s="6"/>
      <c r="F118" s="6"/>
      <c r="G118" s="6"/>
      <c r="H118" s="6"/>
    </row>
    <row r="119" spans="5:8" x14ac:dyDescent="0.25">
      <c r="E119" s="6"/>
      <c r="F119" s="6"/>
      <c r="G119" s="6"/>
      <c r="H119" s="6"/>
    </row>
    <row r="120" spans="5:8" x14ac:dyDescent="0.25">
      <c r="E120" s="6"/>
      <c r="F120" s="6"/>
      <c r="G120" s="6"/>
      <c r="H120" s="6"/>
    </row>
    <row r="121" spans="5:8" x14ac:dyDescent="0.25">
      <c r="E121" s="6"/>
      <c r="F121" s="6"/>
      <c r="G121" s="6"/>
      <c r="H121" s="6"/>
    </row>
    <row r="122" spans="5:8" x14ac:dyDescent="0.25">
      <c r="E122" s="6"/>
      <c r="F122" s="6"/>
      <c r="G122" s="6"/>
      <c r="H122" s="6"/>
    </row>
    <row r="123" spans="5:8" x14ac:dyDescent="0.25">
      <c r="E123" s="6"/>
      <c r="F123" s="6"/>
      <c r="G123" s="6"/>
      <c r="H123" s="6"/>
    </row>
    <row r="124" spans="5:8" x14ac:dyDescent="0.25">
      <c r="E124" s="6"/>
      <c r="F124" s="6"/>
      <c r="G124" s="6"/>
      <c r="H124" s="6"/>
    </row>
    <row r="125" spans="5:8" x14ac:dyDescent="0.25">
      <c r="E125" s="6"/>
      <c r="F125" s="6"/>
      <c r="G125" s="6"/>
      <c r="H125" s="6"/>
    </row>
    <row r="126" spans="5:8" x14ac:dyDescent="0.25">
      <c r="E126" s="6"/>
      <c r="F126" s="6"/>
      <c r="G126" s="6"/>
      <c r="H126" s="6"/>
    </row>
    <row r="127" spans="5:8" x14ac:dyDescent="0.25">
      <c r="E127" s="6"/>
      <c r="F127" s="6"/>
      <c r="G127" s="6"/>
      <c r="H127" s="6"/>
    </row>
    <row r="128" spans="5:8" x14ac:dyDescent="0.25">
      <c r="E128" s="6"/>
      <c r="F128" s="6"/>
      <c r="G128" s="6"/>
      <c r="H128" s="6"/>
    </row>
    <row r="129" spans="5:8" x14ac:dyDescent="0.25">
      <c r="E129" s="6"/>
      <c r="F129" s="6"/>
      <c r="G129" s="6"/>
      <c r="H129" s="6"/>
    </row>
    <row r="130" spans="5:8" x14ac:dyDescent="0.25">
      <c r="E130" s="6"/>
      <c r="F130" s="6"/>
      <c r="G130" s="6"/>
      <c r="H130" s="6"/>
    </row>
    <row r="131" spans="5:8" x14ac:dyDescent="0.25">
      <c r="E131" s="6"/>
      <c r="F131" s="6"/>
      <c r="G131" s="6"/>
      <c r="H131" s="6"/>
    </row>
    <row r="132" spans="5:8" x14ac:dyDescent="0.25">
      <c r="E132" s="6"/>
      <c r="F132" s="6"/>
      <c r="G132" s="6"/>
      <c r="H132" s="6"/>
    </row>
    <row r="133" spans="5:8" x14ac:dyDescent="0.25">
      <c r="E133" s="6"/>
      <c r="F133" s="6"/>
      <c r="G133" s="6"/>
      <c r="H133" s="6"/>
    </row>
    <row r="134" spans="5:8" x14ac:dyDescent="0.25">
      <c r="E134" s="6"/>
      <c r="F134" s="6"/>
      <c r="G134" s="6"/>
      <c r="H134" s="6"/>
    </row>
    <row r="135" spans="5:8" x14ac:dyDescent="0.25">
      <c r="E135" s="6"/>
      <c r="F135" s="6"/>
      <c r="G135" s="6"/>
      <c r="H135" s="6"/>
    </row>
    <row r="136" spans="5:8" x14ac:dyDescent="0.25">
      <c r="E136" s="6"/>
      <c r="F136" s="6"/>
      <c r="G136" s="6"/>
      <c r="H136" s="6"/>
    </row>
    <row r="137" spans="5:8" x14ac:dyDescent="0.25">
      <c r="E137" s="6"/>
      <c r="F137" s="6"/>
      <c r="G137" s="6"/>
      <c r="H137" s="6"/>
    </row>
    <row r="138" spans="5:8" x14ac:dyDescent="0.25">
      <c r="E138" s="6"/>
      <c r="F138" s="6"/>
      <c r="G138" s="6"/>
      <c r="H138" s="6"/>
    </row>
    <row r="139" spans="5:8" x14ac:dyDescent="0.25">
      <c r="E139" s="6"/>
      <c r="F139" s="6"/>
      <c r="G139" s="6"/>
      <c r="H139" s="6"/>
    </row>
    <row r="140" spans="5:8" x14ac:dyDescent="0.25">
      <c r="E140" s="6"/>
      <c r="F140" s="6"/>
      <c r="G140" s="6"/>
      <c r="H140" s="6"/>
    </row>
    <row r="141" spans="5:8" x14ac:dyDescent="0.25">
      <c r="E141" s="6"/>
      <c r="F141" s="6"/>
      <c r="G141" s="6"/>
      <c r="H141" s="6"/>
    </row>
    <row r="142" spans="5:8" x14ac:dyDescent="0.25">
      <c r="E142" s="6"/>
      <c r="F142" s="6"/>
      <c r="G142" s="6"/>
      <c r="H142" s="6"/>
    </row>
    <row r="143" spans="5:8" x14ac:dyDescent="0.25">
      <c r="E143" s="6"/>
      <c r="F143" s="6"/>
      <c r="G143" s="6"/>
      <c r="H143" s="6"/>
    </row>
    <row r="144" spans="5:8" x14ac:dyDescent="0.25">
      <c r="E144" s="6"/>
      <c r="F144" s="6"/>
      <c r="G144" s="6"/>
      <c r="H144" s="6"/>
    </row>
    <row r="145" spans="5:8" x14ac:dyDescent="0.25">
      <c r="E145" s="6"/>
      <c r="F145" s="6"/>
      <c r="G145" s="6"/>
      <c r="H145" s="6"/>
    </row>
    <row r="146" spans="5:8" x14ac:dyDescent="0.25">
      <c r="E146" s="6"/>
      <c r="F146" s="6"/>
      <c r="G146" s="6"/>
      <c r="H146" s="6"/>
    </row>
    <row r="147" spans="5:8" x14ac:dyDescent="0.25">
      <c r="E147" s="6"/>
      <c r="F147" s="6"/>
      <c r="G147" s="6"/>
      <c r="H147" s="6"/>
    </row>
    <row r="148" spans="5:8" x14ac:dyDescent="0.25">
      <c r="E148" s="6"/>
      <c r="F148" s="6"/>
      <c r="G148" s="6"/>
      <c r="H148" s="6"/>
    </row>
    <row r="149" spans="5:8" x14ac:dyDescent="0.25">
      <c r="E149" s="6"/>
      <c r="F149" s="6"/>
      <c r="G149" s="6"/>
      <c r="H149" s="6"/>
    </row>
    <row r="150" spans="5:8" x14ac:dyDescent="0.25">
      <c r="E150" s="6"/>
      <c r="F150" s="6"/>
      <c r="G150" s="6"/>
      <c r="H150" s="6"/>
    </row>
    <row r="151" spans="5:8" x14ac:dyDescent="0.25">
      <c r="E151" s="6"/>
      <c r="F151" s="6"/>
      <c r="G151" s="6"/>
      <c r="H151" s="6"/>
    </row>
    <row r="152" spans="5:8" x14ac:dyDescent="0.25">
      <c r="E152" s="6"/>
      <c r="F152" s="6"/>
      <c r="G152" s="6"/>
      <c r="H152" s="6"/>
    </row>
    <row r="153" spans="5:8" x14ac:dyDescent="0.25">
      <c r="E153" s="6"/>
      <c r="F153" s="6"/>
      <c r="G153" s="6"/>
      <c r="H153" s="6"/>
    </row>
    <row r="154" spans="5:8" x14ac:dyDescent="0.25">
      <c r="E154" s="6"/>
      <c r="F154" s="6"/>
      <c r="G154" s="6"/>
      <c r="H154" s="6"/>
    </row>
    <row r="155" spans="5:8" x14ac:dyDescent="0.25">
      <c r="E155" s="6"/>
      <c r="F155" s="6"/>
      <c r="G155" s="6"/>
      <c r="H155" s="6"/>
    </row>
    <row r="156" spans="5:8" x14ac:dyDescent="0.25">
      <c r="E156" s="6"/>
      <c r="F156" s="6"/>
      <c r="G156" s="6"/>
      <c r="H156" s="6"/>
    </row>
    <row r="157" spans="5:8" x14ac:dyDescent="0.25">
      <c r="E157" s="6"/>
      <c r="F157" s="6"/>
      <c r="G157" s="6"/>
      <c r="H157" s="6"/>
    </row>
    <row r="158" spans="5:8" x14ac:dyDescent="0.25">
      <c r="E158" s="6"/>
      <c r="F158" s="6"/>
      <c r="G158" s="6"/>
      <c r="H158" s="6"/>
    </row>
    <row r="159" spans="5:8" x14ac:dyDescent="0.25">
      <c r="E159" s="6"/>
      <c r="F159" s="6"/>
      <c r="G159" s="6"/>
      <c r="H159" s="6"/>
    </row>
    <row r="160" spans="5:8" x14ac:dyDescent="0.25">
      <c r="E160" s="6"/>
      <c r="F160" s="6"/>
      <c r="G160" s="6"/>
      <c r="H160" s="6"/>
    </row>
    <row r="161" spans="5:8" x14ac:dyDescent="0.25">
      <c r="E161" s="6"/>
      <c r="F161" s="6"/>
      <c r="G161" s="6"/>
      <c r="H161" s="6"/>
    </row>
    <row r="162" spans="5:8" x14ac:dyDescent="0.25">
      <c r="E162" s="6"/>
      <c r="F162" s="6"/>
      <c r="G162" s="6"/>
      <c r="H162" s="6"/>
    </row>
    <row r="163" spans="5:8" x14ac:dyDescent="0.25">
      <c r="E163" s="6"/>
      <c r="F163" s="6"/>
      <c r="G163" s="6"/>
      <c r="H163" s="6"/>
    </row>
    <row r="164" spans="5:8" x14ac:dyDescent="0.25">
      <c r="E164" s="6"/>
      <c r="F164" s="6"/>
      <c r="G164" s="6"/>
      <c r="H164" s="6"/>
    </row>
    <row r="165" spans="5:8" x14ac:dyDescent="0.25">
      <c r="E165" s="6"/>
      <c r="F165" s="6"/>
      <c r="G165" s="6"/>
      <c r="H165" s="6"/>
    </row>
    <row r="166" spans="5:8" x14ac:dyDescent="0.25">
      <c r="E166" s="6"/>
      <c r="F166" s="6"/>
      <c r="G166" s="6"/>
      <c r="H166" s="6"/>
    </row>
    <row r="167" spans="5:8" x14ac:dyDescent="0.25">
      <c r="E167" s="6"/>
      <c r="F167" s="6"/>
      <c r="G167" s="6"/>
      <c r="H167" s="6"/>
    </row>
    <row r="168" spans="5:8" x14ac:dyDescent="0.25">
      <c r="E168" s="6"/>
      <c r="F168" s="6"/>
      <c r="G168" s="6"/>
      <c r="H168" s="6"/>
    </row>
    <row r="169" spans="5:8" x14ac:dyDescent="0.25">
      <c r="E169" s="6"/>
      <c r="F169" s="6"/>
      <c r="G169" s="6"/>
      <c r="H169" s="6"/>
    </row>
    <row r="170" spans="5:8" x14ac:dyDescent="0.25">
      <c r="E170" s="6"/>
      <c r="F170" s="6"/>
      <c r="G170" s="6"/>
      <c r="H170" s="6"/>
    </row>
    <row r="171" spans="5:8" x14ac:dyDescent="0.25">
      <c r="E171" s="6"/>
      <c r="F171" s="6"/>
      <c r="G171" s="6"/>
      <c r="H171" s="6"/>
    </row>
    <row r="172" spans="5:8" x14ac:dyDescent="0.25">
      <c r="E172" s="6"/>
      <c r="F172" s="6"/>
      <c r="G172" s="6"/>
      <c r="H172" s="6"/>
    </row>
    <row r="173" spans="5:8" x14ac:dyDescent="0.25">
      <c r="E173" s="6"/>
      <c r="F173" s="6"/>
      <c r="G173" s="6"/>
      <c r="H173" s="6"/>
    </row>
    <row r="174" spans="5:8" x14ac:dyDescent="0.25">
      <c r="E174" s="6"/>
      <c r="F174" s="6"/>
      <c r="G174" s="6"/>
      <c r="H174" s="6"/>
    </row>
    <row r="175" spans="5:8" x14ac:dyDescent="0.25">
      <c r="E175" s="6"/>
      <c r="F175" s="6"/>
      <c r="G175" s="6"/>
      <c r="H175" s="6"/>
    </row>
    <row r="176" spans="5:8" x14ac:dyDescent="0.25">
      <c r="E176" s="6"/>
      <c r="F176" s="6"/>
      <c r="G176" s="6"/>
      <c r="H176" s="6"/>
    </row>
    <row r="177" spans="5:8" x14ac:dyDescent="0.25">
      <c r="E177" s="6"/>
      <c r="F177" s="6"/>
      <c r="G177" s="6"/>
      <c r="H177" s="6"/>
    </row>
    <row r="178" spans="5:8" x14ac:dyDescent="0.25">
      <c r="E178" s="6"/>
      <c r="F178" s="6"/>
      <c r="G178" s="6"/>
      <c r="H178" s="6"/>
    </row>
    <row r="179" spans="5:8" x14ac:dyDescent="0.25">
      <c r="E179" s="6"/>
      <c r="F179" s="6"/>
      <c r="G179" s="6"/>
      <c r="H179" s="6"/>
    </row>
    <row r="180" spans="5:8" x14ac:dyDescent="0.25">
      <c r="E180" s="6"/>
      <c r="F180" s="6"/>
      <c r="G180" s="6"/>
      <c r="H180" s="6"/>
    </row>
    <row r="181" spans="5:8" x14ac:dyDescent="0.25">
      <c r="E181" s="6"/>
      <c r="F181" s="6"/>
      <c r="G181" s="6"/>
      <c r="H181" s="6"/>
    </row>
    <row r="182" spans="5:8" x14ac:dyDescent="0.25">
      <c r="E182" s="6"/>
      <c r="F182" s="6"/>
      <c r="G182" s="6"/>
      <c r="H182" s="6"/>
    </row>
    <row r="183" spans="5:8" x14ac:dyDescent="0.25">
      <c r="E183" s="6"/>
      <c r="F183" s="6"/>
      <c r="G183" s="6"/>
      <c r="H183" s="6"/>
    </row>
    <row r="184" spans="5:8" x14ac:dyDescent="0.25">
      <c r="E184" s="6"/>
      <c r="F184" s="6"/>
      <c r="G184" s="6"/>
      <c r="H184" s="6"/>
    </row>
    <row r="185" spans="5:8" x14ac:dyDescent="0.25">
      <c r="E185" s="6"/>
      <c r="F185" s="6"/>
      <c r="G185" s="6"/>
      <c r="H185" s="6"/>
    </row>
    <row r="186" spans="5:8" x14ac:dyDescent="0.25">
      <c r="E186" s="6"/>
      <c r="F186" s="6"/>
      <c r="G186" s="6"/>
      <c r="H186" s="6"/>
    </row>
    <row r="187" spans="5:8" x14ac:dyDescent="0.25">
      <c r="E187" s="6"/>
      <c r="F187" s="6"/>
      <c r="G187" s="6"/>
      <c r="H187" s="6"/>
    </row>
    <row r="188" spans="5:8" x14ac:dyDescent="0.25">
      <c r="E188" s="6"/>
      <c r="F188" s="6"/>
      <c r="G188" s="6"/>
      <c r="H188" s="6"/>
    </row>
    <row r="189" spans="5:8" x14ac:dyDescent="0.25">
      <c r="E189" s="6"/>
      <c r="F189" s="6"/>
      <c r="G189" s="6"/>
      <c r="H189" s="6"/>
    </row>
    <row r="190" spans="5:8" x14ac:dyDescent="0.25">
      <c r="E190" s="6"/>
      <c r="F190" s="6"/>
      <c r="G190" s="6"/>
      <c r="H190" s="6"/>
    </row>
    <row r="191" spans="5:8" x14ac:dyDescent="0.25">
      <c r="E191" s="6"/>
      <c r="F191" s="6"/>
      <c r="G191" s="6"/>
      <c r="H191" s="6"/>
    </row>
    <row r="192" spans="5:8" x14ac:dyDescent="0.25">
      <c r="E192" s="6"/>
      <c r="F192" s="6"/>
      <c r="G192" s="6"/>
      <c r="H192" s="6"/>
    </row>
    <row r="193" spans="5:8" x14ac:dyDescent="0.25">
      <c r="E193" s="6"/>
      <c r="F193" s="6"/>
      <c r="G193" s="6"/>
      <c r="H193" s="6"/>
    </row>
    <row r="194" spans="5:8" x14ac:dyDescent="0.25">
      <c r="E194" s="6"/>
      <c r="F194" s="6"/>
      <c r="G194" s="6"/>
      <c r="H194" s="6"/>
    </row>
    <row r="195" spans="5:8" x14ac:dyDescent="0.25">
      <c r="E195" s="6"/>
      <c r="F195" s="6"/>
      <c r="G195" s="6"/>
      <c r="H195" s="6"/>
    </row>
    <row r="196" spans="5:8" x14ac:dyDescent="0.25">
      <c r="E196" s="6"/>
      <c r="F196" s="6"/>
      <c r="G196" s="6"/>
      <c r="H196" s="6"/>
    </row>
    <row r="197" spans="5:8" x14ac:dyDescent="0.25">
      <c r="E197" s="6"/>
      <c r="F197" s="6"/>
      <c r="G197" s="6"/>
      <c r="H197" s="6"/>
    </row>
    <row r="198" spans="5:8" x14ac:dyDescent="0.25">
      <c r="E198" s="6"/>
      <c r="F198" s="6"/>
      <c r="G198" s="6"/>
      <c r="H198" s="6"/>
    </row>
    <row r="199" spans="5:8" x14ac:dyDescent="0.25">
      <c r="E199" s="6"/>
      <c r="F199" s="6"/>
      <c r="G199" s="6"/>
      <c r="H199" s="6"/>
    </row>
    <row r="200" spans="5:8" x14ac:dyDescent="0.25">
      <c r="E200" s="6"/>
      <c r="F200" s="6"/>
      <c r="G200" s="6"/>
      <c r="H200" s="6"/>
    </row>
    <row r="201" spans="5:8" x14ac:dyDescent="0.25">
      <c r="E201" s="6"/>
      <c r="F201" s="6"/>
      <c r="G201" s="6"/>
      <c r="H201" s="6"/>
    </row>
    <row r="202" spans="5:8" x14ac:dyDescent="0.25">
      <c r="E202" s="6"/>
      <c r="F202" s="6"/>
      <c r="G202" s="6"/>
      <c r="H202" s="6"/>
    </row>
    <row r="203" spans="5:8" x14ac:dyDescent="0.25">
      <c r="E203" s="6"/>
      <c r="F203" s="6"/>
      <c r="G203" s="6"/>
      <c r="H203" s="6"/>
    </row>
    <row r="204" spans="5:8" x14ac:dyDescent="0.25">
      <c r="E204" s="6"/>
      <c r="F204" s="6"/>
      <c r="G204" s="6"/>
      <c r="H204" s="6"/>
    </row>
    <row r="205" spans="5:8" x14ac:dyDescent="0.25">
      <c r="E205" s="6"/>
      <c r="F205" s="6"/>
      <c r="G205" s="6"/>
      <c r="H205" s="6"/>
    </row>
    <row r="206" spans="5:8" x14ac:dyDescent="0.25">
      <c r="E206" s="6"/>
      <c r="F206" s="6"/>
      <c r="G206" s="6"/>
      <c r="H206" s="6"/>
    </row>
    <row r="207" spans="5:8" x14ac:dyDescent="0.25">
      <c r="E207" s="6"/>
      <c r="F207" s="6"/>
      <c r="G207" s="6"/>
      <c r="H207" s="6"/>
    </row>
    <row r="208" spans="5:8" x14ac:dyDescent="0.25">
      <c r="E208" s="6"/>
      <c r="F208" s="6"/>
      <c r="G208" s="6"/>
      <c r="H208" s="6"/>
    </row>
    <row r="209" spans="5:8" x14ac:dyDescent="0.25">
      <c r="E209" s="6"/>
      <c r="F209" s="6"/>
      <c r="G209" s="6"/>
      <c r="H209" s="6"/>
    </row>
    <row r="210" spans="5:8" x14ac:dyDescent="0.25">
      <c r="E210" s="6"/>
      <c r="F210" s="6"/>
      <c r="G210" s="6"/>
      <c r="H210" s="6"/>
    </row>
    <row r="211" spans="5:8" x14ac:dyDescent="0.25">
      <c r="E211" s="6"/>
      <c r="F211" s="6"/>
      <c r="G211" s="6"/>
      <c r="H211" s="6"/>
    </row>
    <row r="212" spans="5:8" x14ac:dyDescent="0.25">
      <c r="E212" s="6"/>
      <c r="F212" s="6"/>
      <c r="G212" s="6"/>
      <c r="H212" s="6"/>
    </row>
    <row r="213" spans="5:8" x14ac:dyDescent="0.25">
      <c r="E213" s="6"/>
      <c r="F213" s="6"/>
      <c r="G213" s="6"/>
      <c r="H213" s="6"/>
    </row>
    <row r="214" spans="5:8" x14ac:dyDescent="0.25">
      <c r="E214" s="6"/>
      <c r="F214" s="6"/>
      <c r="G214" s="6"/>
      <c r="H214" s="6"/>
    </row>
    <row r="215" spans="5:8" x14ac:dyDescent="0.25">
      <c r="E215" s="6"/>
      <c r="F215" s="6"/>
      <c r="G215" s="6"/>
      <c r="H215" s="6"/>
    </row>
    <row r="216" spans="5:8" x14ac:dyDescent="0.25">
      <c r="E216" s="6"/>
      <c r="F216" s="6"/>
      <c r="G216" s="6"/>
      <c r="H216" s="6"/>
    </row>
    <row r="217" spans="5:8" x14ac:dyDescent="0.25">
      <c r="E217" s="6"/>
      <c r="F217" s="6"/>
      <c r="G217" s="6"/>
      <c r="H217" s="6"/>
    </row>
    <row r="218" spans="5:8" x14ac:dyDescent="0.25">
      <c r="E218" s="6"/>
      <c r="F218" s="6"/>
      <c r="G218" s="6"/>
      <c r="H218" s="6"/>
    </row>
    <row r="219" spans="5:8" x14ac:dyDescent="0.25">
      <c r="E219" s="6"/>
      <c r="F219" s="6"/>
      <c r="G219" s="6"/>
      <c r="H219" s="6"/>
    </row>
    <row r="220" spans="5:8" x14ac:dyDescent="0.25">
      <c r="E220" s="6"/>
      <c r="F220" s="6"/>
      <c r="G220" s="6"/>
      <c r="H220" s="6"/>
    </row>
    <row r="221" spans="5:8" x14ac:dyDescent="0.25">
      <c r="E221" s="6"/>
      <c r="F221" s="6"/>
      <c r="G221" s="6"/>
      <c r="H221" s="6"/>
    </row>
    <row r="222" spans="5:8" x14ac:dyDescent="0.25">
      <c r="E222" s="6"/>
      <c r="F222" s="6"/>
      <c r="G222" s="6"/>
      <c r="H222" s="6"/>
    </row>
    <row r="223" spans="5:8" x14ac:dyDescent="0.25">
      <c r="E223" s="6"/>
      <c r="F223" s="6"/>
      <c r="G223" s="6"/>
      <c r="H223" s="6"/>
    </row>
    <row r="224" spans="5:8" x14ac:dyDescent="0.25">
      <c r="E224" s="6"/>
      <c r="F224" s="6"/>
      <c r="G224" s="6"/>
      <c r="H224" s="6"/>
    </row>
    <row r="225" spans="5:8" x14ac:dyDescent="0.25">
      <c r="E225" s="6"/>
      <c r="F225" s="6"/>
      <c r="G225" s="6"/>
      <c r="H225" s="6"/>
    </row>
    <row r="226" spans="5:8" x14ac:dyDescent="0.25">
      <c r="E226" s="6"/>
      <c r="F226" s="6"/>
      <c r="G226" s="6"/>
      <c r="H226" s="6"/>
    </row>
    <row r="227" spans="5:8" x14ac:dyDescent="0.25">
      <c r="E227" s="6"/>
      <c r="F227" s="6"/>
      <c r="G227" s="6"/>
      <c r="H227" s="6"/>
    </row>
    <row r="228" spans="5:8" x14ac:dyDescent="0.25">
      <c r="E228" s="6"/>
      <c r="F228" s="6"/>
      <c r="G228" s="6"/>
      <c r="H228" s="6"/>
    </row>
    <row r="229" spans="5:8" x14ac:dyDescent="0.25">
      <c r="E229" s="6"/>
      <c r="F229" s="6"/>
      <c r="G229" s="6"/>
      <c r="H229" s="6"/>
    </row>
    <row r="230" spans="5:8" x14ac:dyDescent="0.25">
      <c r="E230" s="6"/>
      <c r="F230" s="6"/>
      <c r="G230" s="6"/>
      <c r="H230" s="6"/>
    </row>
    <row r="231" spans="5:8" x14ac:dyDescent="0.25">
      <c r="E231" s="6"/>
      <c r="F231" s="6"/>
      <c r="G231" s="6"/>
      <c r="H231" s="6"/>
    </row>
    <row r="232" spans="5:8" x14ac:dyDescent="0.25">
      <c r="E232" s="6"/>
      <c r="F232" s="6"/>
      <c r="G232" s="6"/>
      <c r="H232" s="6"/>
    </row>
    <row r="233" spans="5:8" x14ac:dyDescent="0.25">
      <c r="E233" s="6"/>
      <c r="F233" s="6"/>
      <c r="G233" s="6"/>
      <c r="H233" s="6"/>
    </row>
    <row r="234" spans="5:8" x14ac:dyDescent="0.25">
      <c r="E234" s="6"/>
      <c r="F234" s="6"/>
      <c r="G234" s="6"/>
      <c r="H234" s="6"/>
    </row>
    <row r="235" spans="5:8" x14ac:dyDescent="0.25">
      <c r="E235" s="6"/>
      <c r="F235" s="6"/>
      <c r="G235" s="6"/>
      <c r="H235" s="6"/>
    </row>
    <row r="236" spans="5:8" x14ac:dyDescent="0.25">
      <c r="E236" s="6"/>
      <c r="F236" s="6"/>
      <c r="G236" s="6"/>
      <c r="H236" s="6"/>
    </row>
    <row r="237" spans="5:8" x14ac:dyDescent="0.25">
      <c r="E237" s="6"/>
      <c r="F237" s="6"/>
      <c r="G237" s="6"/>
      <c r="H237" s="6"/>
    </row>
    <row r="238" spans="5:8" x14ac:dyDescent="0.25">
      <c r="E238" s="6"/>
      <c r="F238" s="6"/>
      <c r="G238" s="6"/>
      <c r="H238" s="6"/>
    </row>
    <row r="239" spans="5:8" x14ac:dyDescent="0.25">
      <c r="E239" s="6"/>
      <c r="F239" s="6"/>
      <c r="G239" s="6"/>
      <c r="H239" s="6"/>
    </row>
    <row r="240" spans="5:8" x14ac:dyDescent="0.25">
      <c r="E240" s="6"/>
      <c r="F240" s="6"/>
      <c r="G240" s="6"/>
      <c r="H240" s="6"/>
    </row>
    <row r="241" spans="5:8" x14ac:dyDescent="0.25">
      <c r="E241" s="6"/>
      <c r="F241" s="6"/>
      <c r="G241" s="6"/>
      <c r="H241" s="6"/>
    </row>
    <row r="242" spans="5:8" x14ac:dyDescent="0.25">
      <c r="E242" s="6"/>
      <c r="F242" s="6"/>
      <c r="G242" s="6"/>
      <c r="H242" s="6"/>
    </row>
    <row r="243" spans="5:8" x14ac:dyDescent="0.25">
      <c r="E243" s="6"/>
      <c r="F243" s="6"/>
      <c r="G243" s="6"/>
      <c r="H243" s="6"/>
    </row>
    <row r="244" spans="5:8" x14ac:dyDescent="0.25">
      <c r="E244" s="6"/>
      <c r="F244" s="6"/>
      <c r="G244" s="6"/>
      <c r="H244" s="6"/>
    </row>
    <row r="245" spans="5:8" x14ac:dyDescent="0.25">
      <c r="E245" s="6"/>
      <c r="F245" s="6"/>
      <c r="G245" s="6"/>
      <c r="H245" s="6"/>
    </row>
    <row r="246" spans="5:8" x14ac:dyDescent="0.25">
      <c r="E246" s="6"/>
      <c r="F246" s="6"/>
      <c r="G246" s="6"/>
      <c r="H246" s="6"/>
    </row>
    <row r="247" spans="5:8" x14ac:dyDescent="0.25">
      <c r="E247" s="6"/>
      <c r="F247" s="6"/>
      <c r="G247" s="6"/>
      <c r="H247" s="6"/>
    </row>
    <row r="248" spans="5:8" x14ac:dyDescent="0.25">
      <c r="E248" s="6"/>
      <c r="F248" s="6"/>
      <c r="G248" s="6"/>
      <c r="H248" s="6"/>
    </row>
    <row r="249" spans="5:8" x14ac:dyDescent="0.25">
      <c r="E249" s="6"/>
      <c r="F249" s="6"/>
      <c r="G249" s="6"/>
      <c r="H249" s="6"/>
    </row>
    <row r="250" spans="5:8" x14ac:dyDescent="0.25">
      <c r="E250" s="6"/>
      <c r="F250" s="6"/>
      <c r="G250" s="6"/>
      <c r="H250" s="6"/>
    </row>
    <row r="251" spans="5:8" x14ac:dyDescent="0.25">
      <c r="E251" s="6"/>
      <c r="F251" s="6"/>
      <c r="G251" s="6"/>
      <c r="H251" s="6"/>
    </row>
    <row r="252" spans="5:8" x14ac:dyDescent="0.25">
      <c r="E252" s="6"/>
      <c r="F252" s="6"/>
      <c r="G252" s="6"/>
      <c r="H252" s="6"/>
    </row>
    <row r="253" spans="5:8" x14ac:dyDescent="0.25">
      <c r="E253" s="6"/>
      <c r="F253" s="6"/>
      <c r="G253" s="6"/>
      <c r="H253" s="6"/>
    </row>
    <row r="254" spans="5:8" x14ac:dyDescent="0.25">
      <c r="E254" s="6"/>
      <c r="F254" s="6"/>
      <c r="G254" s="6"/>
      <c r="H254" s="6"/>
    </row>
    <row r="255" spans="5:8" x14ac:dyDescent="0.25">
      <c r="E255" s="6"/>
      <c r="F255" s="6"/>
      <c r="G255" s="6"/>
      <c r="H255" s="6"/>
    </row>
    <row r="256" spans="5:8" x14ac:dyDescent="0.25">
      <c r="E256" s="6"/>
      <c r="F256" s="6"/>
      <c r="G256" s="6"/>
      <c r="H256" s="6"/>
    </row>
    <row r="257" spans="5:8" x14ac:dyDescent="0.25">
      <c r="E257" s="6"/>
      <c r="F257" s="6"/>
      <c r="G257" s="6"/>
      <c r="H257" s="6"/>
    </row>
    <row r="258" spans="5:8" x14ac:dyDescent="0.25">
      <c r="E258" s="6"/>
      <c r="F258" s="6"/>
      <c r="G258" s="6"/>
      <c r="H258" s="6"/>
    </row>
    <row r="259" spans="5:8" x14ac:dyDescent="0.25">
      <c r="E259" s="6"/>
      <c r="F259" s="6"/>
      <c r="G259" s="6"/>
      <c r="H259" s="6"/>
    </row>
    <row r="260" spans="5:8" x14ac:dyDescent="0.25">
      <c r="E260" s="6"/>
      <c r="F260" s="6"/>
      <c r="G260" s="6"/>
      <c r="H260" s="6"/>
    </row>
    <row r="261" spans="5:8" x14ac:dyDescent="0.25">
      <c r="E261" s="6"/>
      <c r="F261" s="6"/>
      <c r="G261" s="6"/>
      <c r="H261" s="6"/>
    </row>
    <row r="262" spans="5:8" x14ac:dyDescent="0.25">
      <c r="E262" s="6"/>
      <c r="F262" s="6"/>
      <c r="G262" s="6"/>
      <c r="H262" s="6"/>
    </row>
    <row r="263" spans="5:8" x14ac:dyDescent="0.25">
      <c r="E263" s="6"/>
      <c r="F263" s="6"/>
      <c r="G263" s="6"/>
      <c r="H263" s="6"/>
    </row>
    <row r="264" spans="5:8" x14ac:dyDescent="0.25">
      <c r="E264" s="6"/>
      <c r="F264" s="6"/>
      <c r="G264" s="6"/>
      <c r="H264" s="6"/>
    </row>
    <row r="265" spans="5:8" x14ac:dyDescent="0.25">
      <c r="E265" s="6"/>
      <c r="F265" s="6"/>
      <c r="G265" s="6"/>
      <c r="H265" s="6"/>
    </row>
    <row r="266" spans="5:8" x14ac:dyDescent="0.25">
      <c r="E266" s="6"/>
      <c r="F266" s="6"/>
      <c r="G266" s="6"/>
      <c r="H266" s="6"/>
    </row>
    <row r="267" spans="5:8" x14ac:dyDescent="0.25">
      <c r="E267" s="6"/>
      <c r="F267" s="6"/>
      <c r="G267" s="6"/>
      <c r="H267" s="6"/>
    </row>
    <row r="268" spans="5:8" x14ac:dyDescent="0.25">
      <c r="E268" s="6"/>
      <c r="F268" s="6"/>
      <c r="G268" s="6"/>
      <c r="H268" s="6"/>
    </row>
    <row r="269" spans="5:8" x14ac:dyDescent="0.25">
      <c r="E269" s="6"/>
      <c r="F269" s="6"/>
      <c r="G269" s="6"/>
      <c r="H269" s="6"/>
    </row>
    <row r="270" spans="5:8" x14ac:dyDescent="0.25">
      <c r="E270" s="6"/>
      <c r="F270" s="6"/>
      <c r="G270" s="6"/>
      <c r="H270" s="6"/>
    </row>
    <row r="271" spans="5:8" x14ac:dyDescent="0.25">
      <c r="E271" s="6"/>
      <c r="F271" s="6"/>
      <c r="G271" s="6"/>
      <c r="H271" s="6"/>
    </row>
    <row r="272" spans="5:8" x14ac:dyDescent="0.25">
      <c r="E272" s="6"/>
      <c r="F272" s="6"/>
      <c r="G272" s="6"/>
      <c r="H272" s="6"/>
    </row>
    <row r="273" spans="5:8" x14ac:dyDescent="0.25">
      <c r="E273" s="6"/>
      <c r="F273" s="6"/>
      <c r="G273" s="6"/>
      <c r="H273" s="6"/>
    </row>
    <row r="274" spans="5:8" x14ac:dyDescent="0.25">
      <c r="E274" s="6"/>
      <c r="F274" s="6"/>
      <c r="G274" s="6"/>
      <c r="H274" s="6"/>
    </row>
    <row r="275" spans="5:8" x14ac:dyDescent="0.25">
      <c r="E275" s="6"/>
      <c r="F275" s="6"/>
      <c r="G275" s="6"/>
      <c r="H275" s="6"/>
    </row>
    <row r="276" spans="5:8" x14ac:dyDescent="0.25">
      <c r="E276" s="6"/>
      <c r="F276" s="6"/>
      <c r="G276" s="6"/>
      <c r="H276" s="6"/>
    </row>
    <row r="277" spans="5:8" x14ac:dyDescent="0.25">
      <c r="E277" s="6"/>
      <c r="F277" s="6"/>
      <c r="G277" s="6"/>
      <c r="H277" s="6"/>
    </row>
    <row r="278" spans="5:8" x14ac:dyDescent="0.25">
      <c r="E278" s="6"/>
      <c r="F278" s="6"/>
      <c r="G278" s="6"/>
      <c r="H278" s="6"/>
    </row>
    <row r="279" spans="5:8" x14ac:dyDescent="0.25">
      <c r="E279" s="6"/>
      <c r="F279" s="6"/>
      <c r="G279" s="6"/>
      <c r="H279" s="6"/>
    </row>
    <row r="280" spans="5:8" x14ac:dyDescent="0.25">
      <c r="E280" s="6"/>
      <c r="F280" s="6"/>
      <c r="G280" s="6"/>
      <c r="H280" s="6"/>
    </row>
    <row r="281" spans="5:8" x14ac:dyDescent="0.25">
      <c r="E281" s="6"/>
      <c r="F281" s="6"/>
      <c r="G281" s="6"/>
      <c r="H281" s="6"/>
    </row>
    <row r="282" spans="5:8" x14ac:dyDescent="0.25">
      <c r="E282" s="6"/>
      <c r="F282" s="6"/>
      <c r="G282" s="6"/>
      <c r="H282" s="6"/>
    </row>
    <row r="283" spans="5:8" x14ac:dyDescent="0.25">
      <c r="E283" s="6"/>
      <c r="F283" s="6"/>
      <c r="G283" s="6"/>
      <c r="H283" s="6"/>
    </row>
    <row r="284" spans="5:8" x14ac:dyDescent="0.25">
      <c r="E284" s="6"/>
      <c r="F284" s="6"/>
      <c r="G284" s="6"/>
      <c r="H284" s="6"/>
    </row>
    <row r="285" spans="5:8" x14ac:dyDescent="0.25">
      <c r="E285" s="6"/>
      <c r="F285" s="6"/>
      <c r="G285" s="6"/>
      <c r="H285" s="6"/>
    </row>
    <row r="286" spans="5:8" x14ac:dyDescent="0.25">
      <c r="E286" s="6"/>
      <c r="F286" s="6"/>
      <c r="G286" s="6"/>
      <c r="H286" s="6"/>
    </row>
    <row r="287" spans="5:8" x14ac:dyDescent="0.25">
      <c r="E287" s="6"/>
      <c r="F287" s="6"/>
      <c r="G287" s="6"/>
      <c r="H287" s="6"/>
    </row>
    <row r="288" spans="5:8" x14ac:dyDescent="0.25">
      <c r="E288" s="6"/>
      <c r="F288" s="6"/>
      <c r="G288" s="6"/>
      <c r="H288" s="6"/>
    </row>
    <row r="289" spans="5:8" x14ac:dyDescent="0.25">
      <c r="E289" s="6"/>
      <c r="F289" s="6"/>
      <c r="G289" s="6"/>
      <c r="H289" s="6"/>
    </row>
    <row r="290" spans="5:8" x14ac:dyDescent="0.25">
      <c r="E290" s="6"/>
      <c r="F290" s="6"/>
      <c r="G290" s="6"/>
      <c r="H290" s="6"/>
    </row>
    <row r="291" spans="5:8" x14ac:dyDescent="0.25">
      <c r="E291" s="6"/>
      <c r="F291" s="6"/>
      <c r="G291" s="6"/>
      <c r="H291" s="6"/>
    </row>
    <row r="292" spans="5:8" x14ac:dyDescent="0.25">
      <c r="E292" s="6"/>
      <c r="F292" s="6"/>
      <c r="G292" s="6"/>
      <c r="H292" s="6"/>
    </row>
    <row r="293" spans="5:8" x14ac:dyDescent="0.25">
      <c r="E293" s="6"/>
      <c r="F293" s="6"/>
      <c r="G293" s="6"/>
      <c r="H293" s="6"/>
    </row>
    <row r="294" spans="5:8" x14ac:dyDescent="0.25">
      <c r="E294" s="6"/>
      <c r="F294" s="6"/>
      <c r="G294" s="6"/>
      <c r="H294" s="6"/>
    </row>
    <row r="295" spans="5:8" x14ac:dyDescent="0.25">
      <c r="E295" s="6"/>
      <c r="F295" s="6"/>
      <c r="G295" s="6"/>
      <c r="H295" s="6"/>
    </row>
    <row r="296" spans="5:8" x14ac:dyDescent="0.25">
      <c r="E296" s="6"/>
      <c r="F296" s="6"/>
      <c r="G296" s="6"/>
      <c r="H296" s="6"/>
    </row>
    <row r="297" spans="5:8" x14ac:dyDescent="0.25">
      <c r="E297" s="6"/>
      <c r="F297" s="6"/>
      <c r="G297" s="6"/>
      <c r="H297" s="6"/>
    </row>
    <row r="298" spans="5:8" x14ac:dyDescent="0.25">
      <c r="E298" s="6"/>
      <c r="F298" s="6"/>
      <c r="G298" s="6"/>
      <c r="H298" s="6"/>
    </row>
    <row r="299" spans="5:8" x14ac:dyDescent="0.25">
      <c r="E299" s="6"/>
      <c r="F299" s="6"/>
      <c r="G299" s="6"/>
      <c r="H299" s="6"/>
    </row>
    <row r="300" spans="5:8" x14ac:dyDescent="0.25">
      <c r="E300" s="6"/>
      <c r="F300" s="6"/>
      <c r="G300" s="6"/>
      <c r="H300" s="6"/>
    </row>
    <row r="301" spans="5:8" x14ac:dyDescent="0.25">
      <c r="E301" s="6"/>
      <c r="F301" s="6"/>
      <c r="G301" s="6"/>
      <c r="H301" s="6"/>
    </row>
    <row r="302" spans="5:8" x14ac:dyDescent="0.25">
      <c r="E302" s="6"/>
      <c r="F302" s="6"/>
      <c r="G302" s="6"/>
      <c r="H302" s="6"/>
    </row>
    <row r="303" spans="5:8" x14ac:dyDescent="0.25">
      <c r="E303" s="6"/>
      <c r="F303" s="6"/>
      <c r="G303" s="6"/>
      <c r="H303" s="6"/>
    </row>
    <row r="304" spans="5:8" x14ac:dyDescent="0.25">
      <c r="E304" s="6"/>
      <c r="F304" s="6"/>
      <c r="G304" s="6"/>
      <c r="H304" s="6"/>
    </row>
    <row r="305" spans="5:8" x14ac:dyDescent="0.25">
      <c r="E305" s="6"/>
      <c r="F305" s="6"/>
      <c r="G305" s="6"/>
      <c r="H305" s="6"/>
    </row>
    <row r="306" spans="5:8" x14ac:dyDescent="0.25">
      <c r="E306" s="6"/>
      <c r="F306" s="6"/>
      <c r="G306" s="6"/>
      <c r="H306" s="6"/>
    </row>
    <row r="307" spans="5:8" x14ac:dyDescent="0.25">
      <c r="E307" s="6"/>
      <c r="F307" s="6"/>
      <c r="G307" s="6"/>
      <c r="H307" s="6"/>
    </row>
    <row r="308" spans="5:8" x14ac:dyDescent="0.25">
      <c r="E308" s="6"/>
      <c r="F308" s="6"/>
      <c r="G308" s="6"/>
      <c r="H308" s="6"/>
    </row>
    <row r="309" spans="5:8" x14ac:dyDescent="0.25">
      <c r="E309" s="6"/>
      <c r="F309" s="6"/>
      <c r="G309" s="6"/>
      <c r="H309" s="6"/>
    </row>
    <row r="310" spans="5:8" x14ac:dyDescent="0.25">
      <c r="E310" s="6"/>
      <c r="F310" s="6"/>
      <c r="G310" s="6"/>
      <c r="H310" s="6"/>
    </row>
    <row r="311" spans="5:8" x14ac:dyDescent="0.25">
      <c r="E311" s="6"/>
      <c r="F311" s="6"/>
      <c r="G311" s="6"/>
      <c r="H311" s="6"/>
    </row>
    <row r="312" spans="5:8" x14ac:dyDescent="0.25">
      <c r="E312" s="6"/>
      <c r="F312" s="6"/>
      <c r="G312" s="6"/>
      <c r="H312" s="6"/>
    </row>
    <row r="313" spans="5:8" x14ac:dyDescent="0.25">
      <c r="E313" s="6"/>
      <c r="F313" s="6"/>
      <c r="G313" s="6"/>
      <c r="H313" s="6"/>
    </row>
    <row r="314" spans="5:8" x14ac:dyDescent="0.25">
      <c r="E314" s="6"/>
      <c r="F314" s="6"/>
      <c r="G314" s="6"/>
      <c r="H314" s="6"/>
    </row>
    <row r="315" spans="5:8" x14ac:dyDescent="0.25">
      <c r="E315" s="6"/>
      <c r="F315" s="6"/>
      <c r="G315" s="6"/>
      <c r="H315" s="6"/>
    </row>
    <row r="316" spans="5:8" x14ac:dyDescent="0.25">
      <c r="E316" s="6"/>
      <c r="F316" s="6"/>
      <c r="G316" s="6"/>
      <c r="H316" s="6"/>
    </row>
    <row r="317" spans="5:8" x14ac:dyDescent="0.25">
      <c r="E317" s="6"/>
      <c r="F317" s="6"/>
      <c r="G317" s="6"/>
      <c r="H317" s="6"/>
    </row>
    <row r="318" spans="5:8" x14ac:dyDescent="0.25">
      <c r="E318" s="6"/>
      <c r="F318" s="6"/>
      <c r="G318" s="6"/>
      <c r="H318" s="6"/>
    </row>
    <row r="319" spans="5:8" x14ac:dyDescent="0.25">
      <c r="E319" s="6"/>
      <c r="F319" s="6"/>
      <c r="G319" s="6"/>
      <c r="H319" s="6"/>
    </row>
    <row r="320" spans="5:8" x14ac:dyDescent="0.25">
      <c r="E320" s="6"/>
      <c r="F320" s="6"/>
      <c r="G320" s="6"/>
      <c r="H320" s="6"/>
    </row>
    <row r="321" spans="5:8" x14ac:dyDescent="0.25">
      <c r="E321" s="6"/>
      <c r="F321" s="6"/>
      <c r="G321" s="6"/>
      <c r="H321" s="6"/>
    </row>
    <row r="322" spans="5:8" x14ac:dyDescent="0.25">
      <c r="E322" s="6"/>
      <c r="F322" s="6"/>
      <c r="G322" s="6"/>
      <c r="H322" s="6"/>
    </row>
    <row r="323" spans="5:8" x14ac:dyDescent="0.25">
      <c r="E323" s="6"/>
      <c r="F323" s="6"/>
      <c r="G323" s="6"/>
      <c r="H323" s="6"/>
    </row>
    <row r="324" spans="5:8" x14ac:dyDescent="0.25">
      <c r="E324" s="6"/>
      <c r="F324" s="6"/>
      <c r="G324" s="6"/>
      <c r="H324" s="6"/>
    </row>
    <row r="325" spans="5:8" x14ac:dyDescent="0.25">
      <c r="E325" s="6"/>
      <c r="F325" s="6"/>
      <c r="G325" s="6"/>
      <c r="H325" s="6"/>
    </row>
    <row r="326" spans="5:8" x14ac:dyDescent="0.25">
      <c r="E326" s="6"/>
      <c r="F326" s="6"/>
      <c r="G326" s="6"/>
      <c r="H326" s="6"/>
    </row>
    <row r="327" spans="5:8" x14ac:dyDescent="0.25">
      <c r="E327" s="6"/>
      <c r="F327" s="6"/>
      <c r="G327" s="6"/>
      <c r="H327" s="6"/>
    </row>
    <row r="328" spans="5:8" x14ac:dyDescent="0.25">
      <c r="E328" s="6"/>
      <c r="F328" s="6"/>
      <c r="G328" s="6"/>
      <c r="H328" s="6"/>
    </row>
    <row r="329" spans="5:8" x14ac:dyDescent="0.25">
      <c r="E329" s="6"/>
      <c r="F329" s="6"/>
      <c r="G329" s="6"/>
      <c r="H329" s="6"/>
    </row>
    <row r="330" spans="5:8" x14ac:dyDescent="0.25">
      <c r="E330" s="6"/>
      <c r="F330" s="6"/>
      <c r="G330" s="6"/>
      <c r="H330" s="6"/>
    </row>
    <row r="331" spans="5:8" x14ac:dyDescent="0.25">
      <c r="E331" s="6"/>
      <c r="F331" s="6"/>
      <c r="G331" s="6"/>
      <c r="H331" s="6"/>
    </row>
    <row r="332" spans="5:8" x14ac:dyDescent="0.25">
      <c r="E332" s="6"/>
      <c r="F332" s="6"/>
      <c r="G332" s="6"/>
      <c r="H332" s="6"/>
    </row>
    <row r="333" spans="5:8" x14ac:dyDescent="0.25">
      <c r="E333" s="6"/>
      <c r="F333" s="6"/>
      <c r="G333" s="6"/>
      <c r="H333" s="6"/>
    </row>
    <row r="334" spans="5:8" x14ac:dyDescent="0.25">
      <c r="E334" s="6"/>
      <c r="F334" s="6"/>
      <c r="G334" s="6"/>
      <c r="H334" s="6"/>
    </row>
    <row r="335" spans="5:8" x14ac:dyDescent="0.25">
      <c r="E335" s="6"/>
      <c r="F335" s="6"/>
      <c r="G335" s="6"/>
      <c r="H335" s="6"/>
    </row>
    <row r="336" spans="5:8" x14ac:dyDescent="0.25">
      <c r="E336" s="6"/>
      <c r="F336" s="6"/>
      <c r="G336" s="6"/>
      <c r="H336" s="6"/>
    </row>
    <row r="337" spans="5:8" x14ac:dyDescent="0.25">
      <c r="E337" s="6"/>
      <c r="F337" s="6"/>
      <c r="G337" s="6"/>
      <c r="H337" s="6"/>
    </row>
    <row r="338" spans="5:8" x14ac:dyDescent="0.25">
      <c r="E338" s="6"/>
      <c r="F338" s="6"/>
      <c r="G338" s="6"/>
      <c r="H338" s="6"/>
    </row>
    <row r="339" spans="5:8" x14ac:dyDescent="0.25">
      <c r="E339" s="6"/>
      <c r="F339" s="6"/>
      <c r="G339" s="6"/>
      <c r="H339" s="6"/>
    </row>
    <row r="340" spans="5:8" x14ac:dyDescent="0.25">
      <c r="E340" s="6"/>
      <c r="F340" s="6"/>
      <c r="G340" s="6"/>
      <c r="H340" s="6"/>
    </row>
    <row r="341" spans="5:8" x14ac:dyDescent="0.25">
      <c r="E341" s="6"/>
      <c r="F341" s="6"/>
      <c r="G341" s="6"/>
      <c r="H341" s="6"/>
    </row>
    <row r="342" spans="5:8" x14ac:dyDescent="0.25">
      <c r="E342" s="6"/>
      <c r="F342" s="6"/>
      <c r="G342" s="6"/>
      <c r="H342" s="6"/>
    </row>
    <row r="343" spans="5:8" x14ac:dyDescent="0.25">
      <c r="E343" s="6"/>
      <c r="F343" s="6"/>
      <c r="G343" s="6"/>
      <c r="H343" s="6"/>
    </row>
    <row r="344" spans="5:8" x14ac:dyDescent="0.25">
      <c r="E344" s="6"/>
      <c r="F344" s="6"/>
      <c r="G344" s="6"/>
      <c r="H344" s="6"/>
    </row>
    <row r="345" spans="5:8" x14ac:dyDescent="0.25">
      <c r="E345" s="6"/>
      <c r="F345" s="6"/>
      <c r="G345" s="6"/>
      <c r="H345" s="6"/>
    </row>
    <row r="346" spans="5:8" x14ac:dyDescent="0.25">
      <c r="E346" s="6"/>
      <c r="F346" s="6"/>
      <c r="G346" s="6"/>
      <c r="H346" s="6"/>
    </row>
    <row r="347" spans="5:8" x14ac:dyDescent="0.25">
      <c r="E347" s="6"/>
      <c r="F347" s="6"/>
      <c r="G347" s="6"/>
      <c r="H347" s="6"/>
    </row>
    <row r="348" spans="5:8" x14ac:dyDescent="0.25">
      <c r="E348" s="6"/>
      <c r="F348" s="6"/>
      <c r="G348" s="6"/>
      <c r="H348" s="6"/>
    </row>
    <row r="349" spans="5:8" x14ac:dyDescent="0.25">
      <c r="E349" s="6"/>
      <c r="F349" s="6"/>
      <c r="G349" s="6"/>
      <c r="H349" s="6"/>
    </row>
    <row r="350" spans="5:8" x14ac:dyDescent="0.25">
      <c r="E350" s="6"/>
      <c r="F350" s="6"/>
      <c r="G350" s="6"/>
      <c r="H350" s="6"/>
    </row>
    <row r="351" spans="5:8" x14ac:dyDescent="0.25">
      <c r="E351" s="6"/>
      <c r="F351" s="6"/>
      <c r="G351" s="6"/>
      <c r="H351" s="6"/>
    </row>
    <row r="352" spans="5:8" x14ac:dyDescent="0.25">
      <c r="E352" s="6"/>
      <c r="F352" s="6"/>
      <c r="G352" s="6"/>
      <c r="H352" s="6"/>
    </row>
    <row r="353" spans="5:8" x14ac:dyDescent="0.25">
      <c r="E353" s="6"/>
      <c r="F353" s="6"/>
      <c r="G353" s="6"/>
      <c r="H353" s="6"/>
    </row>
    <row r="354" spans="5:8" x14ac:dyDescent="0.25">
      <c r="E354" s="6"/>
      <c r="F354" s="6"/>
      <c r="G354" s="6"/>
      <c r="H354" s="6"/>
    </row>
    <row r="355" spans="5:8" x14ac:dyDescent="0.25">
      <c r="E355" s="6"/>
      <c r="F355" s="6"/>
      <c r="G355" s="6"/>
      <c r="H355" s="6"/>
    </row>
    <row r="356" spans="5:8" x14ac:dyDescent="0.25">
      <c r="E356" s="6"/>
      <c r="F356" s="6"/>
      <c r="G356" s="6"/>
      <c r="H356" s="6"/>
    </row>
    <row r="357" spans="5:8" x14ac:dyDescent="0.25">
      <c r="E357" s="6"/>
      <c r="F357" s="6"/>
      <c r="G357" s="6"/>
      <c r="H357" s="6"/>
    </row>
    <row r="358" spans="5:8" x14ac:dyDescent="0.25">
      <c r="E358" s="6"/>
      <c r="F358" s="6"/>
      <c r="G358" s="6"/>
      <c r="H358" s="6"/>
    </row>
    <row r="359" spans="5:8" x14ac:dyDescent="0.25">
      <c r="E359" s="6"/>
      <c r="F359" s="6"/>
      <c r="G359" s="6"/>
      <c r="H359" s="6"/>
    </row>
    <row r="360" spans="5:8" x14ac:dyDescent="0.25">
      <c r="E360" s="6"/>
      <c r="F360" s="6"/>
      <c r="G360" s="6"/>
      <c r="H360" s="6"/>
    </row>
    <row r="361" spans="5:8" x14ac:dyDescent="0.25">
      <c r="E361" s="6"/>
      <c r="F361" s="6"/>
      <c r="G361" s="6"/>
      <c r="H361" s="6"/>
    </row>
    <row r="362" spans="5:8" x14ac:dyDescent="0.25">
      <c r="E362" s="6"/>
      <c r="F362" s="6"/>
      <c r="G362" s="6"/>
      <c r="H362" s="6"/>
    </row>
    <row r="363" spans="5:8" x14ac:dyDescent="0.25">
      <c r="E363" s="6"/>
      <c r="F363" s="6"/>
      <c r="G363" s="6"/>
      <c r="H363" s="6"/>
    </row>
    <row r="364" spans="5:8" x14ac:dyDescent="0.25">
      <c r="E364" s="6"/>
      <c r="F364" s="6"/>
      <c r="G364" s="6"/>
      <c r="H364" s="6"/>
    </row>
    <row r="365" spans="5:8" x14ac:dyDescent="0.25">
      <c r="E365" s="6"/>
      <c r="F365" s="6"/>
      <c r="G365" s="6"/>
      <c r="H365" s="6"/>
    </row>
    <row r="366" spans="5:8" x14ac:dyDescent="0.25">
      <c r="E366" s="6"/>
      <c r="F366" s="6"/>
      <c r="G366" s="6"/>
      <c r="H366" s="6"/>
    </row>
    <row r="367" spans="5:8" x14ac:dyDescent="0.25">
      <c r="E367" s="6"/>
      <c r="F367" s="6"/>
      <c r="G367" s="6"/>
      <c r="H367" s="6"/>
    </row>
    <row r="368" spans="5:8" x14ac:dyDescent="0.25">
      <c r="E368" s="6"/>
      <c r="F368" s="6"/>
      <c r="G368" s="6"/>
      <c r="H368" s="6"/>
    </row>
    <row r="369" spans="5:8" x14ac:dyDescent="0.25">
      <c r="E369" s="6"/>
      <c r="F369" s="6"/>
      <c r="G369" s="6"/>
      <c r="H369" s="6"/>
    </row>
    <row r="370" spans="5:8" x14ac:dyDescent="0.25">
      <c r="E370" s="6"/>
      <c r="F370" s="6"/>
      <c r="G370" s="6"/>
      <c r="H370" s="6"/>
    </row>
    <row r="371" spans="5:8" x14ac:dyDescent="0.25">
      <c r="E371" s="6"/>
      <c r="F371" s="6"/>
      <c r="G371" s="6"/>
      <c r="H371" s="6"/>
    </row>
  </sheetData>
  <sheetProtection autoFilter="0"/>
  <pageMargins left="0.7" right="0.7" top="0.75" bottom="0.75" header="0.3" footer="0.3"/>
  <pageSetup paperSize="9" orientation="portrait" r:id="rId1"/>
  <customProperties>
    <customPr name="FPMExcelClientCellBasedFunctionStatus" r:id="rId2"/>
    <customPr name="FPMExcelClientRefreshTime" r:id="rId3"/>
    <customPr name="IbpWorksheetKeyString_GUID" r:id="rId4"/>
  </customProperties>
  <drawing r:id="rId5"/>
  <legacyDrawing r:id="rId6"/>
  <controls>
    <mc:AlternateContent xmlns:mc="http://schemas.openxmlformats.org/markup-compatibility/2006">
      <mc:Choice Requires="x14">
        <control shapeId="2049" r:id="rId7" name="AnalyzerDynReport000tb1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2049" r:id="rId7" name="AnalyzerDynReport000tb1"/>
      </mc:Fallback>
    </mc:AlternateContent>
    <mc:AlternateContent xmlns:mc="http://schemas.openxmlformats.org/markup-compatibility/2006">
      <mc:Choice Requires="x14">
        <control shapeId="2050" r:id="rId9" name="ConnectionDescriptorsInfotb1">
          <controlPr defaultSize="0" autoLine="0" autoPict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2050" r:id="rId9" name="ConnectionDescriptorsInfotb1"/>
      </mc:Fallback>
    </mc:AlternateContent>
    <mc:AlternateContent xmlns:mc="http://schemas.openxmlformats.org/markup-compatibility/2006">
      <mc:Choice Requires="x14">
        <control shapeId="2051" r:id="rId11" name="MultipleReportManagerInfotb1">
          <controlPr defaultSize="0" autoLine="0" autoPict="0" r:id="rId1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2051" r:id="rId11" name="MultipleReportManagerInfotb1"/>
      </mc:Fallback>
    </mc:AlternateContent>
    <mc:AlternateContent xmlns:mc="http://schemas.openxmlformats.org/markup-compatibility/2006">
      <mc:Choice Requires="x14">
        <control shapeId="2052" r:id="rId13" name="FPMExcelClientSheetOptionstb1">
          <controlPr defaultSize="0" autoLine="0" autoPict="0" r:id="rId1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2052" r:id="rId13" name="FPMExcelClientSheetOptionstb1"/>
      </mc:Fallback>
    </mc:AlternateContent>
    <mc:AlternateContent xmlns:mc="http://schemas.openxmlformats.org/markup-compatibility/2006">
      <mc:Choice Requires="x14">
        <control shapeId="2053" r:id="rId15" name="ReportSubmitManagerControltb1">
          <controlPr defaultSize="0" autoLine="0" autoPict="0" r:id="rId1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2053" r:id="rId15" name="ReportSubmitManagerControltb1"/>
      </mc:Fallback>
    </mc:AlternateContent>
    <mc:AlternateContent xmlns:mc="http://schemas.openxmlformats.org/markup-compatibility/2006">
      <mc:Choice Requires="x14">
        <control shapeId="2054" r:id="rId17" name="ReportSubmitControl_1tb1">
          <controlPr defaultSize="0" autoLine="0" autoPict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2054" r:id="rId17" name="ReportSubmitControl_1tb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DF31-F9B6-47BC-8C92-AD4746E37A66}">
  <sheetPr codeName="Sheet2"/>
  <dimension ref="B1:QK371"/>
  <sheetViews>
    <sheetView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J8" sqref="J8"/>
    </sheetView>
  </sheetViews>
  <sheetFormatPr defaultRowHeight="15" x14ac:dyDescent="0.25"/>
  <cols>
    <col min="1" max="5" width="1.7109375" customWidth="1"/>
    <col min="6" max="6" width="10.140625" bestFit="1" customWidth="1"/>
    <col min="7" max="7" width="11.85546875" bestFit="1" customWidth="1"/>
    <col min="8" max="8" width="17.7109375" bestFit="1" customWidth="1"/>
    <col min="9" max="77" width="10.140625" bestFit="1" customWidth="1"/>
    <col min="78" max="79" width="11" bestFit="1" customWidth="1"/>
    <col min="80" max="80" width="10.140625" bestFit="1" customWidth="1"/>
    <col min="81" max="81" width="11" bestFit="1" customWidth="1"/>
    <col min="82" max="82" width="11.7109375" bestFit="1" customWidth="1"/>
    <col min="83" max="87" width="11" bestFit="1" customWidth="1"/>
    <col min="88" max="88" width="10.140625" bestFit="1" customWidth="1"/>
    <col min="89" max="94" width="11" bestFit="1" customWidth="1"/>
    <col min="95" max="96" width="10.140625" bestFit="1" customWidth="1"/>
    <col min="97" max="97" width="11" bestFit="1" customWidth="1"/>
    <col min="98" max="98" width="10.140625" bestFit="1" customWidth="1"/>
    <col min="99" max="105" width="11" bestFit="1" customWidth="1"/>
    <col min="106" max="106" width="10.140625" bestFit="1" customWidth="1"/>
    <col min="107" max="109" width="11" bestFit="1" customWidth="1"/>
    <col min="110" max="110" width="10.140625" bestFit="1" customWidth="1"/>
    <col min="111" max="128" width="11" bestFit="1" customWidth="1"/>
    <col min="129" max="129" width="10.140625" bestFit="1" customWidth="1"/>
    <col min="130" max="139" width="11" bestFit="1" customWidth="1"/>
    <col min="140" max="140" width="10.140625" bestFit="1" customWidth="1"/>
    <col min="141" max="142" width="11" bestFit="1" customWidth="1"/>
    <col min="143" max="143" width="10.140625" bestFit="1" customWidth="1"/>
    <col min="144" max="144" width="11" bestFit="1" customWidth="1"/>
    <col min="145" max="339" width="10.140625" bestFit="1" customWidth="1"/>
    <col min="340" max="340" width="11" bestFit="1" customWidth="1"/>
    <col min="341" max="353" width="10.140625" bestFit="1" customWidth="1"/>
    <col min="354" max="354" width="21.140625" bestFit="1" customWidth="1"/>
    <col min="355" max="403" width="10.140625" bestFit="1" customWidth="1"/>
    <col min="404" max="410" width="11" bestFit="1" customWidth="1"/>
    <col min="411" max="453" width="9.28515625" bestFit="1" customWidth="1"/>
  </cols>
  <sheetData>
    <row r="1" spans="2:453" x14ac:dyDescent="0.25">
      <c r="B1" s="1"/>
      <c r="C1" s="1"/>
      <c r="D1" s="1"/>
      <c r="E1" s="1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1"/>
      <c r="OM1" s="1"/>
    </row>
    <row r="2" spans="2:453" x14ac:dyDescent="0.25">
      <c r="B2" s="1"/>
      <c r="C2" s="1"/>
      <c r="D2" s="3"/>
      <c r="E2" s="3"/>
      <c r="F2" s="3"/>
      <c r="G2" s="1"/>
      <c r="H2" s="1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 t="s">
        <v>0</v>
      </c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</row>
    <row r="3" spans="2:453" x14ac:dyDescent="0.25">
      <c r="B3" s="2" t="str">
        <f>SOP_Heading6</f>
        <v xml:space="preserve"> </v>
      </c>
      <c r="C3" s="2" t="str">
        <f>SOP_Heading5</f>
        <v xml:space="preserve"> </v>
      </c>
      <c r="E3" s="2" t="str">
        <f>SOP_Heading4</f>
        <v xml:space="preserve"> </v>
      </c>
      <c r="F3" s="2" t="str">
        <f>SOP_Heading3</f>
        <v>Product ID</v>
      </c>
      <c r="G3" s="2" t="str">
        <f>SOP_Heading2</f>
        <v>Customer ID</v>
      </c>
      <c r="H3" s="2" t="str">
        <f>SOP_Heading1</f>
        <v>Key Figure</v>
      </c>
      <c r="I3" s="2" t="str">
        <f xml:space="preserve"> _xll.EPMOlapMemberO("[PERIODID0].[].[28706]","","19.03.2021","","000")</f>
        <v>19.03.2021</v>
      </c>
      <c r="J3" s="2" t="str">
        <f xml:space="preserve"> _xll.EPMOlapMemberO("[PERIODID0].[].[28707]","","20.03.2021","","000")</f>
        <v>20.03.2021</v>
      </c>
      <c r="K3" s="2" t="str">
        <f xml:space="preserve"> _xll.EPMOlapMemberO("[PERIODID0].[].[28708]","","21.03.2021","","000")</f>
        <v>21.03.2021</v>
      </c>
      <c r="L3" s="2" t="str">
        <f xml:space="preserve"> _xll.EPMOlapMemberO("[PERIODID0].[].[28709]","","22.03.2021","","000")</f>
        <v>22.03.2021</v>
      </c>
      <c r="M3" s="2" t="str">
        <f xml:space="preserve"> _xll.EPMOlapMemberO("[PERIODID0].[].[28710]","","23.03.2021","","000")</f>
        <v>23.03.2021</v>
      </c>
      <c r="N3" s="2" t="str">
        <f xml:space="preserve"> _xll.EPMOlapMemberO("[PERIODID0].[].[28711]","","24.03.2021","","000")</f>
        <v>24.03.2021</v>
      </c>
      <c r="O3" s="2" t="str">
        <f xml:space="preserve"> _xll.EPMOlapMemberO("[PERIODID0].[].[28712]","","25.03.2021","","000")</f>
        <v>25.03.2021</v>
      </c>
      <c r="P3" s="2" t="str">
        <f xml:space="preserve"> _xll.EPMOlapMemberO("[PERIODID0].[].[28713]","","26.03.2021","","000")</f>
        <v>26.03.2021</v>
      </c>
      <c r="Q3" s="2" t="str">
        <f xml:space="preserve"> _xll.EPMOlapMemberO("[PERIODID0].[].[28714]","","27.03.2021","","000")</f>
        <v>27.03.2021</v>
      </c>
      <c r="R3" s="2" t="str">
        <f xml:space="preserve"> _xll.EPMOlapMemberO("[PERIODID0].[].[28715]","","28.03.2021","","000")</f>
        <v>28.03.2021</v>
      </c>
      <c r="S3" s="2" t="str">
        <f xml:space="preserve"> _xll.EPMOlapMemberO("[PERIODID0].[].[28716]","","29.03.2021","","000")</f>
        <v>29.03.2021</v>
      </c>
      <c r="T3" s="2" t="str">
        <f xml:space="preserve"> _xll.EPMOlapMemberO("[PERIODID0].[].[28717]","","30.03.2021","","000")</f>
        <v>30.03.2021</v>
      </c>
      <c r="U3" s="2" t="str">
        <f xml:space="preserve"> _xll.EPMOlapMemberO("[PERIODID0].[].[28718]","","31.03.2021","","000")</f>
        <v>31.03.2021</v>
      </c>
      <c r="V3" s="2" t="str">
        <f xml:space="preserve"> _xll.EPMOlapMemberO("[PERIODID0].[].[28719]","","01.04.2021","","000")</f>
        <v>01.04.2021</v>
      </c>
      <c r="W3" s="2" t="str">
        <f xml:space="preserve"> _xll.EPMOlapMemberO("[PERIODID0].[].[28720]","","02.04.2021","","000")</f>
        <v>02.04.2021</v>
      </c>
      <c r="X3" s="2" t="str">
        <f xml:space="preserve"> _xll.EPMOlapMemberO("[PERIODID0].[].[28721]","","03.04.2021","","000")</f>
        <v>03.04.2021</v>
      </c>
      <c r="Y3" s="2" t="str">
        <f xml:space="preserve"> _xll.EPMOlapMemberO("[PERIODID0].[].[28722]","","04.04.2021","","000")</f>
        <v>04.04.2021</v>
      </c>
      <c r="Z3" s="2" t="str">
        <f xml:space="preserve"> _xll.EPMOlapMemberO("[PERIODID0].[].[28723]","","05.04.2021","","000")</f>
        <v>05.04.2021</v>
      </c>
      <c r="AA3" s="2" t="str">
        <f xml:space="preserve"> _xll.EPMOlapMemberO("[PERIODID0].[].[28724]","","06.04.2021","","000")</f>
        <v>06.04.2021</v>
      </c>
      <c r="AB3" s="2" t="str">
        <f xml:space="preserve"> _xll.EPMOlapMemberO("[PERIODID0].[].[28725]","","07.04.2021","","000")</f>
        <v>07.04.2021</v>
      </c>
      <c r="AC3" s="2" t="str">
        <f xml:space="preserve"> _xll.EPMOlapMemberO("[PERIODID0].[].[28726]","","08.04.2021","","000")</f>
        <v>08.04.2021</v>
      </c>
      <c r="AD3" s="2" t="str">
        <f xml:space="preserve"> _xll.EPMOlapMemberO("[PERIODID0].[].[28727]","","09.04.2021","","000")</f>
        <v>09.04.2021</v>
      </c>
      <c r="AE3" s="2" t="str">
        <f xml:space="preserve"> _xll.EPMOlapMemberO("[PERIODID0].[].[28728]","","10.04.2021","","000")</f>
        <v>10.04.2021</v>
      </c>
      <c r="AF3" s="2" t="str">
        <f xml:space="preserve"> _xll.EPMOlapMemberO("[PERIODID0].[].[28729]","","11.04.2021","","000")</f>
        <v>11.04.2021</v>
      </c>
      <c r="AG3" s="2" t="str">
        <f xml:space="preserve"> _xll.EPMOlapMemberO("[PERIODID0].[].[28730]","","12.04.2021","","000")</f>
        <v>12.04.2021</v>
      </c>
      <c r="AH3" s="2" t="str">
        <f xml:space="preserve"> _xll.EPMOlapMemberO("[PERIODID0].[].[28731]","","13.04.2021","","000")</f>
        <v>13.04.2021</v>
      </c>
      <c r="AI3" s="2" t="str">
        <f xml:space="preserve"> _xll.EPMOlapMemberO("[PERIODID0].[].[28732]","","14.04.2021","","000")</f>
        <v>14.04.2021</v>
      </c>
      <c r="AJ3" s="2" t="str">
        <f xml:space="preserve"> _xll.EPMOlapMemberO("[PERIODID0].[].[28733]","","15.04.2021","","000")</f>
        <v>15.04.2021</v>
      </c>
      <c r="AK3" s="2" t="str">
        <f xml:space="preserve"> _xll.EPMOlapMemberO("[PERIODID0].[].[28734]","","16.04.2021","","000")</f>
        <v>16.04.2021</v>
      </c>
      <c r="AL3" s="2" t="str">
        <f xml:space="preserve"> _xll.EPMOlapMemberO("[PERIODID0].[].[28735]","","17.04.2021","","000")</f>
        <v>17.04.2021</v>
      </c>
      <c r="AM3" s="2" t="str">
        <f xml:space="preserve"> _xll.EPMOlapMemberO("[PERIODID0].[].[28736]","","18.04.2021","","000")</f>
        <v>18.04.2021</v>
      </c>
      <c r="AN3" s="2" t="str">
        <f xml:space="preserve"> _xll.EPMOlapMemberO("[PERIODID0].[].[28737]","","19.04.2021","","000")</f>
        <v>19.04.2021</v>
      </c>
      <c r="AO3" s="2" t="str">
        <f xml:space="preserve"> _xll.EPMOlapMemberO("[PERIODID0].[].[28738]","","20.04.2021","","000")</f>
        <v>20.04.2021</v>
      </c>
      <c r="AP3" s="2" t="str">
        <f xml:space="preserve"> _xll.EPMOlapMemberO("[PERIODID0].[].[28739]","","21.04.2021","","000")</f>
        <v>21.04.2021</v>
      </c>
      <c r="AQ3" s="2" t="str">
        <f xml:space="preserve"> _xll.EPMOlapMemberO("[PERIODID0].[].[28740]","","22.04.2021","","000")</f>
        <v>22.04.2021</v>
      </c>
      <c r="AR3" s="2" t="str">
        <f xml:space="preserve"> _xll.EPMOlapMemberO("[PERIODID0].[].[28741]","","23.04.2021","","000")</f>
        <v>23.04.2021</v>
      </c>
      <c r="AS3" s="2" t="str">
        <f xml:space="preserve"> _xll.EPMOlapMemberO("[PERIODID0].[].[28742]","","24.04.2021","","000")</f>
        <v>24.04.2021</v>
      </c>
      <c r="AT3" s="2" t="str">
        <f xml:space="preserve"> _xll.EPMOlapMemberO("[PERIODID0].[].[28743]","","25.04.2021","","000")</f>
        <v>25.04.2021</v>
      </c>
      <c r="AU3" s="2" t="str">
        <f xml:space="preserve"> _xll.EPMOlapMemberO("[PERIODID0].[].[28744]","","26.04.2021","","000")</f>
        <v>26.04.2021</v>
      </c>
      <c r="AV3" s="2" t="str">
        <f xml:space="preserve"> _xll.EPMOlapMemberO("[PERIODID0].[].[28745]","","27.04.2021","","000")</f>
        <v>27.04.2021</v>
      </c>
      <c r="AW3" s="2" t="str">
        <f xml:space="preserve"> _xll.EPMOlapMemberO("[PERIODID0].[].[28746]","","28.04.2021","","000")</f>
        <v>28.04.2021</v>
      </c>
      <c r="AX3" s="2" t="str">
        <f xml:space="preserve"> _xll.EPMOlapMemberO("[PERIODID0].[].[28747]","","29.04.2021","","000")</f>
        <v>29.04.2021</v>
      </c>
      <c r="AY3" s="2" t="str">
        <f xml:space="preserve"> _xll.EPMOlapMemberO("[PERIODID0].[].[28748]","","30.04.2021","","000")</f>
        <v>30.04.2021</v>
      </c>
      <c r="AZ3" s="2" t="str">
        <f xml:space="preserve"> _xll.EPMOlapMemberO("[PERIODID0].[].[28749]","","01.05.2021","","000")</f>
        <v>01.05.2021</v>
      </c>
      <c r="BA3" s="2" t="str">
        <f xml:space="preserve"> _xll.EPMOlapMemberO("[PERIODID0].[].[28750]","","02.05.2021","","000")</f>
        <v>02.05.2021</v>
      </c>
      <c r="BB3" s="2" t="str">
        <f xml:space="preserve"> _xll.EPMOlapMemberO("[PERIODID0].[].[28751]","","03.05.2021","","000")</f>
        <v>03.05.2021</v>
      </c>
      <c r="BC3" s="2" t="str">
        <f xml:space="preserve"> _xll.EPMOlapMemberO("[PERIODID0].[].[28752]","","04.05.2021","","000")</f>
        <v>04.05.2021</v>
      </c>
      <c r="BD3" s="2" t="str">
        <f xml:space="preserve"> _xll.EPMOlapMemberO("[PERIODID0].[].[28753]","","05.05.2021","","000")</f>
        <v>05.05.2021</v>
      </c>
      <c r="BE3" s="2" t="str">
        <f xml:space="preserve"> _xll.EPMOlapMemberO("[PERIODID0].[].[28754]","","06.05.2021","","000")</f>
        <v>06.05.2021</v>
      </c>
      <c r="BF3" s="2" t="str">
        <f xml:space="preserve"> _xll.EPMOlapMemberO("[PERIODID0].[].[28755]","","07.05.2021","","000")</f>
        <v>07.05.2021</v>
      </c>
      <c r="BG3" s="2" t="str">
        <f xml:space="preserve"> _xll.EPMOlapMemberO("[PERIODID0].[].[28756]","","08.05.2021","","000")</f>
        <v>08.05.2021</v>
      </c>
      <c r="BH3" s="2" t="str">
        <f xml:space="preserve"> _xll.EPMOlapMemberO("[PERIODID0].[].[28757]","","09.05.2021","","000")</f>
        <v>09.05.2021</v>
      </c>
      <c r="BI3" s="2" t="str">
        <f xml:space="preserve"> _xll.EPMOlapMemberO("[PERIODID0].[].[28758]","","10.05.2021","","000")</f>
        <v>10.05.2021</v>
      </c>
      <c r="BJ3" s="2" t="str">
        <f xml:space="preserve"> _xll.EPMOlapMemberO("[PERIODID0].[].[28759]","","11.05.2021","","000")</f>
        <v>11.05.2021</v>
      </c>
      <c r="BK3" s="2" t="str">
        <f xml:space="preserve"> _xll.EPMOlapMemberO("[PERIODID0].[].[28760]","","12.05.2021","","000")</f>
        <v>12.05.2021</v>
      </c>
      <c r="BL3" s="2" t="str">
        <f xml:space="preserve"> _xll.EPMOlapMemberO("[PERIODID0].[].[28761]","","13.05.2021","","000")</f>
        <v>13.05.2021</v>
      </c>
      <c r="BM3" s="2" t="str">
        <f xml:space="preserve"> _xll.EPMOlapMemberO("[PERIODID0].[].[28762]","","14.05.2021","","000")</f>
        <v>14.05.2021</v>
      </c>
      <c r="BN3" s="2" t="str">
        <f xml:space="preserve"> _xll.EPMOlapMemberO("[PERIODID0].[].[28763]","","15.05.2021","","000")</f>
        <v>15.05.2021</v>
      </c>
      <c r="BO3" s="2" t="str">
        <f xml:space="preserve"> _xll.EPMOlapMemberO("[PERIODID0].[].[28764]","","16.05.2021","","000")</f>
        <v>16.05.2021</v>
      </c>
      <c r="BP3" s="2" t="str">
        <f xml:space="preserve"> _xll.EPMOlapMemberO("[PERIODID0].[].[28765]","","17.05.2021","","000")</f>
        <v>17.05.2021</v>
      </c>
      <c r="BQ3" s="2" t="str">
        <f xml:space="preserve"> _xll.EPMOlapMemberO("[PERIODID0].[].[28766]","","18.05.2021","","000")</f>
        <v>18.05.2021</v>
      </c>
      <c r="BR3" s="2" t="str">
        <f xml:space="preserve"> _xll.EPMOlapMemberO("[PERIODID0].[].[28767]","","19.05.2021","","000")</f>
        <v>19.05.2021</v>
      </c>
      <c r="BS3" s="2" t="str">
        <f xml:space="preserve"> _xll.EPMOlapMemberO("[PERIODID0].[].[28768]","","20.05.2021","","000")</f>
        <v>20.05.2021</v>
      </c>
      <c r="BT3" s="2" t="str">
        <f xml:space="preserve"> _xll.EPMOlapMemberO("[PERIODID0].[].[28769]","","21.05.2021","","000")</f>
        <v>21.05.2021</v>
      </c>
      <c r="BU3" s="2" t="str">
        <f xml:space="preserve"> _xll.EPMOlapMemberO("[PERIODID0].[].[28770]","","22.05.2021","","000")</f>
        <v>22.05.2021</v>
      </c>
      <c r="BV3" s="2" t="str">
        <f xml:space="preserve"> _xll.EPMOlapMemberO("[PERIODID0].[].[28771]","","23.05.2021","","000")</f>
        <v>23.05.2021</v>
      </c>
      <c r="BW3" s="2" t="str">
        <f xml:space="preserve"> _xll.EPMOlapMemberO("[PERIODID0].[].[28772]","","24.05.2021","","000")</f>
        <v>24.05.2021</v>
      </c>
      <c r="BX3" s="2" t="str">
        <f xml:space="preserve"> _xll.EPMOlapMemberO("[PERIODID0].[].[28773]","","25.05.2021","","000")</f>
        <v>25.05.2021</v>
      </c>
      <c r="BY3" s="2" t="str">
        <f xml:space="preserve"> _xll.EPMOlapMemberO("[PERIODID0].[].[28774]","","26.05.2021","","000")</f>
        <v>26.05.2021</v>
      </c>
      <c r="BZ3" s="2" t="str">
        <f xml:space="preserve"> _xll.EPMOlapMemberO("[PERIODID0].[].[28775]","","27.05.2021","","000")</f>
        <v>27.05.2021</v>
      </c>
      <c r="CA3" s="2" t="str">
        <f xml:space="preserve"> _xll.EPMOlapMemberO("[PERIODID0].[].[28776]","","28.05.2021","","000")</f>
        <v>28.05.2021</v>
      </c>
      <c r="CB3" s="2" t="str">
        <f xml:space="preserve"> _xll.EPMOlapMemberO("[PERIODID0].[].[28777]","","29.05.2021","","000")</f>
        <v>29.05.2021</v>
      </c>
      <c r="CC3" s="2" t="str">
        <f xml:space="preserve"> _xll.EPMOlapMemberO("[PERIODID0].[].[28778]","","30.05.2021","","000")</f>
        <v>30.05.2021</v>
      </c>
      <c r="CD3" s="2" t="str">
        <f xml:space="preserve"> _xll.EPMOlapMemberO("[PERIODID0].[].[28779]","","31.05.2021","","000")</f>
        <v>31.05.2021</v>
      </c>
      <c r="CE3" s="2" t="str">
        <f xml:space="preserve"> _xll.EPMOlapMemberO("[PERIODID0].[].[28780]","","01.06.2021","","000")</f>
        <v>01.06.2021</v>
      </c>
      <c r="CF3" s="2" t="str">
        <f xml:space="preserve"> _xll.EPMOlapMemberO("[PERIODID0].[].[28781]","","02.06.2021","","000")</f>
        <v>02.06.2021</v>
      </c>
      <c r="CG3" s="2" t="str">
        <f xml:space="preserve"> _xll.EPMOlapMemberO("[PERIODID0].[].[28782]","","03.06.2021","","000")</f>
        <v>03.06.2021</v>
      </c>
      <c r="CH3" s="2" t="str">
        <f xml:space="preserve"> _xll.EPMOlapMemberO("[PERIODID0].[].[28783]","","04.06.2021","","000")</f>
        <v>04.06.2021</v>
      </c>
      <c r="CI3" s="2" t="str">
        <f xml:space="preserve"> _xll.EPMOlapMemberO("[PERIODID0].[].[28784]","","05.06.2021","","000")</f>
        <v>05.06.2021</v>
      </c>
      <c r="CJ3" s="2" t="str">
        <f xml:space="preserve"> _xll.EPMOlapMemberO("[PERIODID0].[].[28785]","","06.06.2021","","000")</f>
        <v>06.06.2021</v>
      </c>
      <c r="CK3" s="2" t="str">
        <f xml:space="preserve"> _xll.EPMOlapMemberO("[PERIODID0].[].[28786]","","07.06.2021","","000")</f>
        <v>07.06.2021</v>
      </c>
      <c r="CL3" s="2" t="str">
        <f xml:space="preserve"> _xll.EPMOlapMemberO("[PERIODID0].[].[28787]","","08.06.2021","","000")</f>
        <v>08.06.2021</v>
      </c>
      <c r="CM3" s="2" t="str">
        <f xml:space="preserve"> _xll.EPMOlapMemberO("[PERIODID0].[].[28788]","","09.06.2021","","000")</f>
        <v>09.06.2021</v>
      </c>
      <c r="CN3" s="2" t="str">
        <f xml:space="preserve"> _xll.EPMOlapMemberO("[PERIODID0].[].[28789]","","10.06.2021","","000")</f>
        <v>10.06.2021</v>
      </c>
      <c r="CO3" s="2" t="str">
        <f xml:space="preserve"> _xll.EPMOlapMemberO("[PERIODID0].[].[28790]","","11.06.2021","","000")</f>
        <v>11.06.2021</v>
      </c>
      <c r="CP3" s="2" t="str">
        <f xml:space="preserve"> _xll.EPMOlapMemberO("[PERIODID0].[].[28791]","","12.06.2021","","000")</f>
        <v>12.06.2021</v>
      </c>
      <c r="CQ3" s="2" t="str">
        <f xml:space="preserve"> _xll.EPMOlapMemberO("[PERIODID0].[].[28792]","","13.06.2021","","000")</f>
        <v>13.06.2021</v>
      </c>
      <c r="CR3" s="2" t="str">
        <f xml:space="preserve"> _xll.EPMOlapMemberO("[PERIODID0].[].[28793]","","14.06.2021","","000")</f>
        <v>14.06.2021</v>
      </c>
      <c r="CS3" s="2" t="str">
        <f xml:space="preserve"> _xll.EPMOlapMemberO("[PERIODID0].[].[28794]","","15.06.2021","","000")</f>
        <v>15.06.2021</v>
      </c>
      <c r="CT3" s="2" t="str">
        <f xml:space="preserve"> _xll.EPMOlapMemberO("[PERIODID0].[].[28795]","","16.06.2021","","000")</f>
        <v>16.06.2021</v>
      </c>
      <c r="CU3" s="2" t="str">
        <f xml:space="preserve"> _xll.EPMOlapMemberO("[PERIODID0].[].[28796]","","17.06.2021","","000")</f>
        <v>17.06.2021</v>
      </c>
      <c r="CV3" s="2" t="str">
        <f xml:space="preserve"> _xll.EPMOlapMemberO("[PERIODID0].[].[28797]","","18.06.2021","","000")</f>
        <v>18.06.2021</v>
      </c>
      <c r="CW3" s="2" t="str">
        <f xml:space="preserve"> _xll.EPMOlapMemberO("[PERIODID0].[].[28798]","","19.06.2021","","000")</f>
        <v>19.06.2021</v>
      </c>
      <c r="CX3" s="2" t="str">
        <f xml:space="preserve"> _xll.EPMOlapMemberO("[PERIODID0].[].[28799]","","20.06.2021","","000")</f>
        <v>20.06.2021</v>
      </c>
      <c r="CY3" s="2" t="str">
        <f xml:space="preserve"> _xll.EPMOlapMemberO("[PERIODID0].[].[28800]","","21.06.2021","","000")</f>
        <v>21.06.2021</v>
      </c>
      <c r="CZ3" s="2" t="str">
        <f xml:space="preserve"> _xll.EPMOlapMemberO("[PERIODID0].[].[28801]","","22.06.2021","","000")</f>
        <v>22.06.2021</v>
      </c>
      <c r="DA3" s="2" t="str">
        <f xml:space="preserve"> _xll.EPMOlapMemberO("[PERIODID0].[].[28802]","","23.06.2021","","000")</f>
        <v>23.06.2021</v>
      </c>
      <c r="DB3" s="2" t="str">
        <f xml:space="preserve"> _xll.EPMOlapMemberO("[PERIODID0].[].[28803]","","24.06.2021","","000")</f>
        <v>24.06.2021</v>
      </c>
      <c r="DC3" s="2" t="str">
        <f xml:space="preserve"> _xll.EPMOlapMemberO("[PERIODID0].[].[28804]","","25.06.2021","","000")</f>
        <v>25.06.2021</v>
      </c>
      <c r="DD3" s="2" t="str">
        <f xml:space="preserve"> _xll.EPMOlapMemberO("[PERIODID0].[].[28805]","","26.06.2021","","000")</f>
        <v>26.06.2021</v>
      </c>
      <c r="DE3" s="2" t="str">
        <f xml:space="preserve"> _xll.EPMOlapMemberO("[PERIODID0].[].[28806]","","27.06.2021","","000")</f>
        <v>27.06.2021</v>
      </c>
      <c r="DF3" s="2" t="str">
        <f xml:space="preserve"> _xll.EPMOlapMemberO("[PERIODID0].[].[28807]","","28.06.2021","","000")</f>
        <v>28.06.2021</v>
      </c>
      <c r="DG3" s="2" t="str">
        <f xml:space="preserve"> _xll.EPMOlapMemberO("[PERIODID0].[].[28808]","","29.06.2021","","000")</f>
        <v>29.06.2021</v>
      </c>
      <c r="DH3" s="2" t="str">
        <f xml:space="preserve"> _xll.EPMOlapMemberO("[PERIODID0].[].[28809]","","30.06.2021","","000")</f>
        <v>30.06.2021</v>
      </c>
      <c r="DI3" s="2" t="str">
        <f xml:space="preserve"> _xll.EPMOlapMemberO("[PERIODID0].[].[28810]","","01.07.2021","","000")</f>
        <v>01.07.2021</v>
      </c>
      <c r="DJ3" s="2" t="str">
        <f xml:space="preserve"> _xll.EPMOlapMemberO("[PERIODID0].[].[28811]","","02.07.2021","","000")</f>
        <v>02.07.2021</v>
      </c>
      <c r="DK3" s="2" t="str">
        <f xml:space="preserve"> _xll.EPMOlapMemberO("[PERIODID0].[].[28812]","","03.07.2021","","000")</f>
        <v>03.07.2021</v>
      </c>
      <c r="DL3" s="2" t="str">
        <f xml:space="preserve"> _xll.EPMOlapMemberO("[PERIODID0].[].[28813]","","04.07.2021","","000")</f>
        <v>04.07.2021</v>
      </c>
      <c r="DM3" s="2" t="str">
        <f xml:space="preserve"> _xll.EPMOlapMemberO("[PERIODID0].[].[28814]","","05.07.2021","","000")</f>
        <v>05.07.2021</v>
      </c>
      <c r="DN3" s="2" t="str">
        <f xml:space="preserve"> _xll.EPMOlapMemberO("[PERIODID0].[].[28815]","","06.07.2021","","000")</f>
        <v>06.07.2021</v>
      </c>
      <c r="DO3" s="2" t="str">
        <f xml:space="preserve"> _xll.EPMOlapMemberO("[PERIODID0].[].[28816]","","07.07.2021","","000")</f>
        <v>07.07.2021</v>
      </c>
      <c r="DP3" s="2" t="str">
        <f xml:space="preserve"> _xll.EPMOlapMemberO("[PERIODID0].[].[28817]","","08.07.2021","","000")</f>
        <v>08.07.2021</v>
      </c>
      <c r="DQ3" s="2" t="str">
        <f xml:space="preserve"> _xll.EPMOlapMemberO("[PERIODID0].[].[28818]","","09.07.2021","","000")</f>
        <v>09.07.2021</v>
      </c>
      <c r="DR3" s="2" t="str">
        <f xml:space="preserve"> _xll.EPMOlapMemberO("[PERIODID0].[].[28819]","","10.07.2021","","000")</f>
        <v>10.07.2021</v>
      </c>
      <c r="DS3" s="2" t="str">
        <f xml:space="preserve"> _xll.EPMOlapMemberO("[PERIODID0].[].[28820]","","11.07.2021","","000")</f>
        <v>11.07.2021</v>
      </c>
      <c r="DT3" s="2" t="str">
        <f xml:space="preserve"> _xll.EPMOlapMemberO("[PERIODID0].[].[28821]","","12.07.2021","","000")</f>
        <v>12.07.2021</v>
      </c>
      <c r="DU3" s="2" t="str">
        <f xml:space="preserve"> _xll.EPMOlapMemberO("[PERIODID0].[].[28822]","","13.07.2021","","000")</f>
        <v>13.07.2021</v>
      </c>
      <c r="DV3" s="2" t="str">
        <f xml:space="preserve"> _xll.EPMOlapMemberO("[PERIODID0].[].[28823]","","14.07.2021","","000")</f>
        <v>14.07.2021</v>
      </c>
      <c r="DW3" s="2" t="str">
        <f xml:space="preserve"> _xll.EPMOlapMemberO("[PERIODID0].[].[28824]","","15.07.2021","","000")</f>
        <v>15.07.2021</v>
      </c>
      <c r="DX3" s="2" t="str">
        <f xml:space="preserve"> _xll.EPMOlapMemberO("[PERIODID0].[].[28825]","","16.07.2021","","000")</f>
        <v>16.07.2021</v>
      </c>
      <c r="DY3" s="2" t="str">
        <f xml:space="preserve"> _xll.EPMOlapMemberO("[PERIODID0].[].[28826]","","17.07.2021","","000")</f>
        <v>17.07.2021</v>
      </c>
      <c r="DZ3" s="2" t="str">
        <f xml:space="preserve"> _xll.EPMOlapMemberO("[PERIODID0].[].[28827]","","18.07.2021","","000")</f>
        <v>18.07.2021</v>
      </c>
      <c r="EA3" s="2" t="str">
        <f xml:space="preserve"> _xll.EPMOlapMemberO("[PERIODID0].[].[28828]","","19.07.2021","","000")</f>
        <v>19.07.2021</v>
      </c>
      <c r="EB3" s="2" t="str">
        <f xml:space="preserve"> _xll.EPMOlapMemberO("[PERIODID0].[].[28829]","","20.07.2021","","000")</f>
        <v>20.07.2021</v>
      </c>
      <c r="EC3" s="2" t="str">
        <f xml:space="preserve"> _xll.EPMOlapMemberO("[PERIODID0].[].[28830]","","21.07.2021","","000")</f>
        <v>21.07.2021</v>
      </c>
      <c r="ED3" s="2" t="str">
        <f xml:space="preserve"> _xll.EPMOlapMemberO("[PERIODID0].[].[28831]","","22.07.2021","","000")</f>
        <v>22.07.2021</v>
      </c>
      <c r="EE3" s="2" t="str">
        <f xml:space="preserve"> _xll.EPMOlapMemberO("[PERIODID0].[].[28832]","","23.07.2021","","000")</f>
        <v>23.07.2021</v>
      </c>
      <c r="EF3" s="2" t="str">
        <f xml:space="preserve"> _xll.EPMOlapMemberO("[PERIODID0].[].[28833]","","24.07.2021","","000")</f>
        <v>24.07.2021</v>
      </c>
      <c r="EG3" s="2" t="str">
        <f xml:space="preserve"> _xll.EPMOlapMemberO("[PERIODID0].[].[28834]","","25.07.2021","","000")</f>
        <v>25.07.2021</v>
      </c>
      <c r="EH3" s="2" t="str">
        <f xml:space="preserve"> _xll.EPMOlapMemberO("[PERIODID0].[].[28835]","","26.07.2021","","000")</f>
        <v>26.07.2021</v>
      </c>
      <c r="EI3" s="2" t="str">
        <f xml:space="preserve"> _xll.EPMOlapMemberO("[PERIODID0].[].[28836]","","27.07.2021","","000")</f>
        <v>27.07.2021</v>
      </c>
      <c r="EJ3" s="2" t="str">
        <f xml:space="preserve"> _xll.EPMOlapMemberO("[PERIODID0].[].[28837]","","28.07.2021","","000")</f>
        <v>28.07.2021</v>
      </c>
      <c r="EK3" s="2" t="str">
        <f xml:space="preserve"> _xll.EPMOlapMemberO("[PERIODID0].[].[28838]","","29.07.2021","","000")</f>
        <v>29.07.2021</v>
      </c>
      <c r="EL3" s="2" t="str">
        <f xml:space="preserve"> _xll.EPMOlapMemberO("[PERIODID0].[].[28839]","","30.07.2021","","000")</f>
        <v>30.07.2021</v>
      </c>
      <c r="EM3" s="2" t="str">
        <f xml:space="preserve"> _xll.EPMOlapMemberO("[PERIODID0].[].[28840]","","31.07.2021","","000")</f>
        <v>31.07.2021</v>
      </c>
      <c r="EN3" s="2" t="str">
        <f xml:space="preserve"> _xll.EPMOlapMemberO("[PERIODID0].[].[28841]","","01.08.2021","","000")</f>
        <v>01.08.2021</v>
      </c>
      <c r="EO3" s="2" t="str">
        <f xml:space="preserve"> _xll.EPMOlapMemberO("[PERIODID0].[].[28842]","","02.08.2021","","000")</f>
        <v>02.08.2021</v>
      </c>
      <c r="EP3" s="2" t="str">
        <f xml:space="preserve"> _xll.EPMOlapMemberO("[PERIODID0].[].[28843]","","03.08.2021","","000")</f>
        <v>03.08.2021</v>
      </c>
      <c r="EQ3" s="2" t="str">
        <f xml:space="preserve"> _xll.EPMOlapMemberO("[PERIODID0].[].[28844]","","04.08.2021","","000")</f>
        <v>04.08.2021</v>
      </c>
      <c r="ER3" s="2" t="str">
        <f xml:space="preserve"> _xll.EPMOlapMemberO("[PERIODID0].[].[28845]","","05.08.2021","","000")</f>
        <v>05.08.2021</v>
      </c>
      <c r="ES3" s="2" t="str">
        <f xml:space="preserve"> _xll.EPMOlapMemberO("[PERIODID0].[].[28846]","","06.08.2021","","000")</f>
        <v>06.08.2021</v>
      </c>
      <c r="ET3" s="2" t="str">
        <f xml:space="preserve"> _xll.EPMOlapMemberO("[PERIODID0].[].[28847]","","07.08.2021","","000")</f>
        <v>07.08.2021</v>
      </c>
      <c r="EU3" s="2" t="str">
        <f xml:space="preserve"> _xll.EPMOlapMemberO("[PERIODID0].[].[28848]","","08.08.2021","","000")</f>
        <v>08.08.2021</v>
      </c>
      <c r="EV3" s="2" t="str">
        <f xml:space="preserve"> _xll.EPMOlapMemberO("[PERIODID0].[].[28849]","","09.08.2021","","000")</f>
        <v>09.08.2021</v>
      </c>
      <c r="EW3" s="2" t="str">
        <f xml:space="preserve"> _xll.EPMOlapMemberO("[PERIODID0].[].[28850]","","10.08.2021","","000")</f>
        <v>10.08.2021</v>
      </c>
      <c r="EX3" s="2" t="str">
        <f xml:space="preserve"> _xll.EPMOlapMemberO("[PERIODID0].[].[28851]","","11.08.2021","","000")</f>
        <v>11.08.2021</v>
      </c>
      <c r="EY3" s="2" t="str">
        <f xml:space="preserve"> _xll.EPMOlapMemberO("[PERIODID0].[].[28852]","","12.08.2021","","000")</f>
        <v>12.08.2021</v>
      </c>
      <c r="EZ3" s="2" t="str">
        <f xml:space="preserve"> _xll.EPMOlapMemberO("[PERIODID0].[].[28853]","","13.08.2021","","000")</f>
        <v>13.08.2021</v>
      </c>
      <c r="FA3" s="2" t="str">
        <f xml:space="preserve"> _xll.EPMOlapMemberO("[PERIODID0].[].[28854]","","14.08.2021","","000")</f>
        <v>14.08.2021</v>
      </c>
      <c r="FB3" s="2" t="str">
        <f xml:space="preserve"> _xll.EPMOlapMemberO("[PERIODID0].[].[28855]","","15.08.2021","","000")</f>
        <v>15.08.2021</v>
      </c>
      <c r="FC3" s="2" t="str">
        <f xml:space="preserve"> _xll.EPMOlapMemberO("[PERIODID0].[].[28856]","","16.08.2021","","000")</f>
        <v>16.08.2021</v>
      </c>
      <c r="FD3" s="2" t="str">
        <f xml:space="preserve"> _xll.EPMOlapMemberO("[PERIODID0].[].[28857]","","17.08.2021","","000")</f>
        <v>17.08.2021</v>
      </c>
      <c r="FE3" s="2" t="str">
        <f xml:space="preserve"> _xll.EPMOlapMemberO("[PERIODID0].[].[28858]","","18.08.2021","","000")</f>
        <v>18.08.2021</v>
      </c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</row>
    <row r="4" spans="2:453" x14ac:dyDescent="0.25">
      <c r="B4" s="1"/>
      <c r="C4" s="1"/>
      <c r="D4" s="3"/>
      <c r="E4" s="3"/>
      <c r="F4" s="3" t="str">
        <f xml:space="preserve"> _xll.EPMOlapMemberO("[PRDID].[].[IBP-100]","","IBP-100","","000")</f>
        <v>IBP-100</v>
      </c>
      <c r="G4" s="3" t="str">
        <f xml:space="preserve"> _xll.EPMOlapMemberO("[CUSTID].[].[CUST A]","","Customer A","","000")</f>
        <v>Customer A</v>
      </c>
      <c r="H4" s="3" t="str">
        <f xml:space="preserve"> _xll.EPMOlapMemberO("[KEY_FIGURES].[].[CONSENSUSDEMAND]","","Customer Demand","","000")</f>
        <v>Customer Demand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>
        <v>15.654044000000001</v>
      </c>
      <c r="CA4" s="4">
        <v>52.663547000000001</v>
      </c>
      <c r="CB4" s="4">
        <v>96.948644999999999</v>
      </c>
      <c r="CC4" s="4">
        <v>3.7709359999999998</v>
      </c>
      <c r="CD4" s="4">
        <v>330.962828</v>
      </c>
      <c r="CE4" s="4">
        <v>0.51881500000000003</v>
      </c>
      <c r="CF4" s="4">
        <v>86.586230999999998</v>
      </c>
      <c r="CG4" s="4">
        <v>56.219382000000003</v>
      </c>
      <c r="CH4" s="4">
        <v>46.401300999999997</v>
      </c>
      <c r="CI4" s="4">
        <v>74.006718000000006</v>
      </c>
      <c r="CJ4" s="4">
        <v>43.913646</v>
      </c>
      <c r="CK4" s="4">
        <v>46.411093000000001</v>
      </c>
      <c r="CL4" s="4">
        <v>66.115104000000002</v>
      </c>
      <c r="CM4" s="4">
        <v>73.340512000000004</v>
      </c>
      <c r="CN4" s="4">
        <v>49.919263000000001</v>
      </c>
      <c r="CO4" s="4">
        <v>29.775216</v>
      </c>
      <c r="CP4" s="4">
        <v>66.381474999999995</v>
      </c>
      <c r="CQ4" s="4">
        <v>9.6579689999999996</v>
      </c>
      <c r="CR4" s="4">
        <v>91.393929999999997</v>
      </c>
      <c r="CS4" s="4">
        <v>81.863364000000004</v>
      </c>
      <c r="CT4" s="4">
        <v>34.638162999999999</v>
      </c>
      <c r="CU4" s="4">
        <v>57.062894999999997</v>
      </c>
      <c r="CV4" s="4">
        <v>73.884043000000005</v>
      </c>
      <c r="CW4" s="4">
        <v>67.039333999999997</v>
      </c>
      <c r="CX4" s="4">
        <v>3.2558539999999998</v>
      </c>
      <c r="CY4" s="4">
        <v>54.991720000000001</v>
      </c>
      <c r="CZ4" s="4">
        <v>51.166232999999998</v>
      </c>
      <c r="DA4" s="4">
        <v>57.460450999999999</v>
      </c>
      <c r="DB4" s="4">
        <v>7.8394880000000002</v>
      </c>
      <c r="DC4" s="4">
        <v>38.469445</v>
      </c>
      <c r="DD4" s="4">
        <v>5.1942430000000002</v>
      </c>
      <c r="DE4" s="4">
        <v>93.780704999999998</v>
      </c>
      <c r="DF4" s="4">
        <v>8.762931</v>
      </c>
      <c r="DG4" s="4">
        <v>33.269880999999998</v>
      </c>
      <c r="DH4" s="4">
        <v>2.2606220000000001</v>
      </c>
      <c r="DI4" s="4">
        <v>71.467622000000006</v>
      </c>
      <c r="DJ4" s="4">
        <v>3.3881579999999998</v>
      </c>
      <c r="DK4" s="4">
        <v>75.858565999999996</v>
      </c>
      <c r="DL4" s="4">
        <v>62.495584000000001</v>
      </c>
      <c r="DM4" s="4">
        <v>3.8808389999999999</v>
      </c>
      <c r="DN4" s="4">
        <v>25.462734999999999</v>
      </c>
      <c r="DO4" s="4">
        <v>52.883837</v>
      </c>
      <c r="DP4" s="4">
        <v>22.520567</v>
      </c>
      <c r="DQ4" s="4">
        <v>51.652845999999997</v>
      </c>
      <c r="DR4" s="4">
        <v>94.903758999999994</v>
      </c>
      <c r="DS4" s="4">
        <v>50.510528999999998</v>
      </c>
      <c r="DT4" s="4">
        <v>69.517313999999999</v>
      </c>
      <c r="DU4" s="4">
        <v>12.535322000000001</v>
      </c>
      <c r="DV4" s="4">
        <v>76.750429999999994</v>
      </c>
      <c r="DW4" s="4">
        <v>100</v>
      </c>
      <c r="DX4" s="4">
        <v>43</v>
      </c>
      <c r="DY4" s="4">
        <v>44</v>
      </c>
      <c r="DZ4" s="4">
        <v>15.545209</v>
      </c>
      <c r="EA4" s="4">
        <v>5.6890289999999997</v>
      </c>
      <c r="EB4" s="4">
        <v>5.0274330000000003</v>
      </c>
      <c r="EC4" s="4">
        <v>27.498237</v>
      </c>
      <c r="ED4" s="4">
        <v>12.533916</v>
      </c>
      <c r="EE4" s="4">
        <v>55.097185000000003</v>
      </c>
      <c r="EF4" s="4">
        <v>83.904681999999994</v>
      </c>
      <c r="EG4" s="4">
        <v>55.727986000000001</v>
      </c>
      <c r="EH4" s="4">
        <v>22.330062000000002</v>
      </c>
      <c r="EI4" s="4">
        <v>58.946983000000003</v>
      </c>
      <c r="EJ4" s="4">
        <v>33.222875000000002</v>
      </c>
      <c r="EK4" s="4">
        <v>65.640292000000002</v>
      </c>
      <c r="EL4" s="4">
        <v>10.545674999999999</v>
      </c>
      <c r="EM4" s="4">
        <v>15.032798</v>
      </c>
      <c r="EN4" s="4">
        <v>76.411435999999995</v>
      </c>
      <c r="EO4" s="4"/>
      <c r="EP4" s="4"/>
      <c r="EQ4" s="4"/>
      <c r="ER4" s="4"/>
      <c r="ES4" s="4">
        <v>52</v>
      </c>
      <c r="ET4" s="4">
        <v>28</v>
      </c>
      <c r="EU4" s="4">
        <v>12</v>
      </c>
      <c r="EV4" s="4">
        <v>84</v>
      </c>
      <c r="EW4" s="4">
        <v>29</v>
      </c>
      <c r="EX4" s="4">
        <v>57</v>
      </c>
      <c r="EY4" s="4">
        <v>94</v>
      </c>
      <c r="EZ4" s="4">
        <v>41</v>
      </c>
      <c r="FA4" s="4">
        <v>20</v>
      </c>
      <c r="FB4" s="4">
        <v>91</v>
      </c>
      <c r="FC4" s="4">
        <v>30</v>
      </c>
      <c r="FD4" s="4">
        <v>77</v>
      </c>
      <c r="FE4" s="4">
        <v>38</v>
      </c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</row>
    <row r="5" spans="2:453" x14ac:dyDescent="0.25">
      <c r="B5" s="1"/>
      <c r="C5" s="1"/>
      <c r="D5" s="3"/>
      <c r="E5" s="3"/>
      <c r="F5" s="3"/>
      <c r="G5" s="3"/>
      <c r="H5" s="3" t="str">
        <f xml:space="preserve"> _xll.EPMLocalMember("Local member","000","000")</f>
        <v>Local member</v>
      </c>
      <c r="I5" s="4">
        <f>I4*2</f>
        <v>0</v>
      </c>
      <c r="J5" s="4">
        <f t="shared" ref="J5:BU5" si="0">J4*2</f>
        <v>0</v>
      </c>
      <c r="K5" s="4">
        <f t="shared" si="0"/>
        <v>0</v>
      </c>
      <c r="L5" s="4">
        <f t="shared" si="0"/>
        <v>0</v>
      </c>
      <c r="M5" s="4">
        <f t="shared" si="0"/>
        <v>0</v>
      </c>
      <c r="N5" s="4">
        <f t="shared" si="0"/>
        <v>0</v>
      </c>
      <c r="O5" s="4">
        <f t="shared" si="0"/>
        <v>0</v>
      </c>
      <c r="P5" s="4">
        <f t="shared" si="0"/>
        <v>0</v>
      </c>
      <c r="Q5" s="4">
        <f t="shared" si="0"/>
        <v>0</v>
      </c>
      <c r="R5" s="4">
        <f t="shared" si="0"/>
        <v>0</v>
      </c>
      <c r="S5" s="4">
        <f t="shared" si="0"/>
        <v>0</v>
      </c>
      <c r="T5" s="4">
        <f t="shared" si="0"/>
        <v>0</v>
      </c>
      <c r="U5" s="4">
        <f t="shared" si="0"/>
        <v>0</v>
      </c>
      <c r="V5" s="4">
        <f t="shared" si="0"/>
        <v>0</v>
      </c>
      <c r="W5" s="4">
        <f t="shared" si="0"/>
        <v>0</v>
      </c>
      <c r="X5" s="4">
        <f t="shared" si="0"/>
        <v>0</v>
      </c>
      <c r="Y5" s="4">
        <f t="shared" si="0"/>
        <v>0</v>
      </c>
      <c r="Z5" s="4">
        <f t="shared" si="0"/>
        <v>0</v>
      </c>
      <c r="AA5" s="4">
        <f t="shared" si="0"/>
        <v>0</v>
      </c>
      <c r="AB5" s="4">
        <f t="shared" si="0"/>
        <v>0</v>
      </c>
      <c r="AC5" s="4">
        <f t="shared" si="0"/>
        <v>0</v>
      </c>
      <c r="AD5" s="4">
        <f t="shared" si="0"/>
        <v>0</v>
      </c>
      <c r="AE5" s="4">
        <f t="shared" si="0"/>
        <v>0</v>
      </c>
      <c r="AF5" s="4">
        <f t="shared" si="0"/>
        <v>0</v>
      </c>
      <c r="AG5" s="4">
        <f t="shared" si="0"/>
        <v>0</v>
      </c>
      <c r="AH5" s="4">
        <f t="shared" si="0"/>
        <v>0</v>
      </c>
      <c r="AI5" s="4">
        <f t="shared" si="0"/>
        <v>0</v>
      </c>
      <c r="AJ5" s="4">
        <f t="shared" si="0"/>
        <v>0</v>
      </c>
      <c r="AK5" s="4">
        <f t="shared" si="0"/>
        <v>0</v>
      </c>
      <c r="AL5" s="4">
        <f t="shared" si="0"/>
        <v>0</v>
      </c>
      <c r="AM5" s="4">
        <f t="shared" si="0"/>
        <v>0</v>
      </c>
      <c r="AN5" s="4">
        <f t="shared" si="0"/>
        <v>0</v>
      </c>
      <c r="AO5" s="4">
        <f t="shared" si="0"/>
        <v>0</v>
      </c>
      <c r="AP5" s="4">
        <f t="shared" si="0"/>
        <v>0</v>
      </c>
      <c r="AQ5" s="4">
        <f t="shared" si="0"/>
        <v>0</v>
      </c>
      <c r="AR5" s="4">
        <f t="shared" si="0"/>
        <v>0</v>
      </c>
      <c r="AS5" s="4">
        <f t="shared" si="0"/>
        <v>0</v>
      </c>
      <c r="AT5" s="4">
        <f t="shared" si="0"/>
        <v>0</v>
      </c>
      <c r="AU5" s="4">
        <f t="shared" si="0"/>
        <v>0</v>
      </c>
      <c r="AV5" s="4">
        <f t="shared" si="0"/>
        <v>0</v>
      </c>
      <c r="AW5" s="4">
        <f t="shared" si="0"/>
        <v>0</v>
      </c>
      <c r="AX5" s="4">
        <f t="shared" si="0"/>
        <v>0</v>
      </c>
      <c r="AY5" s="4">
        <f t="shared" si="0"/>
        <v>0</v>
      </c>
      <c r="AZ5" s="4">
        <f t="shared" si="0"/>
        <v>0</v>
      </c>
      <c r="BA5" s="4">
        <f t="shared" si="0"/>
        <v>0</v>
      </c>
      <c r="BB5" s="4">
        <f t="shared" si="0"/>
        <v>0</v>
      </c>
      <c r="BC5" s="4">
        <f t="shared" si="0"/>
        <v>0</v>
      </c>
      <c r="BD5" s="4">
        <f t="shared" si="0"/>
        <v>0</v>
      </c>
      <c r="BE5" s="4">
        <f t="shared" si="0"/>
        <v>0</v>
      </c>
      <c r="BF5" s="4">
        <f t="shared" si="0"/>
        <v>0</v>
      </c>
      <c r="BG5" s="4">
        <f t="shared" si="0"/>
        <v>0</v>
      </c>
      <c r="BH5" s="4">
        <f t="shared" si="0"/>
        <v>0</v>
      </c>
      <c r="BI5" s="4">
        <f t="shared" si="0"/>
        <v>0</v>
      </c>
      <c r="BJ5" s="4">
        <f t="shared" si="0"/>
        <v>0</v>
      </c>
      <c r="BK5" s="4">
        <f t="shared" si="0"/>
        <v>0</v>
      </c>
      <c r="BL5" s="4">
        <f t="shared" si="0"/>
        <v>0</v>
      </c>
      <c r="BM5" s="4">
        <f t="shared" si="0"/>
        <v>0</v>
      </c>
      <c r="BN5" s="4">
        <f t="shared" si="0"/>
        <v>0</v>
      </c>
      <c r="BO5" s="4">
        <f t="shared" si="0"/>
        <v>0</v>
      </c>
      <c r="BP5" s="4">
        <f t="shared" si="0"/>
        <v>0</v>
      </c>
      <c r="BQ5" s="4">
        <f t="shared" si="0"/>
        <v>0</v>
      </c>
      <c r="BR5" s="4">
        <f t="shared" si="0"/>
        <v>0</v>
      </c>
      <c r="BS5" s="4">
        <f t="shared" si="0"/>
        <v>0</v>
      </c>
      <c r="BT5" s="4">
        <f t="shared" si="0"/>
        <v>0</v>
      </c>
      <c r="BU5" s="4">
        <f t="shared" si="0"/>
        <v>0</v>
      </c>
      <c r="BV5" s="4">
        <f t="shared" ref="BV5:EG5" si="1">BV4*2</f>
        <v>0</v>
      </c>
      <c r="BW5" s="4">
        <f t="shared" si="1"/>
        <v>0</v>
      </c>
      <c r="BX5" s="4">
        <f t="shared" si="1"/>
        <v>0</v>
      </c>
      <c r="BY5" s="4">
        <f t="shared" si="1"/>
        <v>0</v>
      </c>
      <c r="BZ5" s="4">
        <f t="shared" si="1"/>
        <v>31.308088000000001</v>
      </c>
      <c r="CA5" s="4">
        <f t="shared" si="1"/>
        <v>105.327094</v>
      </c>
      <c r="CB5" s="4">
        <f t="shared" si="1"/>
        <v>193.89729</v>
      </c>
      <c r="CC5" s="4">
        <f t="shared" si="1"/>
        <v>7.5418719999999997</v>
      </c>
      <c r="CD5" s="4">
        <f t="shared" si="1"/>
        <v>661.925656</v>
      </c>
      <c r="CE5" s="4">
        <f t="shared" si="1"/>
        <v>1.0376300000000001</v>
      </c>
      <c r="CF5" s="4">
        <f t="shared" si="1"/>
        <v>173.172462</v>
      </c>
      <c r="CG5" s="4">
        <f t="shared" si="1"/>
        <v>112.43876400000001</v>
      </c>
      <c r="CH5" s="4">
        <f t="shared" si="1"/>
        <v>92.802601999999993</v>
      </c>
      <c r="CI5" s="4">
        <f t="shared" si="1"/>
        <v>148.01343600000001</v>
      </c>
      <c r="CJ5" s="4">
        <f t="shared" si="1"/>
        <v>87.827292</v>
      </c>
      <c r="CK5" s="4">
        <f t="shared" si="1"/>
        <v>92.822186000000002</v>
      </c>
      <c r="CL5" s="4">
        <f t="shared" si="1"/>
        <v>132.230208</v>
      </c>
      <c r="CM5" s="4">
        <f t="shared" si="1"/>
        <v>146.68102400000001</v>
      </c>
      <c r="CN5" s="4">
        <f t="shared" si="1"/>
        <v>99.838526000000002</v>
      </c>
      <c r="CO5" s="4">
        <f t="shared" si="1"/>
        <v>59.550432000000001</v>
      </c>
      <c r="CP5" s="4">
        <f t="shared" si="1"/>
        <v>132.76294999999999</v>
      </c>
      <c r="CQ5" s="4">
        <f t="shared" si="1"/>
        <v>19.315937999999999</v>
      </c>
      <c r="CR5" s="4">
        <f t="shared" si="1"/>
        <v>182.78785999999999</v>
      </c>
      <c r="CS5" s="4">
        <f t="shared" si="1"/>
        <v>163.72672800000001</v>
      </c>
      <c r="CT5" s="4">
        <f t="shared" si="1"/>
        <v>69.276325999999997</v>
      </c>
      <c r="CU5" s="4">
        <f t="shared" si="1"/>
        <v>114.12578999999999</v>
      </c>
      <c r="CV5" s="4">
        <f t="shared" si="1"/>
        <v>147.76808600000001</v>
      </c>
      <c r="CW5" s="4">
        <f t="shared" si="1"/>
        <v>134.07866799999999</v>
      </c>
      <c r="CX5" s="4">
        <f t="shared" si="1"/>
        <v>6.5117079999999996</v>
      </c>
      <c r="CY5" s="4">
        <f t="shared" si="1"/>
        <v>109.98344</v>
      </c>
      <c r="CZ5" s="4">
        <f t="shared" si="1"/>
        <v>102.332466</v>
      </c>
      <c r="DA5" s="4">
        <f t="shared" si="1"/>
        <v>114.920902</v>
      </c>
      <c r="DB5" s="4">
        <f t="shared" si="1"/>
        <v>15.678976</v>
      </c>
      <c r="DC5" s="4">
        <f t="shared" si="1"/>
        <v>76.938890000000001</v>
      </c>
      <c r="DD5" s="4">
        <f t="shared" si="1"/>
        <v>10.388486</v>
      </c>
      <c r="DE5" s="4">
        <f t="shared" si="1"/>
        <v>187.56141</v>
      </c>
      <c r="DF5" s="4">
        <f t="shared" si="1"/>
        <v>17.525862</v>
      </c>
      <c r="DG5" s="4">
        <f t="shared" si="1"/>
        <v>66.539761999999996</v>
      </c>
      <c r="DH5" s="4">
        <f t="shared" si="1"/>
        <v>4.5212440000000003</v>
      </c>
      <c r="DI5" s="4">
        <f t="shared" si="1"/>
        <v>142.93524400000001</v>
      </c>
      <c r="DJ5" s="4">
        <f t="shared" si="1"/>
        <v>6.7763159999999996</v>
      </c>
      <c r="DK5" s="4">
        <f t="shared" si="1"/>
        <v>151.71713199999999</v>
      </c>
      <c r="DL5" s="4">
        <f t="shared" si="1"/>
        <v>124.991168</v>
      </c>
      <c r="DM5" s="4">
        <f t="shared" si="1"/>
        <v>7.7616779999999999</v>
      </c>
      <c r="DN5" s="4">
        <f t="shared" si="1"/>
        <v>50.925469999999997</v>
      </c>
      <c r="DO5" s="4">
        <f t="shared" si="1"/>
        <v>105.767674</v>
      </c>
      <c r="DP5" s="4">
        <f t="shared" si="1"/>
        <v>45.041134</v>
      </c>
      <c r="DQ5" s="4">
        <f t="shared" si="1"/>
        <v>103.30569199999999</v>
      </c>
      <c r="DR5" s="4">
        <f t="shared" si="1"/>
        <v>189.80751799999999</v>
      </c>
      <c r="DS5" s="4">
        <f t="shared" si="1"/>
        <v>101.021058</v>
      </c>
      <c r="DT5" s="4">
        <f t="shared" si="1"/>
        <v>139.034628</v>
      </c>
      <c r="DU5" s="4">
        <f t="shared" si="1"/>
        <v>25.070644000000001</v>
      </c>
      <c r="DV5" s="4">
        <f t="shared" si="1"/>
        <v>153.50085999999999</v>
      </c>
      <c r="DW5" s="4">
        <f t="shared" si="1"/>
        <v>200</v>
      </c>
      <c r="DX5" s="4">
        <f t="shared" si="1"/>
        <v>86</v>
      </c>
      <c r="DY5" s="4">
        <f t="shared" si="1"/>
        <v>88</v>
      </c>
      <c r="DZ5" s="4">
        <f t="shared" si="1"/>
        <v>31.090418</v>
      </c>
      <c r="EA5" s="4">
        <f t="shared" si="1"/>
        <v>11.378057999999999</v>
      </c>
      <c r="EB5" s="4">
        <f t="shared" si="1"/>
        <v>10.054866000000001</v>
      </c>
      <c r="EC5" s="4">
        <f t="shared" si="1"/>
        <v>54.996473999999999</v>
      </c>
      <c r="ED5" s="4">
        <f t="shared" si="1"/>
        <v>25.067831999999999</v>
      </c>
      <c r="EE5" s="4">
        <f t="shared" si="1"/>
        <v>110.19437000000001</v>
      </c>
      <c r="EF5" s="4">
        <f t="shared" si="1"/>
        <v>167.80936399999999</v>
      </c>
      <c r="EG5" s="4">
        <f t="shared" si="1"/>
        <v>111.455972</v>
      </c>
      <c r="EH5" s="4">
        <f t="shared" ref="EH5:FE5" si="2">EH4*2</f>
        <v>44.660124000000003</v>
      </c>
      <c r="EI5" s="4">
        <f t="shared" si="2"/>
        <v>117.89396600000001</v>
      </c>
      <c r="EJ5" s="4">
        <f t="shared" si="2"/>
        <v>66.445750000000004</v>
      </c>
      <c r="EK5" s="4">
        <f t="shared" si="2"/>
        <v>131.280584</v>
      </c>
      <c r="EL5" s="4">
        <f t="shared" si="2"/>
        <v>21.091349999999998</v>
      </c>
      <c r="EM5" s="4">
        <f t="shared" si="2"/>
        <v>30.065595999999999</v>
      </c>
      <c r="EN5" s="4">
        <f t="shared" si="2"/>
        <v>152.82287199999999</v>
      </c>
      <c r="EO5" s="4">
        <f t="shared" si="2"/>
        <v>0</v>
      </c>
      <c r="EP5" s="4">
        <f t="shared" si="2"/>
        <v>0</v>
      </c>
      <c r="EQ5" s="4">
        <f t="shared" si="2"/>
        <v>0</v>
      </c>
      <c r="ER5" s="4">
        <f t="shared" si="2"/>
        <v>0</v>
      </c>
      <c r="ES5" s="4">
        <f t="shared" si="2"/>
        <v>104</v>
      </c>
      <c r="ET5" s="4">
        <f t="shared" si="2"/>
        <v>56</v>
      </c>
      <c r="EU5" s="4">
        <f t="shared" si="2"/>
        <v>24</v>
      </c>
      <c r="EV5" s="4">
        <f t="shared" si="2"/>
        <v>168</v>
      </c>
      <c r="EW5" s="4">
        <f t="shared" si="2"/>
        <v>58</v>
      </c>
      <c r="EX5" s="4">
        <f t="shared" si="2"/>
        <v>114</v>
      </c>
      <c r="EY5" s="4">
        <f t="shared" si="2"/>
        <v>188</v>
      </c>
      <c r="EZ5" s="4">
        <f t="shared" si="2"/>
        <v>82</v>
      </c>
      <c r="FA5" s="4">
        <f t="shared" si="2"/>
        <v>40</v>
      </c>
      <c r="FB5" s="4">
        <f t="shared" si="2"/>
        <v>182</v>
      </c>
      <c r="FC5" s="4">
        <f t="shared" si="2"/>
        <v>60</v>
      </c>
      <c r="FD5" s="4">
        <f t="shared" si="2"/>
        <v>154</v>
      </c>
      <c r="FE5" s="4">
        <f t="shared" si="2"/>
        <v>76</v>
      </c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</row>
    <row r="6" spans="2:453" x14ac:dyDescent="0.25">
      <c r="B6" s="1"/>
      <c r="C6" s="1"/>
      <c r="D6" s="3"/>
      <c r="E6" s="3"/>
      <c r="F6" s="3"/>
      <c r="G6" s="3" t="str">
        <f xml:space="preserve"> _xll.EPMOlapMemberO("[CUSTID].[].[CUST B]","","Customer B","","000")</f>
        <v>Customer B</v>
      </c>
      <c r="H6" s="3" t="str">
        <f xml:space="preserve"> _xll.EPMOlapMemberO("[KEY_FIGURES].[].[CONSENSUSDEMAND]","","Customer Demand","","000")</f>
        <v>Customer Demand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>
        <v>21.954702000000001</v>
      </c>
      <c r="CA6" s="4">
        <v>43.623156000000002</v>
      </c>
      <c r="CB6" s="4">
        <v>93.793599999999998</v>
      </c>
      <c r="CC6" s="4">
        <v>61.364139999999999</v>
      </c>
      <c r="CD6" s="4">
        <v>41.225873999999997</v>
      </c>
      <c r="CE6" s="4">
        <v>55.296776999999999</v>
      </c>
      <c r="CF6" s="4">
        <v>26.992156000000001</v>
      </c>
      <c r="CG6" s="4">
        <v>15.008834</v>
      </c>
      <c r="CH6" s="4">
        <v>39.850417</v>
      </c>
      <c r="CI6" s="4">
        <v>75.721513999999999</v>
      </c>
      <c r="CJ6" s="4">
        <v>31.487492</v>
      </c>
      <c r="CK6" s="4">
        <v>11</v>
      </c>
      <c r="CL6" s="4">
        <v>11</v>
      </c>
      <c r="CM6" s="4">
        <v>11</v>
      </c>
      <c r="CN6" s="4">
        <v>11</v>
      </c>
      <c r="CO6" s="4">
        <v>11</v>
      </c>
      <c r="CP6" s="4">
        <v>11</v>
      </c>
      <c r="CQ6" s="4">
        <v>11</v>
      </c>
      <c r="CR6" s="4">
        <v>11</v>
      </c>
      <c r="CS6" s="4">
        <v>11</v>
      </c>
      <c r="CT6" s="4">
        <v>11</v>
      </c>
      <c r="CU6" s="4">
        <v>11</v>
      </c>
      <c r="CV6" s="4">
        <v>12</v>
      </c>
      <c r="CW6" s="4">
        <v>23</v>
      </c>
      <c r="CX6" s="4">
        <v>10</v>
      </c>
      <c r="CY6" s="4">
        <v>11</v>
      </c>
      <c r="CZ6" s="4">
        <v>10</v>
      </c>
      <c r="DA6" s="4">
        <v>10</v>
      </c>
      <c r="DB6" s="4">
        <v>10</v>
      </c>
      <c r="DC6" s="4">
        <v>10</v>
      </c>
      <c r="DD6" s="4">
        <v>10</v>
      </c>
      <c r="DE6" s="4">
        <v>10</v>
      </c>
      <c r="DF6" s="4">
        <v>10</v>
      </c>
      <c r="DG6" s="4">
        <v>10</v>
      </c>
      <c r="DH6" s="4">
        <v>10</v>
      </c>
      <c r="DI6" s="4">
        <v>57.803744999999999</v>
      </c>
      <c r="DJ6" s="4">
        <v>25.648495</v>
      </c>
      <c r="DK6" s="4">
        <v>65.706754000000004</v>
      </c>
      <c r="DL6" s="4">
        <v>37.155434</v>
      </c>
      <c r="DM6" s="4">
        <v>98.857746000000006</v>
      </c>
      <c r="DN6" s="4">
        <v>35.768698999999998</v>
      </c>
      <c r="DO6" s="4">
        <v>74.194252000000006</v>
      </c>
      <c r="DP6" s="4">
        <v>12.289564</v>
      </c>
      <c r="DQ6" s="4">
        <v>3.7748400000000002</v>
      </c>
      <c r="DR6" s="4">
        <v>69.323473000000007</v>
      </c>
      <c r="DS6" s="4">
        <v>31.466155000000001</v>
      </c>
      <c r="DT6" s="4">
        <v>74.238023999999996</v>
      </c>
      <c r="DU6" s="4">
        <v>58.630780999999999</v>
      </c>
      <c r="DV6" s="4">
        <v>53.057068000000001</v>
      </c>
      <c r="DW6" s="4">
        <v>21.820176</v>
      </c>
      <c r="DX6" s="4">
        <v>55.053538000000003</v>
      </c>
      <c r="DY6" s="4">
        <v>27.728117999999998</v>
      </c>
      <c r="DZ6" s="4">
        <v>7.6001620000000001</v>
      </c>
      <c r="EA6" s="4">
        <v>58.631349999999998</v>
      </c>
      <c r="EB6" s="4">
        <v>62.621476000000001</v>
      </c>
      <c r="EC6" s="4">
        <v>63.991914000000001</v>
      </c>
      <c r="ED6" s="4">
        <v>63.82564</v>
      </c>
      <c r="EE6" s="4">
        <v>40.219423999999997</v>
      </c>
      <c r="EF6" s="4">
        <v>37.357706</v>
      </c>
      <c r="EG6" s="4">
        <v>41.665148000000002</v>
      </c>
      <c r="EH6" s="4">
        <v>69.354787999999999</v>
      </c>
      <c r="EI6" s="4">
        <v>87.212406000000001</v>
      </c>
      <c r="EJ6" s="4">
        <v>81.647019999999998</v>
      </c>
      <c r="EK6" s="4">
        <v>16.993903</v>
      </c>
      <c r="EL6" s="4">
        <v>21.304500999999998</v>
      </c>
      <c r="EM6" s="4">
        <v>38.476407999999999</v>
      </c>
      <c r="EN6" s="4">
        <v>5.1675839999999997</v>
      </c>
      <c r="EO6" s="4"/>
      <c r="EP6" s="4"/>
      <c r="EQ6" s="4"/>
      <c r="ER6" s="4"/>
      <c r="ES6" s="4">
        <v>80</v>
      </c>
      <c r="ET6" s="4">
        <v>78</v>
      </c>
      <c r="EU6" s="4">
        <v>43</v>
      </c>
      <c r="EV6" s="4">
        <v>39</v>
      </c>
      <c r="EW6" s="4">
        <v>36</v>
      </c>
      <c r="EX6" s="4">
        <v>20</v>
      </c>
      <c r="EY6" s="4">
        <v>66</v>
      </c>
      <c r="EZ6" s="4">
        <v>35</v>
      </c>
      <c r="FA6" s="4">
        <v>70</v>
      </c>
      <c r="FB6" s="4">
        <v>52</v>
      </c>
      <c r="FC6" s="4">
        <v>98</v>
      </c>
      <c r="FD6" s="4">
        <v>94</v>
      </c>
      <c r="FE6" s="4">
        <v>3</v>
      </c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</row>
    <row r="7" spans="2:453" x14ac:dyDescent="0.25">
      <c r="B7" s="1"/>
      <c r="C7" s="1"/>
      <c r="D7" s="3"/>
      <c r="E7" s="3"/>
      <c r="F7" s="3"/>
      <c r="G7" s="3"/>
      <c r="H7" s="3" t="str">
        <f xml:space="preserve"> _xll.EPMLocalMember("Local member","000","000")</f>
        <v>Local member</v>
      </c>
      <c r="I7" s="4">
        <f>I6*2</f>
        <v>0</v>
      </c>
      <c r="J7" s="4">
        <f t="shared" ref="J7:BU7" si="3">J6*2</f>
        <v>0</v>
      </c>
      <c r="K7" s="4">
        <f t="shared" si="3"/>
        <v>0</v>
      </c>
      <c r="L7" s="4">
        <f t="shared" si="3"/>
        <v>0</v>
      </c>
      <c r="M7" s="4">
        <f t="shared" si="3"/>
        <v>0</v>
      </c>
      <c r="N7" s="4">
        <f t="shared" si="3"/>
        <v>0</v>
      </c>
      <c r="O7" s="4">
        <f t="shared" si="3"/>
        <v>0</v>
      </c>
      <c r="P7" s="4">
        <f t="shared" si="3"/>
        <v>0</v>
      </c>
      <c r="Q7" s="4">
        <f t="shared" si="3"/>
        <v>0</v>
      </c>
      <c r="R7" s="4">
        <f t="shared" si="3"/>
        <v>0</v>
      </c>
      <c r="S7" s="4">
        <f t="shared" si="3"/>
        <v>0</v>
      </c>
      <c r="T7" s="4">
        <f t="shared" si="3"/>
        <v>0</v>
      </c>
      <c r="U7" s="4">
        <f t="shared" si="3"/>
        <v>0</v>
      </c>
      <c r="V7" s="4">
        <f t="shared" si="3"/>
        <v>0</v>
      </c>
      <c r="W7" s="4">
        <f t="shared" si="3"/>
        <v>0</v>
      </c>
      <c r="X7" s="4">
        <f t="shared" si="3"/>
        <v>0</v>
      </c>
      <c r="Y7" s="4">
        <f t="shared" si="3"/>
        <v>0</v>
      </c>
      <c r="Z7" s="4">
        <f t="shared" si="3"/>
        <v>0</v>
      </c>
      <c r="AA7" s="4">
        <f t="shared" si="3"/>
        <v>0</v>
      </c>
      <c r="AB7" s="4">
        <f t="shared" si="3"/>
        <v>0</v>
      </c>
      <c r="AC7" s="4">
        <f t="shared" si="3"/>
        <v>0</v>
      </c>
      <c r="AD7" s="4">
        <f t="shared" si="3"/>
        <v>0</v>
      </c>
      <c r="AE7" s="4">
        <f t="shared" si="3"/>
        <v>0</v>
      </c>
      <c r="AF7" s="4">
        <f t="shared" si="3"/>
        <v>0</v>
      </c>
      <c r="AG7" s="4">
        <f t="shared" si="3"/>
        <v>0</v>
      </c>
      <c r="AH7" s="4">
        <f t="shared" si="3"/>
        <v>0</v>
      </c>
      <c r="AI7" s="4">
        <f t="shared" si="3"/>
        <v>0</v>
      </c>
      <c r="AJ7" s="4">
        <f t="shared" si="3"/>
        <v>0</v>
      </c>
      <c r="AK7" s="4">
        <f t="shared" si="3"/>
        <v>0</v>
      </c>
      <c r="AL7" s="4">
        <f t="shared" si="3"/>
        <v>0</v>
      </c>
      <c r="AM7" s="4">
        <f t="shared" si="3"/>
        <v>0</v>
      </c>
      <c r="AN7" s="4">
        <f t="shared" si="3"/>
        <v>0</v>
      </c>
      <c r="AO7" s="4">
        <f t="shared" si="3"/>
        <v>0</v>
      </c>
      <c r="AP7" s="4">
        <f t="shared" si="3"/>
        <v>0</v>
      </c>
      <c r="AQ7" s="4">
        <f t="shared" si="3"/>
        <v>0</v>
      </c>
      <c r="AR7" s="4">
        <f t="shared" si="3"/>
        <v>0</v>
      </c>
      <c r="AS7" s="4">
        <f t="shared" si="3"/>
        <v>0</v>
      </c>
      <c r="AT7" s="4">
        <f t="shared" si="3"/>
        <v>0</v>
      </c>
      <c r="AU7" s="4">
        <f t="shared" si="3"/>
        <v>0</v>
      </c>
      <c r="AV7" s="4">
        <f t="shared" si="3"/>
        <v>0</v>
      </c>
      <c r="AW7" s="4">
        <f t="shared" si="3"/>
        <v>0</v>
      </c>
      <c r="AX7" s="4">
        <f t="shared" si="3"/>
        <v>0</v>
      </c>
      <c r="AY7" s="4">
        <f t="shared" si="3"/>
        <v>0</v>
      </c>
      <c r="AZ7" s="4">
        <f t="shared" si="3"/>
        <v>0</v>
      </c>
      <c r="BA7" s="4">
        <f t="shared" si="3"/>
        <v>0</v>
      </c>
      <c r="BB7" s="4">
        <f t="shared" si="3"/>
        <v>0</v>
      </c>
      <c r="BC7" s="4">
        <f t="shared" si="3"/>
        <v>0</v>
      </c>
      <c r="BD7" s="4">
        <f t="shared" si="3"/>
        <v>0</v>
      </c>
      <c r="BE7" s="4">
        <f t="shared" si="3"/>
        <v>0</v>
      </c>
      <c r="BF7" s="4">
        <f t="shared" si="3"/>
        <v>0</v>
      </c>
      <c r="BG7" s="4">
        <f t="shared" si="3"/>
        <v>0</v>
      </c>
      <c r="BH7" s="4">
        <f t="shared" si="3"/>
        <v>0</v>
      </c>
      <c r="BI7" s="4">
        <f t="shared" si="3"/>
        <v>0</v>
      </c>
      <c r="BJ7" s="4">
        <f t="shared" si="3"/>
        <v>0</v>
      </c>
      <c r="BK7" s="4">
        <f t="shared" si="3"/>
        <v>0</v>
      </c>
      <c r="BL7" s="4">
        <f t="shared" si="3"/>
        <v>0</v>
      </c>
      <c r="BM7" s="4">
        <f t="shared" si="3"/>
        <v>0</v>
      </c>
      <c r="BN7" s="4">
        <f t="shared" si="3"/>
        <v>0</v>
      </c>
      <c r="BO7" s="4">
        <f t="shared" si="3"/>
        <v>0</v>
      </c>
      <c r="BP7" s="4">
        <f t="shared" si="3"/>
        <v>0</v>
      </c>
      <c r="BQ7" s="4">
        <f t="shared" si="3"/>
        <v>0</v>
      </c>
      <c r="BR7" s="4">
        <f t="shared" si="3"/>
        <v>0</v>
      </c>
      <c r="BS7" s="4">
        <f t="shared" si="3"/>
        <v>0</v>
      </c>
      <c r="BT7" s="4">
        <f t="shared" si="3"/>
        <v>0</v>
      </c>
      <c r="BU7" s="4">
        <f t="shared" si="3"/>
        <v>0</v>
      </c>
      <c r="BV7" s="4">
        <f t="shared" ref="BV7:EG7" si="4">BV6*2</f>
        <v>0</v>
      </c>
      <c r="BW7" s="4">
        <f t="shared" si="4"/>
        <v>0</v>
      </c>
      <c r="BX7" s="4">
        <f t="shared" si="4"/>
        <v>0</v>
      </c>
      <c r="BY7" s="4">
        <f t="shared" si="4"/>
        <v>0</v>
      </c>
      <c r="BZ7" s="4">
        <f t="shared" si="4"/>
        <v>43.909404000000002</v>
      </c>
      <c r="CA7" s="4">
        <f t="shared" si="4"/>
        <v>87.246312000000003</v>
      </c>
      <c r="CB7" s="4">
        <f t="shared" si="4"/>
        <v>187.5872</v>
      </c>
      <c r="CC7" s="4">
        <f t="shared" si="4"/>
        <v>122.72828</v>
      </c>
      <c r="CD7" s="4">
        <f t="shared" si="4"/>
        <v>82.451747999999995</v>
      </c>
      <c r="CE7" s="4">
        <f t="shared" si="4"/>
        <v>110.593554</v>
      </c>
      <c r="CF7" s="4">
        <f t="shared" si="4"/>
        <v>53.984312000000003</v>
      </c>
      <c r="CG7" s="4">
        <f t="shared" si="4"/>
        <v>30.017668</v>
      </c>
      <c r="CH7" s="4">
        <f t="shared" si="4"/>
        <v>79.700834</v>
      </c>
      <c r="CI7" s="4">
        <f t="shared" si="4"/>
        <v>151.443028</v>
      </c>
      <c r="CJ7" s="4">
        <f t="shared" si="4"/>
        <v>62.974983999999999</v>
      </c>
      <c r="CK7" s="4">
        <f t="shared" si="4"/>
        <v>22</v>
      </c>
      <c r="CL7" s="4">
        <f t="shared" si="4"/>
        <v>22</v>
      </c>
      <c r="CM7" s="4">
        <f t="shared" si="4"/>
        <v>22</v>
      </c>
      <c r="CN7" s="4">
        <f t="shared" si="4"/>
        <v>22</v>
      </c>
      <c r="CO7" s="4">
        <f t="shared" si="4"/>
        <v>22</v>
      </c>
      <c r="CP7" s="4">
        <f t="shared" si="4"/>
        <v>22</v>
      </c>
      <c r="CQ7" s="4">
        <f t="shared" si="4"/>
        <v>22</v>
      </c>
      <c r="CR7" s="4">
        <f t="shared" si="4"/>
        <v>22</v>
      </c>
      <c r="CS7" s="4">
        <f t="shared" si="4"/>
        <v>22</v>
      </c>
      <c r="CT7" s="4">
        <f t="shared" si="4"/>
        <v>22</v>
      </c>
      <c r="CU7" s="4">
        <f t="shared" si="4"/>
        <v>22</v>
      </c>
      <c r="CV7" s="4">
        <f t="shared" si="4"/>
        <v>24</v>
      </c>
      <c r="CW7" s="4">
        <f t="shared" si="4"/>
        <v>46</v>
      </c>
      <c r="CX7" s="4">
        <f t="shared" si="4"/>
        <v>20</v>
      </c>
      <c r="CY7" s="4">
        <f t="shared" si="4"/>
        <v>22</v>
      </c>
      <c r="CZ7" s="4">
        <f t="shared" si="4"/>
        <v>20</v>
      </c>
      <c r="DA7" s="4">
        <f t="shared" si="4"/>
        <v>20</v>
      </c>
      <c r="DB7" s="4">
        <f t="shared" si="4"/>
        <v>20</v>
      </c>
      <c r="DC7" s="4">
        <f t="shared" si="4"/>
        <v>20</v>
      </c>
      <c r="DD7" s="4">
        <f t="shared" si="4"/>
        <v>20</v>
      </c>
      <c r="DE7" s="4">
        <f t="shared" si="4"/>
        <v>20</v>
      </c>
      <c r="DF7" s="4">
        <f t="shared" si="4"/>
        <v>20</v>
      </c>
      <c r="DG7" s="4">
        <f t="shared" si="4"/>
        <v>20</v>
      </c>
      <c r="DH7" s="4">
        <f t="shared" si="4"/>
        <v>20</v>
      </c>
      <c r="DI7" s="4">
        <f t="shared" si="4"/>
        <v>115.60749</v>
      </c>
      <c r="DJ7" s="4">
        <f t="shared" si="4"/>
        <v>51.296990000000001</v>
      </c>
      <c r="DK7" s="4">
        <f t="shared" si="4"/>
        <v>131.41350800000001</v>
      </c>
      <c r="DL7" s="4">
        <f t="shared" si="4"/>
        <v>74.310867999999999</v>
      </c>
      <c r="DM7" s="4">
        <f t="shared" si="4"/>
        <v>197.71549200000001</v>
      </c>
      <c r="DN7" s="4">
        <f t="shared" si="4"/>
        <v>71.537397999999996</v>
      </c>
      <c r="DO7" s="4">
        <f t="shared" si="4"/>
        <v>148.38850400000001</v>
      </c>
      <c r="DP7" s="4">
        <f t="shared" si="4"/>
        <v>24.579128000000001</v>
      </c>
      <c r="DQ7" s="4">
        <f t="shared" si="4"/>
        <v>7.5496800000000004</v>
      </c>
      <c r="DR7" s="4">
        <f t="shared" si="4"/>
        <v>138.64694600000001</v>
      </c>
      <c r="DS7" s="4">
        <f t="shared" si="4"/>
        <v>62.932310000000001</v>
      </c>
      <c r="DT7" s="4">
        <f t="shared" si="4"/>
        <v>148.47604799999999</v>
      </c>
      <c r="DU7" s="4">
        <f t="shared" si="4"/>
        <v>117.261562</v>
      </c>
      <c r="DV7" s="4">
        <f t="shared" si="4"/>
        <v>106.114136</v>
      </c>
      <c r="DW7" s="4">
        <f t="shared" si="4"/>
        <v>43.640352</v>
      </c>
      <c r="DX7" s="4">
        <f t="shared" si="4"/>
        <v>110.10707600000001</v>
      </c>
      <c r="DY7" s="4">
        <f t="shared" si="4"/>
        <v>55.456235999999997</v>
      </c>
      <c r="DZ7" s="4">
        <f t="shared" si="4"/>
        <v>15.200324</v>
      </c>
      <c r="EA7" s="4">
        <f t="shared" si="4"/>
        <v>117.2627</v>
      </c>
      <c r="EB7" s="4">
        <f t="shared" si="4"/>
        <v>125.242952</v>
      </c>
      <c r="EC7" s="4">
        <f t="shared" si="4"/>
        <v>127.983828</v>
      </c>
      <c r="ED7" s="4">
        <f t="shared" si="4"/>
        <v>127.65128</v>
      </c>
      <c r="EE7" s="4">
        <f t="shared" si="4"/>
        <v>80.438847999999993</v>
      </c>
      <c r="EF7" s="4">
        <f t="shared" si="4"/>
        <v>74.715412000000001</v>
      </c>
      <c r="EG7" s="4">
        <f t="shared" si="4"/>
        <v>83.330296000000004</v>
      </c>
      <c r="EH7" s="4">
        <f t="shared" ref="EH7:FE7" si="5">EH6*2</f>
        <v>138.709576</v>
      </c>
      <c r="EI7" s="4">
        <f t="shared" si="5"/>
        <v>174.424812</v>
      </c>
      <c r="EJ7" s="4">
        <f t="shared" si="5"/>
        <v>163.29404</v>
      </c>
      <c r="EK7" s="4">
        <f t="shared" si="5"/>
        <v>33.987805999999999</v>
      </c>
      <c r="EL7" s="4">
        <f t="shared" si="5"/>
        <v>42.609001999999997</v>
      </c>
      <c r="EM7" s="4">
        <f t="shared" si="5"/>
        <v>76.952815999999999</v>
      </c>
      <c r="EN7" s="4">
        <f t="shared" si="5"/>
        <v>10.335167999999999</v>
      </c>
      <c r="EO7" s="4">
        <f t="shared" si="5"/>
        <v>0</v>
      </c>
      <c r="EP7" s="4">
        <f t="shared" si="5"/>
        <v>0</v>
      </c>
      <c r="EQ7" s="4">
        <f t="shared" si="5"/>
        <v>0</v>
      </c>
      <c r="ER7" s="4">
        <f t="shared" si="5"/>
        <v>0</v>
      </c>
      <c r="ES7" s="4">
        <f t="shared" si="5"/>
        <v>160</v>
      </c>
      <c r="ET7" s="4">
        <f t="shared" si="5"/>
        <v>156</v>
      </c>
      <c r="EU7" s="4">
        <f t="shared" si="5"/>
        <v>86</v>
      </c>
      <c r="EV7" s="4">
        <f t="shared" si="5"/>
        <v>78</v>
      </c>
      <c r="EW7" s="4">
        <f t="shared" si="5"/>
        <v>72</v>
      </c>
      <c r="EX7" s="4">
        <f t="shared" si="5"/>
        <v>40</v>
      </c>
      <c r="EY7" s="4">
        <f t="shared" si="5"/>
        <v>132</v>
      </c>
      <c r="EZ7" s="4">
        <f t="shared" si="5"/>
        <v>70</v>
      </c>
      <c r="FA7" s="4">
        <f t="shared" si="5"/>
        <v>140</v>
      </c>
      <c r="FB7" s="4">
        <f t="shared" si="5"/>
        <v>104</v>
      </c>
      <c r="FC7" s="4">
        <f t="shared" si="5"/>
        <v>196</v>
      </c>
      <c r="FD7" s="4">
        <f t="shared" si="5"/>
        <v>188</v>
      </c>
      <c r="FE7" s="4">
        <f t="shared" si="5"/>
        <v>6</v>
      </c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</row>
    <row r="8" spans="2:453" x14ac:dyDescent="0.25">
      <c r="B8" s="1"/>
      <c r="C8" s="1"/>
      <c r="D8" s="3"/>
      <c r="E8" s="3"/>
      <c r="F8" s="3" t="str">
        <f xml:space="preserve"> _xll.EPMOlapMemberO("[PRDID].[].[IBP-150]","","IBP-150","","000")</f>
        <v>IBP-150</v>
      </c>
      <c r="G8" s="3" t="str">
        <f xml:space="preserve"> _xll.EPMOlapMemberO("[CUSTID].[].[CUST A]","","Customer A","","000")</f>
        <v>Customer A</v>
      </c>
      <c r="H8" s="3" t="str">
        <f xml:space="preserve"> _xll.EPMOlapMemberO("[KEY_FIGURES].[].[CONSENSUSDEMAND]","","Customer Demand","","000")</f>
        <v>Customer Demand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>
        <v>3.2941999999999999E-2</v>
      </c>
      <c r="CA8" s="4">
        <v>9.2816220000000005</v>
      </c>
      <c r="CB8" s="4">
        <v>0.65775600000000001</v>
      </c>
      <c r="CC8" s="4">
        <v>95.018253000000001</v>
      </c>
      <c r="CD8" s="4">
        <v>13.798711000000001</v>
      </c>
      <c r="CE8" s="4">
        <v>26.926613</v>
      </c>
      <c r="CF8" s="4">
        <v>94.372403000000006</v>
      </c>
      <c r="CG8" s="4">
        <v>42.394649999999999</v>
      </c>
      <c r="CH8" s="4">
        <v>12.236639</v>
      </c>
      <c r="CI8" s="4">
        <v>47.093505999999998</v>
      </c>
      <c r="CJ8" s="4">
        <v>12.219533</v>
      </c>
      <c r="CK8" s="4">
        <v>42.328881000000003</v>
      </c>
      <c r="CL8" s="4">
        <v>97.172782999999995</v>
      </c>
      <c r="CM8" s="4">
        <v>38.882064</v>
      </c>
      <c r="CN8" s="4">
        <v>76.233230000000006</v>
      </c>
      <c r="CO8" s="4">
        <v>37.104261000000001</v>
      </c>
      <c r="CP8" s="4">
        <v>93.607062999999997</v>
      </c>
      <c r="CQ8" s="4">
        <v>12.624062</v>
      </c>
      <c r="CR8" s="4">
        <v>26.384360999999998</v>
      </c>
      <c r="CS8" s="4">
        <v>34.766503</v>
      </c>
      <c r="CT8" s="4">
        <v>38.834456000000003</v>
      </c>
      <c r="CU8" s="4">
        <v>66.908497999999994</v>
      </c>
      <c r="CV8" s="4">
        <v>70.019098999999997</v>
      </c>
      <c r="CW8" s="4">
        <v>45.869849000000002</v>
      </c>
      <c r="CX8" s="4">
        <v>67.211613</v>
      </c>
      <c r="CY8" s="4">
        <v>59.814518999999997</v>
      </c>
      <c r="CZ8" s="4">
        <v>83.511561</v>
      </c>
      <c r="DA8" s="4">
        <v>84.863354999999999</v>
      </c>
      <c r="DB8" s="4">
        <v>29.553293</v>
      </c>
      <c r="DC8" s="4">
        <v>39.392847000000003</v>
      </c>
      <c r="DD8" s="4">
        <v>82.418505999999994</v>
      </c>
      <c r="DE8" s="4">
        <v>80.082455999999993</v>
      </c>
      <c r="DF8" s="4">
        <v>33.328142</v>
      </c>
      <c r="DG8" s="4">
        <v>90.592287999999996</v>
      </c>
      <c r="DH8" s="4">
        <v>45.418990000000001</v>
      </c>
      <c r="DI8" s="4">
        <v>84.587905000000006</v>
      </c>
      <c r="DJ8" s="4">
        <v>78.312595000000002</v>
      </c>
      <c r="DK8" s="4">
        <v>86.403139999999993</v>
      </c>
      <c r="DL8" s="4">
        <v>30.383087</v>
      </c>
      <c r="DM8" s="4">
        <v>23.192845999999999</v>
      </c>
      <c r="DN8" s="4">
        <v>90.417096999999998</v>
      </c>
      <c r="DO8" s="4">
        <v>92.158330000000007</v>
      </c>
      <c r="DP8" s="4">
        <v>19.408421000000001</v>
      </c>
      <c r="DQ8" s="4">
        <v>14.654991000000001</v>
      </c>
      <c r="DR8" s="4">
        <v>66.191757999999993</v>
      </c>
      <c r="DS8" s="4">
        <v>0.97954699999999995</v>
      </c>
      <c r="DT8" s="4">
        <v>23.821649000000001</v>
      </c>
      <c r="DU8" s="4">
        <v>18.682708000000002</v>
      </c>
      <c r="DV8" s="4">
        <v>5.5481239999999996</v>
      </c>
      <c r="DW8" s="4">
        <v>29.030691999999998</v>
      </c>
      <c r="DX8" s="4">
        <v>89.465446</v>
      </c>
      <c r="DY8" s="4">
        <v>15.502081</v>
      </c>
      <c r="DZ8" s="4">
        <v>84.419484999999995</v>
      </c>
      <c r="EA8" s="4">
        <v>56.496985000000002</v>
      </c>
      <c r="EB8" s="4">
        <v>86.154330999999999</v>
      </c>
      <c r="EC8" s="4">
        <v>94.848078999999998</v>
      </c>
      <c r="ED8" s="4">
        <v>62.986094000000001</v>
      </c>
      <c r="EE8" s="4">
        <v>86.652097999999995</v>
      </c>
      <c r="EF8" s="4">
        <v>15.170634</v>
      </c>
      <c r="EG8" s="4">
        <v>31.832491000000001</v>
      </c>
      <c r="EH8" s="4">
        <v>99.689006000000006</v>
      </c>
      <c r="EI8" s="4">
        <v>45.648916</v>
      </c>
      <c r="EJ8" s="4">
        <v>23.231417</v>
      </c>
      <c r="EK8" s="4">
        <v>36.115792999999996</v>
      </c>
      <c r="EL8" s="4">
        <v>93.310638999999995</v>
      </c>
      <c r="EM8" s="4">
        <v>19.770354000000001</v>
      </c>
      <c r="EN8" s="4">
        <v>73.993525000000005</v>
      </c>
      <c r="EO8" s="4"/>
      <c r="EP8" s="4"/>
      <c r="EQ8" s="4"/>
      <c r="ER8" s="4"/>
      <c r="ES8" s="4">
        <v>15</v>
      </c>
      <c r="ET8" s="4">
        <v>25</v>
      </c>
      <c r="EU8" s="4">
        <v>48</v>
      </c>
      <c r="EV8" s="4">
        <v>63</v>
      </c>
      <c r="EW8" s="4">
        <v>50</v>
      </c>
      <c r="EX8" s="4">
        <v>51</v>
      </c>
      <c r="EY8" s="4">
        <v>30</v>
      </c>
      <c r="EZ8" s="4">
        <v>41</v>
      </c>
      <c r="FA8" s="4">
        <v>18</v>
      </c>
      <c r="FB8" s="4">
        <v>48</v>
      </c>
      <c r="FC8" s="4">
        <v>13</v>
      </c>
      <c r="FD8" s="4">
        <v>63</v>
      </c>
      <c r="FE8" s="4">
        <v>4</v>
      </c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</row>
    <row r="9" spans="2:453" x14ac:dyDescent="0.25">
      <c r="B9" s="1"/>
      <c r="C9" s="1"/>
      <c r="D9" s="1"/>
      <c r="E9" s="3"/>
      <c r="F9" s="3"/>
      <c r="G9" s="3"/>
      <c r="H9" s="3" t="str">
        <f xml:space="preserve"> _xll.EPMLocalMember("Local member","000","000")</f>
        <v>Local member</v>
      </c>
      <c r="I9" s="4">
        <f>I8*2</f>
        <v>0</v>
      </c>
      <c r="J9" s="4">
        <f t="shared" ref="J9:BU9" si="6">J8*2</f>
        <v>0</v>
      </c>
      <c r="K9" s="4">
        <f t="shared" si="6"/>
        <v>0</v>
      </c>
      <c r="L9" s="4">
        <f t="shared" si="6"/>
        <v>0</v>
      </c>
      <c r="M9" s="4">
        <f t="shared" si="6"/>
        <v>0</v>
      </c>
      <c r="N9" s="4">
        <f t="shared" si="6"/>
        <v>0</v>
      </c>
      <c r="O9" s="4">
        <f t="shared" si="6"/>
        <v>0</v>
      </c>
      <c r="P9" s="4">
        <f t="shared" si="6"/>
        <v>0</v>
      </c>
      <c r="Q9" s="4">
        <f t="shared" si="6"/>
        <v>0</v>
      </c>
      <c r="R9" s="4">
        <f t="shared" si="6"/>
        <v>0</v>
      </c>
      <c r="S9" s="4">
        <f t="shared" si="6"/>
        <v>0</v>
      </c>
      <c r="T9" s="4">
        <f t="shared" si="6"/>
        <v>0</v>
      </c>
      <c r="U9" s="4">
        <f t="shared" si="6"/>
        <v>0</v>
      </c>
      <c r="V9" s="4">
        <f t="shared" si="6"/>
        <v>0</v>
      </c>
      <c r="W9" s="4">
        <f t="shared" si="6"/>
        <v>0</v>
      </c>
      <c r="X9" s="4">
        <f t="shared" si="6"/>
        <v>0</v>
      </c>
      <c r="Y9" s="4">
        <f t="shared" si="6"/>
        <v>0</v>
      </c>
      <c r="Z9" s="4">
        <f t="shared" si="6"/>
        <v>0</v>
      </c>
      <c r="AA9" s="4">
        <f t="shared" si="6"/>
        <v>0</v>
      </c>
      <c r="AB9" s="4">
        <f t="shared" si="6"/>
        <v>0</v>
      </c>
      <c r="AC9" s="4">
        <f t="shared" si="6"/>
        <v>0</v>
      </c>
      <c r="AD9" s="4">
        <f t="shared" si="6"/>
        <v>0</v>
      </c>
      <c r="AE9" s="4">
        <f t="shared" si="6"/>
        <v>0</v>
      </c>
      <c r="AF9" s="4">
        <f t="shared" si="6"/>
        <v>0</v>
      </c>
      <c r="AG9" s="4">
        <f t="shared" si="6"/>
        <v>0</v>
      </c>
      <c r="AH9" s="4">
        <f t="shared" si="6"/>
        <v>0</v>
      </c>
      <c r="AI9" s="4">
        <f t="shared" si="6"/>
        <v>0</v>
      </c>
      <c r="AJ9" s="4">
        <f t="shared" si="6"/>
        <v>0</v>
      </c>
      <c r="AK9" s="4">
        <f t="shared" si="6"/>
        <v>0</v>
      </c>
      <c r="AL9" s="4">
        <f t="shared" si="6"/>
        <v>0</v>
      </c>
      <c r="AM9" s="4">
        <f t="shared" si="6"/>
        <v>0</v>
      </c>
      <c r="AN9" s="4">
        <f t="shared" si="6"/>
        <v>0</v>
      </c>
      <c r="AO9" s="4">
        <f t="shared" si="6"/>
        <v>0</v>
      </c>
      <c r="AP9" s="4">
        <f t="shared" si="6"/>
        <v>0</v>
      </c>
      <c r="AQ9" s="4">
        <f t="shared" si="6"/>
        <v>0</v>
      </c>
      <c r="AR9" s="4">
        <f t="shared" si="6"/>
        <v>0</v>
      </c>
      <c r="AS9" s="4">
        <f t="shared" si="6"/>
        <v>0</v>
      </c>
      <c r="AT9" s="4">
        <f t="shared" si="6"/>
        <v>0</v>
      </c>
      <c r="AU9" s="4">
        <f t="shared" si="6"/>
        <v>0</v>
      </c>
      <c r="AV9" s="4">
        <f t="shared" si="6"/>
        <v>0</v>
      </c>
      <c r="AW9" s="4">
        <f t="shared" si="6"/>
        <v>0</v>
      </c>
      <c r="AX9" s="4">
        <f t="shared" si="6"/>
        <v>0</v>
      </c>
      <c r="AY9" s="4">
        <f t="shared" si="6"/>
        <v>0</v>
      </c>
      <c r="AZ9" s="4">
        <f t="shared" si="6"/>
        <v>0</v>
      </c>
      <c r="BA9" s="4">
        <f t="shared" si="6"/>
        <v>0</v>
      </c>
      <c r="BB9" s="4">
        <f t="shared" si="6"/>
        <v>0</v>
      </c>
      <c r="BC9" s="4">
        <f t="shared" si="6"/>
        <v>0</v>
      </c>
      <c r="BD9" s="4">
        <f t="shared" si="6"/>
        <v>0</v>
      </c>
      <c r="BE9" s="4">
        <f t="shared" si="6"/>
        <v>0</v>
      </c>
      <c r="BF9" s="4">
        <f t="shared" si="6"/>
        <v>0</v>
      </c>
      <c r="BG9" s="4">
        <f t="shared" si="6"/>
        <v>0</v>
      </c>
      <c r="BH9" s="4">
        <f t="shared" si="6"/>
        <v>0</v>
      </c>
      <c r="BI9" s="4">
        <f t="shared" si="6"/>
        <v>0</v>
      </c>
      <c r="BJ9" s="4">
        <f t="shared" si="6"/>
        <v>0</v>
      </c>
      <c r="BK9" s="4">
        <f t="shared" si="6"/>
        <v>0</v>
      </c>
      <c r="BL9" s="4">
        <f t="shared" si="6"/>
        <v>0</v>
      </c>
      <c r="BM9" s="4">
        <f t="shared" si="6"/>
        <v>0</v>
      </c>
      <c r="BN9" s="4">
        <f t="shared" si="6"/>
        <v>0</v>
      </c>
      <c r="BO9" s="4">
        <f t="shared" si="6"/>
        <v>0</v>
      </c>
      <c r="BP9" s="4">
        <f t="shared" si="6"/>
        <v>0</v>
      </c>
      <c r="BQ9" s="4">
        <f t="shared" si="6"/>
        <v>0</v>
      </c>
      <c r="BR9" s="4">
        <f t="shared" si="6"/>
        <v>0</v>
      </c>
      <c r="BS9" s="4">
        <f t="shared" si="6"/>
        <v>0</v>
      </c>
      <c r="BT9" s="4">
        <f t="shared" si="6"/>
        <v>0</v>
      </c>
      <c r="BU9" s="4">
        <f t="shared" si="6"/>
        <v>0</v>
      </c>
      <c r="BV9" s="4">
        <f t="shared" ref="BV9:EG9" si="7">BV8*2</f>
        <v>0</v>
      </c>
      <c r="BW9" s="4">
        <f t="shared" si="7"/>
        <v>0</v>
      </c>
      <c r="BX9" s="4">
        <f t="shared" si="7"/>
        <v>0</v>
      </c>
      <c r="BY9" s="4">
        <f t="shared" si="7"/>
        <v>0</v>
      </c>
      <c r="BZ9" s="4">
        <f t="shared" si="7"/>
        <v>6.5883999999999998E-2</v>
      </c>
      <c r="CA9" s="4">
        <f t="shared" si="7"/>
        <v>18.563244000000001</v>
      </c>
      <c r="CB9" s="4">
        <f t="shared" si="7"/>
        <v>1.315512</v>
      </c>
      <c r="CC9" s="4">
        <f t="shared" si="7"/>
        <v>190.036506</v>
      </c>
      <c r="CD9" s="4">
        <f t="shared" si="7"/>
        <v>27.597422000000002</v>
      </c>
      <c r="CE9" s="4">
        <f t="shared" si="7"/>
        <v>53.853225999999999</v>
      </c>
      <c r="CF9" s="4">
        <f t="shared" si="7"/>
        <v>188.74480600000001</v>
      </c>
      <c r="CG9" s="4">
        <f t="shared" si="7"/>
        <v>84.789299999999997</v>
      </c>
      <c r="CH9" s="4">
        <f t="shared" si="7"/>
        <v>24.473278000000001</v>
      </c>
      <c r="CI9" s="4">
        <f t="shared" si="7"/>
        <v>94.187011999999996</v>
      </c>
      <c r="CJ9" s="4">
        <f t="shared" si="7"/>
        <v>24.439066</v>
      </c>
      <c r="CK9" s="4">
        <f t="shared" si="7"/>
        <v>84.657762000000005</v>
      </c>
      <c r="CL9" s="4">
        <f t="shared" si="7"/>
        <v>194.34556599999999</v>
      </c>
      <c r="CM9" s="4">
        <f t="shared" si="7"/>
        <v>77.764127999999999</v>
      </c>
      <c r="CN9" s="4">
        <f t="shared" si="7"/>
        <v>152.46646000000001</v>
      </c>
      <c r="CO9" s="4">
        <f t="shared" si="7"/>
        <v>74.208522000000002</v>
      </c>
      <c r="CP9" s="4">
        <f t="shared" si="7"/>
        <v>187.21412599999999</v>
      </c>
      <c r="CQ9" s="4">
        <f t="shared" si="7"/>
        <v>25.248124000000001</v>
      </c>
      <c r="CR9" s="4">
        <f t="shared" si="7"/>
        <v>52.768721999999997</v>
      </c>
      <c r="CS9" s="4">
        <f t="shared" si="7"/>
        <v>69.533006</v>
      </c>
      <c r="CT9" s="4">
        <f t="shared" si="7"/>
        <v>77.668912000000006</v>
      </c>
      <c r="CU9" s="4">
        <f t="shared" si="7"/>
        <v>133.81699599999999</v>
      </c>
      <c r="CV9" s="4">
        <f t="shared" si="7"/>
        <v>140.03819799999999</v>
      </c>
      <c r="CW9" s="4">
        <f t="shared" si="7"/>
        <v>91.739698000000004</v>
      </c>
      <c r="CX9" s="4">
        <f t="shared" si="7"/>
        <v>134.423226</v>
      </c>
      <c r="CY9" s="4">
        <f t="shared" si="7"/>
        <v>119.62903799999999</v>
      </c>
      <c r="CZ9" s="4">
        <f t="shared" si="7"/>
        <v>167.023122</v>
      </c>
      <c r="DA9" s="4">
        <f t="shared" si="7"/>
        <v>169.72671</v>
      </c>
      <c r="DB9" s="4">
        <f t="shared" si="7"/>
        <v>59.106586</v>
      </c>
      <c r="DC9" s="4">
        <f t="shared" si="7"/>
        <v>78.785694000000007</v>
      </c>
      <c r="DD9" s="4">
        <f t="shared" si="7"/>
        <v>164.83701199999999</v>
      </c>
      <c r="DE9" s="4">
        <f t="shared" si="7"/>
        <v>160.16491199999999</v>
      </c>
      <c r="DF9" s="4">
        <f t="shared" si="7"/>
        <v>66.656283999999999</v>
      </c>
      <c r="DG9" s="4">
        <f t="shared" si="7"/>
        <v>181.18457599999999</v>
      </c>
      <c r="DH9" s="4">
        <f t="shared" si="7"/>
        <v>90.837980000000002</v>
      </c>
      <c r="DI9" s="4">
        <f t="shared" si="7"/>
        <v>169.17581000000001</v>
      </c>
      <c r="DJ9" s="4">
        <f t="shared" si="7"/>
        <v>156.62519</v>
      </c>
      <c r="DK9" s="4">
        <f t="shared" si="7"/>
        <v>172.80627999999999</v>
      </c>
      <c r="DL9" s="4">
        <f t="shared" si="7"/>
        <v>60.766173999999999</v>
      </c>
      <c r="DM9" s="4">
        <f t="shared" si="7"/>
        <v>46.385691999999999</v>
      </c>
      <c r="DN9" s="4">
        <f t="shared" si="7"/>
        <v>180.834194</v>
      </c>
      <c r="DO9" s="4">
        <f t="shared" si="7"/>
        <v>184.31666000000001</v>
      </c>
      <c r="DP9" s="4">
        <f t="shared" si="7"/>
        <v>38.816842000000001</v>
      </c>
      <c r="DQ9" s="4">
        <f t="shared" si="7"/>
        <v>29.309982000000002</v>
      </c>
      <c r="DR9" s="4">
        <f t="shared" si="7"/>
        <v>132.38351599999999</v>
      </c>
      <c r="DS9" s="4">
        <f t="shared" si="7"/>
        <v>1.9590939999999999</v>
      </c>
      <c r="DT9" s="4">
        <f t="shared" si="7"/>
        <v>47.643298000000001</v>
      </c>
      <c r="DU9" s="4">
        <f t="shared" si="7"/>
        <v>37.365416000000003</v>
      </c>
      <c r="DV9" s="4">
        <f t="shared" si="7"/>
        <v>11.096247999999999</v>
      </c>
      <c r="DW9" s="4">
        <f t="shared" si="7"/>
        <v>58.061383999999997</v>
      </c>
      <c r="DX9" s="4">
        <f t="shared" si="7"/>
        <v>178.930892</v>
      </c>
      <c r="DY9" s="4">
        <f t="shared" si="7"/>
        <v>31.004162000000001</v>
      </c>
      <c r="DZ9" s="4">
        <f t="shared" si="7"/>
        <v>168.83896999999999</v>
      </c>
      <c r="EA9" s="4">
        <f t="shared" si="7"/>
        <v>112.99397</v>
      </c>
      <c r="EB9" s="4">
        <f t="shared" si="7"/>
        <v>172.308662</v>
      </c>
      <c r="EC9" s="4">
        <f t="shared" si="7"/>
        <v>189.696158</v>
      </c>
      <c r="ED9" s="4">
        <f t="shared" si="7"/>
        <v>125.972188</v>
      </c>
      <c r="EE9" s="4">
        <f t="shared" si="7"/>
        <v>173.30419599999999</v>
      </c>
      <c r="EF9" s="4">
        <f t="shared" si="7"/>
        <v>30.341267999999999</v>
      </c>
      <c r="EG9" s="4">
        <f t="shared" si="7"/>
        <v>63.664982000000002</v>
      </c>
      <c r="EH9" s="4">
        <f t="shared" ref="EH9:FE9" si="8">EH8*2</f>
        <v>199.37801200000001</v>
      </c>
      <c r="EI9" s="4">
        <f t="shared" si="8"/>
        <v>91.297832</v>
      </c>
      <c r="EJ9" s="4">
        <f t="shared" si="8"/>
        <v>46.462834000000001</v>
      </c>
      <c r="EK9" s="4">
        <f t="shared" si="8"/>
        <v>72.231585999999993</v>
      </c>
      <c r="EL9" s="4">
        <f t="shared" si="8"/>
        <v>186.62127799999999</v>
      </c>
      <c r="EM9" s="4">
        <f t="shared" si="8"/>
        <v>39.540708000000002</v>
      </c>
      <c r="EN9" s="4">
        <f t="shared" si="8"/>
        <v>147.98705000000001</v>
      </c>
      <c r="EO9" s="4">
        <f t="shared" si="8"/>
        <v>0</v>
      </c>
      <c r="EP9" s="4">
        <f t="shared" si="8"/>
        <v>0</v>
      </c>
      <c r="EQ9" s="4">
        <f t="shared" si="8"/>
        <v>0</v>
      </c>
      <c r="ER9" s="4">
        <f t="shared" si="8"/>
        <v>0</v>
      </c>
      <c r="ES9" s="4">
        <f t="shared" si="8"/>
        <v>30</v>
      </c>
      <c r="ET9" s="4">
        <f t="shared" si="8"/>
        <v>50</v>
      </c>
      <c r="EU9" s="4">
        <f t="shared" si="8"/>
        <v>96</v>
      </c>
      <c r="EV9" s="4">
        <f t="shared" si="8"/>
        <v>126</v>
      </c>
      <c r="EW9" s="4">
        <f t="shared" si="8"/>
        <v>100</v>
      </c>
      <c r="EX9" s="4">
        <f t="shared" si="8"/>
        <v>102</v>
      </c>
      <c r="EY9" s="4">
        <f t="shared" si="8"/>
        <v>60</v>
      </c>
      <c r="EZ9" s="4">
        <f t="shared" si="8"/>
        <v>82</v>
      </c>
      <c r="FA9" s="4">
        <f t="shared" si="8"/>
        <v>36</v>
      </c>
      <c r="FB9" s="4">
        <f t="shared" si="8"/>
        <v>96</v>
      </c>
      <c r="FC9" s="4">
        <f t="shared" si="8"/>
        <v>26</v>
      </c>
      <c r="FD9" s="4">
        <f t="shared" si="8"/>
        <v>126</v>
      </c>
      <c r="FE9" s="4">
        <f t="shared" si="8"/>
        <v>8</v>
      </c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</row>
    <row r="10" spans="2:453" x14ac:dyDescent="0.25">
      <c r="B10" s="1"/>
      <c r="C10" s="1"/>
      <c r="D10" s="1"/>
      <c r="E10" s="3"/>
      <c r="F10" s="3"/>
      <c r="G10" s="3" t="str">
        <f xml:space="preserve"> _xll.EPMOlapMemberO("[CUSTID].[].[CUST B]","","Customer B","","000")</f>
        <v>Customer B</v>
      </c>
      <c r="H10" s="3" t="str">
        <f xml:space="preserve"> _xll.EPMOlapMemberO("[KEY_FIGURES].[].[CONSENSUSDEMAND]","","Customer Demand","","000")</f>
        <v>Customer Demand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>
        <v>67.657504000000003</v>
      </c>
      <c r="CA10" s="4">
        <v>26.271066999999999</v>
      </c>
      <c r="CB10" s="4">
        <v>40.032955000000001</v>
      </c>
      <c r="CC10" s="4">
        <v>22.932518000000002</v>
      </c>
      <c r="CD10" s="4">
        <v>68.329183</v>
      </c>
      <c r="CE10" s="4">
        <v>71.172824000000006</v>
      </c>
      <c r="CF10" s="4">
        <v>92.042399000000003</v>
      </c>
      <c r="CG10" s="4">
        <v>75.092304999999996</v>
      </c>
      <c r="CH10" s="4">
        <v>27.875976000000001</v>
      </c>
      <c r="CI10" s="4">
        <v>81.815878999999995</v>
      </c>
      <c r="CJ10" s="4">
        <v>19.139953999999999</v>
      </c>
      <c r="CK10" s="4">
        <v>75.407483999999997</v>
      </c>
      <c r="CL10" s="4">
        <v>65.186723999999998</v>
      </c>
      <c r="CM10" s="4">
        <v>93.900707999999995</v>
      </c>
      <c r="CN10" s="4">
        <v>15.713184</v>
      </c>
      <c r="CO10" s="4">
        <v>9.3099860000000003</v>
      </c>
      <c r="CP10" s="4">
        <v>84.991212000000004</v>
      </c>
      <c r="CQ10" s="4">
        <v>42.113928999999999</v>
      </c>
      <c r="CR10" s="4">
        <v>38.323799000000001</v>
      </c>
      <c r="CS10" s="4">
        <v>65.454706999999999</v>
      </c>
      <c r="CT10" s="4">
        <v>26.12208</v>
      </c>
      <c r="CU10" s="4">
        <v>54.040804000000001</v>
      </c>
      <c r="CV10" s="4">
        <v>18.317316000000002</v>
      </c>
      <c r="CW10" s="4">
        <v>65.907105999999999</v>
      </c>
      <c r="CX10" s="4">
        <v>85.184887000000003</v>
      </c>
      <c r="CY10" s="4">
        <v>36.890304</v>
      </c>
      <c r="CZ10" s="4">
        <v>85.761555000000001</v>
      </c>
      <c r="DA10" s="4">
        <v>76.476530999999994</v>
      </c>
      <c r="DB10" s="4">
        <v>47.416682999999999</v>
      </c>
      <c r="DC10" s="4">
        <v>68.660143000000005</v>
      </c>
      <c r="DD10" s="4">
        <v>65.877949999999998</v>
      </c>
      <c r="DE10" s="4">
        <v>87.185833000000002</v>
      </c>
      <c r="DF10" s="4">
        <v>8.9508510000000001</v>
      </c>
      <c r="DG10" s="4">
        <v>27.736946</v>
      </c>
      <c r="DH10" s="4">
        <v>64.616643999999994</v>
      </c>
      <c r="DI10" s="4">
        <v>15.365187000000001</v>
      </c>
      <c r="DJ10" s="4">
        <v>54.194316000000001</v>
      </c>
      <c r="DK10" s="4">
        <v>27.556274999999999</v>
      </c>
      <c r="DL10" s="4">
        <v>12.094224000000001</v>
      </c>
      <c r="DM10" s="4">
        <v>40.901888</v>
      </c>
      <c r="DN10" s="4">
        <v>54.633733999999997</v>
      </c>
      <c r="DO10" s="4">
        <v>11.148012</v>
      </c>
      <c r="DP10" s="4">
        <v>11.821047</v>
      </c>
      <c r="DQ10" s="4">
        <v>41.156455000000001</v>
      </c>
      <c r="DR10" s="4">
        <v>70.955219999999997</v>
      </c>
      <c r="DS10" s="4">
        <v>51.505892000000003</v>
      </c>
      <c r="DT10" s="4">
        <v>1.805399</v>
      </c>
      <c r="DU10" s="4">
        <v>6.9564310000000003</v>
      </c>
      <c r="DV10" s="4">
        <v>27.199947000000002</v>
      </c>
      <c r="DW10" s="4">
        <v>83.924092000000002</v>
      </c>
      <c r="DX10" s="4">
        <v>80.167726000000002</v>
      </c>
      <c r="DY10" s="4">
        <v>3.8665060000000002</v>
      </c>
      <c r="DZ10" s="4">
        <v>24.894911</v>
      </c>
      <c r="EA10" s="4">
        <v>85.276266000000007</v>
      </c>
      <c r="EB10" s="4">
        <v>54.598255000000002</v>
      </c>
      <c r="EC10" s="4">
        <v>59.039340000000003</v>
      </c>
      <c r="ED10" s="4">
        <v>34.549574</v>
      </c>
      <c r="EE10" s="4">
        <v>42.799059</v>
      </c>
      <c r="EF10" s="4">
        <v>6.0034869999999998</v>
      </c>
      <c r="EG10" s="4">
        <v>45.142992999999997</v>
      </c>
      <c r="EH10" s="4">
        <v>44.161856999999998</v>
      </c>
      <c r="EI10" s="4">
        <v>98.257400000000004</v>
      </c>
      <c r="EJ10" s="4">
        <v>20.321109</v>
      </c>
      <c r="EK10" s="4">
        <v>68.986947999999998</v>
      </c>
      <c r="EL10" s="4">
        <v>57.506377999999998</v>
      </c>
      <c r="EM10" s="4">
        <v>12.279878</v>
      </c>
      <c r="EN10" s="4">
        <v>16.734489</v>
      </c>
      <c r="EO10" s="4"/>
      <c r="EP10" s="4"/>
      <c r="EQ10" s="4"/>
      <c r="ER10" s="4"/>
      <c r="ES10" s="4">
        <v>12</v>
      </c>
      <c r="ET10" s="4">
        <v>22</v>
      </c>
      <c r="EU10" s="4">
        <v>14</v>
      </c>
      <c r="EV10" s="4">
        <v>80</v>
      </c>
      <c r="EW10" s="4">
        <v>50</v>
      </c>
      <c r="EX10" s="4">
        <v>42</v>
      </c>
      <c r="EY10" s="4">
        <v>0</v>
      </c>
      <c r="EZ10" s="4">
        <v>14</v>
      </c>
      <c r="FA10" s="4">
        <v>28</v>
      </c>
      <c r="FB10" s="4">
        <v>13</v>
      </c>
      <c r="FC10" s="4">
        <v>94</v>
      </c>
      <c r="FD10" s="4">
        <v>41</v>
      </c>
      <c r="FE10" s="4">
        <v>52</v>
      </c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</row>
    <row r="11" spans="2:453" x14ac:dyDescent="0.25">
      <c r="E11" s="6"/>
      <c r="F11" s="6"/>
      <c r="G11" s="6"/>
      <c r="H11" s="6" t="str">
        <f xml:space="preserve"> _xll.EPMLocalMember("Local member","000","000")</f>
        <v>Local member</v>
      </c>
      <c r="I11">
        <f>I10*2</f>
        <v>0</v>
      </c>
      <c r="J11">
        <f t="shared" ref="J11:BU11" si="9">J10*2</f>
        <v>0</v>
      </c>
      <c r="K11">
        <f t="shared" si="9"/>
        <v>0</v>
      </c>
      <c r="L11">
        <f t="shared" si="9"/>
        <v>0</v>
      </c>
      <c r="M11">
        <f t="shared" si="9"/>
        <v>0</v>
      </c>
      <c r="N11">
        <f t="shared" si="9"/>
        <v>0</v>
      </c>
      <c r="O11">
        <f t="shared" si="9"/>
        <v>0</v>
      </c>
      <c r="P11">
        <f t="shared" si="9"/>
        <v>0</v>
      </c>
      <c r="Q11">
        <f t="shared" si="9"/>
        <v>0</v>
      </c>
      <c r="R11">
        <f t="shared" si="9"/>
        <v>0</v>
      </c>
      <c r="S11">
        <f t="shared" si="9"/>
        <v>0</v>
      </c>
      <c r="T11">
        <f t="shared" si="9"/>
        <v>0</v>
      </c>
      <c r="U11">
        <f t="shared" si="9"/>
        <v>0</v>
      </c>
      <c r="V11">
        <f t="shared" si="9"/>
        <v>0</v>
      </c>
      <c r="W11">
        <f t="shared" si="9"/>
        <v>0</v>
      </c>
      <c r="X11">
        <f t="shared" si="9"/>
        <v>0</v>
      </c>
      <c r="Y11">
        <f t="shared" si="9"/>
        <v>0</v>
      </c>
      <c r="Z11">
        <f t="shared" si="9"/>
        <v>0</v>
      </c>
      <c r="AA11">
        <f t="shared" si="9"/>
        <v>0</v>
      </c>
      <c r="AB11">
        <f t="shared" si="9"/>
        <v>0</v>
      </c>
      <c r="AC11">
        <f t="shared" si="9"/>
        <v>0</v>
      </c>
      <c r="AD11">
        <f t="shared" si="9"/>
        <v>0</v>
      </c>
      <c r="AE11">
        <f t="shared" si="9"/>
        <v>0</v>
      </c>
      <c r="AF11">
        <f t="shared" si="9"/>
        <v>0</v>
      </c>
      <c r="AG11">
        <f t="shared" si="9"/>
        <v>0</v>
      </c>
      <c r="AH11">
        <f t="shared" si="9"/>
        <v>0</v>
      </c>
      <c r="AI11">
        <f t="shared" si="9"/>
        <v>0</v>
      </c>
      <c r="AJ11">
        <f t="shared" si="9"/>
        <v>0</v>
      </c>
      <c r="AK11">
        <f t="shared" si="9"/>
        <v>0</v>
      </c>
      <c r="AL11">
        <f t="shared" si="9"/>
        <v>0</v>
      </c>
      <c r="AM11">
        <f t="shared" si="9"/>
        <v>0</v>
      </c>
      <c r="AN11">
        <f t="shared" si="9"/>
        <v>0</v>
      </c>
      <c r="AO11">
        <f t="shared" si="9"/>
        <v>0</v>
      </c>
      <c r="AP11">
        <f t="shared" si="9"/>
        <v>0</v>
      </c>
      <c r="AQ11">
        <f t="shared" si="9"/>
        <v>0</v>
      </c>
      <c r="AR11">
        <f t="shared" si="9"/>
        <v>0</v>
      </c>
      <c r="AS11">
        <f t="shared" si="9"/>
        <v>0</v>
      </c>
      <c r="AT11">
        <f t="shared" si="9"/>
        <v>0</v>
      </c>
      <c r="AU11">
        <f t="shared" si="9"/>
        <v>0</v>
      </c>
      <c r="AV11">
        <f t="shared" si="9"/>
        <v>0</v>
      </c>
      <c r="AW11">
        <f t="shared" si="9"/>
        <v>0</v>
      </c>
      <c r="AX11">
        <f t="shared" si="9"/>
        <v>0</v>
      </c>
      <c r="AY11">
        <f t="shared" si="9"/>
        <v>0</v>
      </c>
      <c r="AZ11">
        <f t="shared" si="9"/>
        <v>0</v>
      </c>
      <c r="BA11">
        <f t="shared" si="9"/>
        <v>0</v>
      </c>
      <c r="BB11">
        <f t="shared" si="9"/>
        <v>0</v>
      </c>
      <c r="BC11">
        <f t="shared" si="9"/>
        <v>0</v>
      </c>
      <c r="BD11">
        <f t="shared" si="9"/>
        <v>0</v>
      </c>
      <c r="BE11">
        <f t="shared" si="9"/>
        <v>0</v>
      </c>
      <c r="BF11">
        <f t="shared" si="9"/>
        <v>0</v>
      </c>
      <c r="BG11">
        <f t="shared" si="9"/>
        <v>0</v>
      </c>
      <c r="BH11">
        <f t="shared" si="9"/>
        <v>0</v>
      </c>
      <c r="BI11">
        <f t="shared" si="9"/>
        <v>0</v>
      </c>
      <c r="BJ11">
        <f t="shared" si="9"/>
        <v>0</v>
      </c>
      <c r="BK11">
        <f t="shared" si="9"/>
        <v>0</v>
      </c>
      <c r="BL11">
        <f t="shared" si="9"/>
        <v>0</v>
      </c>
      <c r="BM11">
        <f t="shared" si="9"/>
        <v>0</v>
      </c>
      <c r="BN11">
        <f t="shared" si="9"/>
        <v>0</v>
      </c>
      <c r="BO11">
        <f t="shared" si="9"/>
        <v>0</v>
      </c>
      <c r="BP11">
        <f t="shared" si="9"/>
        <v>0</v>
      </c>
      <c r="BQ11">
        <f t="shared" si="9"/>
        <v>0</v>
      </c>
      <c r="BR11">
        <f t="shared" si="9"/>
        <v>0</v>
      </c>
      <c r="BS11">
        <f t="shared" si="9"/>
        <v>0</v>
      </c>
      <c r="BT11">
        <f t="shared" si="9"/>
        <v>0</v>
      </c>
      <c r="BU11">
        <f t="shared" si="9"/>
        <v>0</v>
      </c>
      <c r="BV11">
        <f t="shared" ref="BV11:EG11" si="10">BV10*2</f>
        <v>0</v>
      </c>
      <c r="BW11">
        <f t="shared" si="10"/>
        <v>0</v>
      </c>
      <c r="BX11">
        <f t="shared" si="10"/>
        <v>0</v>
      </c>
      <c r="BY11">
        <f t="shared" si="10"/>
        <v>0</v>
      </c>
      <c r="BZ11">
        <f t="shared" si="10"/>
        <v>135.31500800000001</v>
      </c>
      <c r="CA11">
        <f t="shared" si="10"/>
        <v>52.542133999999997</v>
      </c>
      <c r="CB11">
        <f t="shared" si="10"/>
        <v>80.065910000000002</v>
      </c>
      <c r="CC11">
        <f t="shared" si="10"/>
        <v>45.865036000000003</v>
      </c>
      <c r="CD11">
        <f t="shared" si="10"/>
        <v>136.658366</v>
      </c>
      <c r="CE11">
        <f t="shared" si="10"/>
        <v>142.34564800000001</v>
      </c>
      <c r="CF11">
        <f t="shared" si="10"/>
        <v>184.08479800000001</v>
      </c>
      <c r="CG11">
        <f t="shared" si="10"/>
        <v>150.18460999999999</v>
      </c>
      <c r="CH11">
        <f t="shared" si="10"/>
        <v>55.751952000000003</v>
      </c>
      <c r="CI11">
        <f t="shared" si="10"/>
        <v>163.63175799999999</v>
      </c>
      <c r="CJ11">
        <f t="shared" si="10"/>
        <v>38.279907999999999</v>
      </c>
      <c r="CK11">
        <f t="shared" si="10"/>
        <v>150.81496799999999</v>
      </c>
      <c r="CL11">
        <f t="shared" si="10"/>
        <v>130.373448</v>
      </c>
      <c r="CM11">
        <f t="shared" si="10"/>
        <v>187.80141599999999</v>
      </c>
      <c r="CN11">
        <f t="shared" si="10"/>
        <v>31.426368</v>
      </c>
      <c r="CO11">
        <f t="shared" si="10"/>
        <v>18.619972000000001</v>
      </c>
      <c r="CP11">
        <f t="shared" si="10"/>
        <v>169.98242400000001</v>
      </c>
      <c r="CQ11">
        <f t="shared" si="10"/>
        <v>84.227857999999998</v>
      </c>
      <c r="CR11">
        <f t="shared" si="10"/>
        <v>76.647598000000002</v>
      </c>
      <c r="CS11">
        <f t="shared" si="10"/>
        <v>130.909414</v>
      </c>
      <c r="CT11">
        <f t="shared" si="10"/>
        <v>52.244160000000001</v>
      </c>
      <c r="CU11">
        <f t="shared" si="10"/>
        <v>108.081608</v>
      </c>
      <c r="CV11">
        <f t="shared" si="10"/>
        <v>36.634632000000003</v>
      </c>
      <c r="CW11">
        <f t="shared" si="10"/>
        <v>131.814212</v>
      </c>
      <c r="CX11">
        <f t="shared" si="10"/>
        <v>170.36977400000001</v>
      </c>
      <c r="CY11">
        <f t="shared" si="10"/>
        <v>73.780608000000001</v>
      </c>
      <c r="CZ11">
        <f t="shared" si="10"/>
        <v>171.52311</v>
      </c>
      <c r="DA11">
        <f t="shared" si="10"/>
        <v>152.95306199999999</v>
      </c>
      <c r="DB11">
        <f t="shared" si="10"/>
        <v>94.833365999999998</v>
      </c>
      <c r="DC11">
        <f t="shared" si="10"/>
        <v>137.32028600000001</v>
      </c>
      <c r="DD11">
        <f t="shared" si="10"/>
        <v>131.7559</v>
      </c>
      <c r="DE11">
        <f t="shared" si="10"/>
        <v>174.371666</v>
      </c>
      <c r="DF11">
        <f t="shared" si="10"/>
        <v>17.901702</v>
      </c>
      <c r="DG11">
        <f t="shared" si="10"/>
        <v>55.473891999999999</v>
      </c>
      <c r="DH11">
        <f t="shared" si="10"/>
        <v>129.23328799999999</v>
      </c>
      <c r="DI11">
        <f t="shared" si="10"/>
        <v>30.730374000000001</v>
      </c>
      <c r="DJ11">
        <f t="shared" si="10"/>
        <v>108.388632</v>
      </c>
      <c r="DK11">
        <f t="shared" si="10"/>
        <v>55.112549999999999</v>
      </c>
      <c r="DL11">
        <f t="shared" si="10"/>
        <v>24.188448000000001</v>
      </c>
      <c r="DM11">
        <f t="shared" si="10"/>
        <v>81.803775999999999</v>
      </c>
      <c r="DN11">
        <f t="shared" si="10"/>
        <v>109.26746799999999</v>
      </c>
      <c r="DO11">
        <f t="shared" si="10"/>
        <v>22.296023999999999</v>
      </c>
      <c r="DP11">
        <f t="shared" si="10"/>
        <v>23.642094</v>
      </c>
      <c r="DQ11">
        <f t="shared" si="10"/>
        <v>82.312910000000002</v>
      </c>
      <c r="DR11">
        <f t="shared" si="10"/>
        <v>141.91043999999999</v>
      </c>
      <c r="DS11">
        <f t="shared" si="10"/>
        <v>103.01178400000001</v>
      </c>
      <c r="DT11">
        <f t="shared" si="10"/>
        <v>3.610798</v>
      </c>
      <c r="DU11">
        <f t="shared" si="10"/>
        <v>13.912862000000001</v>
      </c>
      <c r="DV11">
        <f t="shared" si="10"/>
        <v>54.399894000000003</v>
      </c>
      <c r="DW11">
        <f t="shared" si="10"/>
        <v>167.848184</v>
      </c>
      <c r="DX11">
        <f t="shared" si="10"/>
        <v>160.335452</v>
      </c>
      <c r="DY11">
        <f t="shared" si="10"/>
        <v>7.7330120000000004</v>
      </c>
      <c r="DZ11">
        <f t="shared" si="10"/>
        <v>49.789822000000001</v>
      </c>
      <c r="EA11">
        <f t="shared" si="10"/>
        <v>170.55253200000001</v>
      </c>
      <c r="EB11">
        <f t="shared" si="10"/>
        <v>109.19651</v>
      </c>
      <c r="EC11">
        <f t="shared" si="10"/>
        <v>118.07868000000001</v>
      </c>
      <c r="ED11">
        <f t="shared" si="10"/>
        <v>69.099148</v>
      </c>
      <c r="EE11">
        <f t="shared" si="10"/>
        <v>85.598117999999999</v>
      </c>
      <c r="EF11">
        <f t="shared" si="10"/>
        <v>12.006974</v>
      </c>
      <c r="EG11">
        <f t="shared" si="10"/>
        <v>90.285985999999994</v>
      </c>
      <c r="EH11">
        <f t="shared" ref="EH11:FE11" si="11">EH10*2</f>
        <v>88.323713999999995</v>
      </c>
      <c r="EI11">
        <f t="shared" si="11"/>
        <v>196.51480000000001</v>
      </c>
      <c r="EJ11">
        <f t="shared" si="11"/>
        <v>40.642218</v>
      </c>
      <c r="EK11">
        <f t="shared" si="11"/>
        <v>137.973896</v>
      </c>
      <c r="EL11">
        <f t="shared" si="11"/>
        <v>115.012756</v>
      </c>
      <c r="EM11">
        <f t="shared" si="11"/>
        <v>24.559756</v>
      </c>
      <c r="EN11">
        <f t="shared" si="11"/>
        <v>33.468978</v>
      </c>
      <c r="EO11">
        <f t="shared" si="11"/>
        <v>0</v>
      </c>
      <c r="EP11">
        <f t="shared" si="11"/>
        <v>0</v>
      </c>
      <c r="EQ11">
        <f t="shared" si="11"/>
        <v>0</v>
      </c>
      <c r="ER11">
        <f t="shared" si="11"/>
        <v>0</v>
      </c>
      <c r="ES11">
        <f t="shared" si="11"/>
        <v>24</v>
      </c>
      <c r="ET11">
        <f t="shared" si="11"/>
        <v>44</v>
      </c>
      <c r="EU11">
        <f t="shared" si="11"/>
        <v>28</v>
      </c>
      <c r="EV11">
        <f t="shared" si="11"/>
        <v>160</v>
      </c>
      <c r="EW11">
        <f t="shared" si="11"/>
        <v>100</v>
      </c>
      <c r="EX11">
        <f t="shared" si="11"/>
        <v>84</v>
      </c>
      <c r="EY11">
        <f t="shared" si="11"/>
        <v>0</v>
      </c>
      <c r="EZ11">
        <f t="shared" si="11"/>
        <v>28</v>
      </c>
      <c r="FA11">
        <f t="shared" si="11"/>
        <v>56</v>
      </c>
      <c r="FB11">
        <f t="shared" si="11"/>
        <v>26</v>
      </c>
      <c r="FC11">
        <f t="shared" si="11"/>
        <v>188</v>
      </c>
      <c r="FD11">
        <f t="shared" si="11"/>
        <v>82</v>
      </c>
      <c r="FE11">
        <f t="shared" si="11"/>
        <v>104</v>
      </c>
    </row>
    <row r="12" spans="2:453" x14ac:dyDescent="0.25">
      <c r="E12" s="6"/>
      <c r="F12" s="6" t="str">
        <f xml:space="preserve"> _xll.EPMOlapMemberO("[PRDID].[].[IBP-200]","","IBP-200","","000")</f>
        <v>IBP-200</v>
      </c>
      <c r="G12" s="6" t="str">
        <f xml:space="preserve"> _xll.EPMOlapMemberO("[CUSTID].[].[CUST A]","","Customer A","","000")</f>
        <v>Customer A</v>
      </c>
      <c r="H12" s="6" t="str">
        <f xml:space="preserve"> _xll.EPMOlapMemberO("[KEY_FIGURES].[].[CONSENSUSDEMAND]","","Customer Demand","","000")</f>
        <v>Customer Demand</v>
      </c>
      <c r="BZ12">
        <v>57.210286000000004</v>
      </c>
      <c r="CA12">
        <v>34.295904999999998</v>
      </c>
      <c r="CB12">
        <v>29.937404999999998</v>
      </c>
      <c r="CC12">
        <v>71.056358000000003</v>
      </c>
      <c r="CD12">
        <v>-92.499954000000002</v>
      </c>
      <c r="CE12">
        <v>33.797367999999999</v>
      </c>
      <c r="CF12">
        <v>32.807989999999997</v>
      </c>
      <c r="CG12">
        <v>93.293413000000001</v>
      </c>
      <c r="CH12">
        <v>79.855524000000003</v>
      </c>
      <c r="CI12">
        <v>18.011289999999999</v>
      </c>
      <c r="CJ12">
        <v>47.966431999999998</v>
      </c>
      <c r="CK12">
        <v>87.788427999999996</v>
      </c>
      <c r="CL12">
        <v>84.637863999999993</v>
      </c>
      <c r="CM12">
        <v>29.808758000000001</v>
      </c>
      <c r="CN12">
        <v>85.295793000000003</v>
      </c>
      <c r="CO12">
        <v>61.463428</v>
      </c>
      <c r="CP12">
        <v>32.174841000000001</v>
      </c>
      <c r="CQ12">
        <v>13.811899</v>
      </c>
      <c r="CR12">
        <v>38.634720999999999</v>
      </c>
      <c r="CS12">
        <v>19.406441000000001</v>
      </c>
      <c r="CT12">
        <v>22.249891999999999</v>
      </c>
      <c r="CU12">
        <v>39.750458000000002</v>
      </c>
      <c r="CV12">
        <v>45.098515999999996</v>
      </c>
      <c r="CW12">
        <v>88.879485000000003</v>
      </c>
      <c r="CX12">
        <v>63.962575000000001</v>
      </c>
      <c r="CY12">
        <v>36.689920999999998</v>
      </c>
      <c r="CZ12">
        <v>75.767883999999995</v>
      </c>
      <c r="DA12">
        <v>33.928521000000003</v>
      </c>
      <c r="DB12">
        <v>77.106454999999997</v>
      </c>
      <c r="DC12">
        <v>33.82779</v>
      </c>
      <c r="DD12">
        <v>61.840181000000001</v>
      </c>
      <c r="DE12">
        <v>55.464668000000003</v>
      </c>
      <c r="DF12">
        <v>1.2013990000000001</v>
      </c>
      <c r="DG12">
        <v>89.884020000000007</v>
      </c>
      <c r="DH12">
        <v>63.854619</v>
      </c>
      <c r="DI12">
        <v>41.080514999999998</v>
      </c>
      <c r="DJ12">
        <v>8.9698080000000004</v>
      </c>
      <c r="DK12">
        <v>30.447946000000002</v>
      </c>
      <c r="DL12">
        <v>69.610247999999999</v>
      </c>
      <c r="DM12">
        <v>7.4652969999999996</v>
      </c>
      <c r="DN12">
        <v>91.229450999999997</v>
      </c>
      <c r="DO12">
        <v>51.524231999999998</v>
      </c>
      <c r="DP12">
        <v>75.871104000000003</v>
      </c>
      <c r="DQ12">
        <v>56.361328</v>
      </c>
      <c r="DR12">
        <v>4.3671199999999999</v>
      </c>
      <c r="DS12">
        <v>43.342346999999997</v>
      </c>
      <c r="DT12">
        <v>55.264042000000003</v>
      </c>
      <c r="DU12">
        <v>32.305607999999999</v>
      </c>
      <c r="DV12">
        <v>67.231182000000004</v>
      </c>
      <c r="DW12">
        <v>21.462578000000001</v>
      </c>
      <c r="DX12">
        <v>40.456507000000002</v>
      </c>
      <c r="DY12">
        <v>10.614591000000001</v>
      </c>
      <c r="DZ12">
        <v>83.935531999999995</v>
      </c>
      <c r="EA12">
        <v>68.178944999999999</v>
      </c>
      <c r="EB12">
        <v>41.323692999999999</v>
      </c>
      <c r="EC12">
        <v>65.769930000000002</v>
      </c>
      <c r="ED12">
        <v>54.584546000000003</v>
      </c>
      <c r="EE12">
        <v>88.027479999999997</v>
      </c>
      <c r="EF12">
        <v>60.322403999999999</v>
      </c>
      <c r="EG12">
        <v>70.954622000000001</v>
      </c>
      <c r="EH12">
        <v>37.527293</v>
      </c>
      <c r="EI12">
        <v>94.877641999999994</v>
      </c>
      <c r="EJ12">
        <v>15.069383</v>
      </c>
      <c r="EK12">
        <v>93.602359000000007</v>
      </c>
      <c r="EL12">
        <v>98.094945999999993</v>
      </c>
      <c r="EM12">
        <v>15.183310000000001</v>
      </c>
      <c r="EN12">
        <v>31.315138999999999</v>
      </c>
      <c r="ES12">
        <v>71</v>
      </c>
      <c r="ET12">
        <v>46</v>
      </c>
      <c r="EU12">
        <v>33</v>
      </c>
      <c r="EV12">
        <v>58</v>
      </c>
      <c r="EW12">
        <v>2</v>
      </c>
      <c r="EX12">
        <v>40</v>
      </c>
      <c r="EY12">
        <v>97</v>
      </c>
      <c r="EZ12">
        <v>62</v>
      </c>
      <c r="FA12">
        <v>16</v>
      </c>
      <c r="FB12">
        <v>15</v>
      </c>
      <c r="FC12">
        <v>91</v>
      </c>
      <c r="FD12">
        <v>19</v>
      </c>
      <c r="FE12">
        <v>6</v>
      </c>
    </row>
    <row r="13" spans="2:453" x14ac:dyDescent="0.25">
      <c r="E13" s="6"/>
      <c r="F13" s="6"/>
      <c r="G13" s="6"/>
      <c r="H13" s="6" t="str">
        <f xml:space="preserve"> _xll.EPMLocalMember("Local member","000","000")</f>
        <v>Local member</v>
      </c>
      <c r="I13">
        <f>I12*2</f>
        <v>0</v>
      </c>
      <c r="J13">
        <f t="shared" ref="J13:BU13" si="12">J12*2</f>
        <v>0</v>
      </c>
      <c r="K13">
        <f t="shared" si="12"/>
        <v>0</v>
      </c>
      <c r="L13">
        <f t="shared" si="12"/>
        <v>0</v>
      </c>
      <c r="M13">
        <f t="shared" si="12"/>
        <v>0</v>
      </c>
      <c r="N13">
        <f t="shared" si="12"/>
        <v>0</v>
      </c>
      <c r="O13">
        <f t="shared" si="12"/>
        <v>0</v>
      </c>
      <c r="P13">
        <f t="shared" si="12"/>
        <v>0</v>
      </c>
      <c r="Q13">
        <f t="shared" si="12"/>
        <v>0</v>
      </c>
      <c r="R13">
        <f t="shared" si="12"/>
        <v>0</v>
      </c>
      <c r="S13">
        <f t="shared" si="12"/>
        <v>0</v>
      </c>
      <c r="T13">
        <f t="shared" si="12"/>
        <v>0</v>
      </c>
      <c r="U13">
        <f t="shared" si="12"/>
        <v>0</v>
      </c>
      <c r="V13">
        <f t="shared" si="12"/>
        <v>0</v>
      </c>
      <c r="W13">
        <f t="shared" si="12"/>
        <v>0</v>
      </c>
      <c r="X13">
        <f t="shared" si="12"/>
        <v>0</v>
      </c>
      <c r="Y13">
        <f t="shared" si="12"/>
        <v>0</v>
      </c>
      <c r="Z13">
        <f t="shared" si="12"/>
        <v>0</v>
      </c>
      <c r="AA13">
        <f t="shared" si="12"/>
        <v>0</v>
      </c>
      <c r="AB13">
        <f t="shared" si="12"/>
        <v>0</v>
      </c>
      <c r="AC13">
        <f t="shared" si="12"/>
        <v>0</v>
      </c>
      <c r="AD13">
        <f t="shared" si="12"/>
        <v>0</v>
      </c>
      <c r="AE13">
        <f t="shared" si="12"/>
        <v>0</v>
      </c>
      <c r="AF13">
        <f t="shared" si="12"/>
        <v>0</v>
      </c>
      <c r="AG13">
        <f t="shared" si="12"/>
        <v>0</v>
      </c>
      <c r="AH13">
        <f t="shared" si="12"/>
        <v>0</v>
      </c>
      <c r="AI13">
        <f t="shared" si="12"/>
        <v>0</v>
      </c>
      <c r="AJ13">
        <f t="shared" si="12"/>
        <v>0</v>
      </c>
      <c r="AK13">
        <f t="shared" si="12"/>
        <v>0</v>
      </c>
      <c r="AL13">
        <f t="shared" si="12"/>
        <v>0</v>
      </c>
      <c r="AM13">
        <f t="shared" si="12"/>
        <v>0</v>
      </c>
      <c r="AN13">
        <f t="shared" si="12"/>
        <v>0</v>
      </c>
      <c r="AO13">
        <f t="shared" si="12"/>
        <v>0</v>
      </c>
      <c r="AP13">
        <f t="shared" si="12"/>
        <v>0</v>
      </c>
      <c r="AQ13">
        <f t="shared" si="12"/>
        <v>0</v>
      </c>
      <c r="AR13">
        <f t="shared" si="12"/>
        <v>0</v>
      </c>
      <c r="AS13">
        <f t="shared" si="12"/>
        <v>0</v>
      </c>
      <c r="AT13">
        <f t="shared" si="12"/>
        <v>0</v>
      </c>
      <c r="AU13">
        <f t="shared" si="12"/>
        <v>0</v>
      </c>
      <c r="AV13">
        <f t="shared" si="12"/>
        <v>0</v>
      </c>
      <c r="AW13">
        <f t="shared" si="12"/>
        <v>0</v>
      </c>
      <c r="AX13">
        <f t="shared" si="12"/>
        <v>0</v>
      </c>
      <c r="AY13">
        <f t="shared" si="12"/>
        <v>0</v>
      </c>
      <c r="AZ13">
        <f t="shared" si="12"/>
        <v>0</v>
      </c>
      <c r="BA13">
        <f t="shared" si="12"/>
        <v>0</v>
      </c>
      <c r="BB13">
        <f t="shared" si="12"/>
        <v>0</v>
      </c>
      <c r="BC13">
        <f t="shared" si="12"/>
        <v>0</v>
      </c>
      <c r="BD13">
        <f t="shared" si="12"/>
        <v>0</v>
      </c>
      <c r="BE13">
        <f t="shared" si="12"/>
        <v>0</v>
      </c>
      <c r="BF13">
        <f t="shared" si="12"/>
        <v>0</v>
      </c>
      <c r="BG13">
        <f t="shared" si="12"/>
        <v>0</v>
      </c>
      <c r="BH13">
        <f t="shared" si="12"/>
        <v>0</v>
      </c>
      <c r="BI13">
        <f t="shared" si="12"/>
        <v>0</v>
      </c>
      <c r="BJ13">
        <f t="shared" si="12"/>
        <v>0</v>
      </c>
      <c r="BK13">
        <f t="shared" si="12"/>
        <v>0</v>
      </c>
      <c r="BL13">
        <f t="shared" si="12"/>
        <v>0</v>
      </c>
      <c r="BM13">
        <f t="shared" si="12"/>
        <v>0</v>
      </c>
      <c r="BN13">
        <f t="shared" si="12"/>
        <v>0</v>
      </c>
      <c r="BO13">
        <f t="shared" si="12"/>
        <v>0</v>
      </c>
      <c r="BP13">
        <f t="shared" si="12"/>
        <v>0</v>
      </c>
      <c r="BQ13">
        <f t="shared" si="12"/>
        <v>0</v>
      </c>
      <c r="BR13">
        <f t="shared" si="12"/>
        <v>0</v>
      </c>
      <c r="BS13">
        <f t="shared" si="12"/>
        <v>0</v>
      </c>
      <c r="BT13">
        <f t="shared" si="12"/>
        <v>0</v>
      </c>
      <c r="BU13">
        <f t="shared" si="12"/>
        <v>0</v>
      </c>
      <c r="BV13">
        <f t="shared" ref="BV13:EG13" si="13">BV12*2</f>
        <v>0</v>
      </c>
      <c r="BW13">
        <f t="shared" si="13"/>
        <v>0</v>
      </c>
      <c r="BX13">
        <f t="shared" si="13"/>
        <v>0</v>
      </c>
      <c r="BY13">
        <f t="shared" si="13"/>
        <v>0</v>
      </c>
      <c r="BZ13">
        <f t="shared" si="13"/>
        <v>114.42057200000001</v>
      </c>
      <c r="CA13">
        <f t="shared" si="13"/>
        <v>68.591809999999995</v>
      </c>
      <c r="CB13">
        <f t="shared" si="13"/>
        <v>59.874809999999997</v>
      </c>
      <c r="CC13">
        <f t="shared" si="13"/>
        <v>142.11271600000001</v>
      </c>
      <c r="CD13">
        <f t="shared" si="13"/>
        <v>-184.999908</v>
      </c>
      <c r="CE13">
        <f t="shared" si="13"/>
        <v>67.594735999999997</v>
      </c>
      <c r="CF13">
        <f t="shared" si="13"/>
        <v>65.615979999999993</v>
      </c>
      <c r="CG13">
        <f t="shared" si="13"/>
        <v>186.586826</v>
      </c>
      <c r="CH13">
        <f t="shared" si="13"/>
        <v>159.71104800000001</v>
      </c>
      <c r="CI13">
        <f t="shared" si="13"/>
        <v>36.022579999999998</v>
      </c>
      <c r="CJ13">
        <f t="shared" si="13"/>
        <v>95.932863999999995</v>
      </c>
      <c r="CK13">
        <f t="shared" si="13"/>
        <v>175.57685599999999</v>
      </c>
      <c r="CL13">
        <f t="shared" si="13"/>
        <v>169.27572799999999</v>
      </c>
      <c r="CM13">
        <f t="shared" si="13"/>
        <v>59.617516000000002</v>
      </c>
      <c r="CN13">
        <f t="shared" si="13"/>
        <v>170.59158600000001</v>
      </c>
      <c r="CO13">
        <f t="shared" si="13"/>
        <v>122.926856</v>
      </c>
      <c r="CP13">
        <f t="shared" si="13"/>
        <v>64.349682000000001</v>
      </c>
      <c r="CQ13">
        <f t="shared" si="13"/>
        <v>27.623798000000001</v>
      </c>
      <c r="CR13">
        <f t="shared" si="13"/>
        <v>77.269441999999998</v>
      </c>
      <c r="CS13">
        <f t="shared" si="13"/>
        <v>38.812882000000002</v>
      </c>
      <c r="CT13">
        <f t="shared" si="13"/>
        <v>44.499783999999998</v>
      </c>
      <c r="CU13">
        <f t="shared" si="13"/>
        <v>79.500916000000004</v>
      </c>
      <c r="CV13">
        <f t="shared" si="13"/>
        <v>90.197031999999993</v>
      </c>
      <c r="CW13">
        <f t="shared" si="13"/>
        <v>177.75897000000001</v>
      </c>
      <c r="CX13">
        <f t="shared" si="13"/>
        <v>127.92515</v>
      </c>
      <c r="CY13">
        <f t="shared" si="13"/>
        <v>73.379841999999996</v>
      </c>
      <c r="CZ13">
        <f t="shared" si="13"/>
        <v>151.53576799999999</v>
      </c>
      <c r="DA13">
        <f t="shared" si="13"/>
        <v>67.857042000000007</v>
      </c>
      <c r="DB13">
        <f t="shared" si="13"/>
        <v>154.21290999999999</v>
      </c>
      <c r="DC13">
        <f t="shared" si="13"/>
        <v>67.65558</v>
      </c>
      <c r="DD13">
        <f t="shared" si="13"/>
        <v>123.680362</v>
      </c>
      <c r="DE13">
        <f t="shared" si="13"/>
        <v>110.92933600000001</v>
      </c>
      <c r="DF13">
        <f t="shared" si="13"/>
        <v>2.4027980000000002</v>
      </c>
      <c r="DG13">
        <f t="shared" si="13"/>
        <v>179.76804000000001</v>
      </c>
      <c r="DH13">
        <f t="shared" si="13"/>
        <v>127.709238</v>
      </c>
      <c r="DI13">
        <f t="shared" si="13"/>
        <v>82.161029999999997</v>
      </c>
      <c r="DJ13">
        <f t="shared" si="13"/>
        <v>17.939616000000001</v>
      </c>
      <c r="DK13">
        <f t="shared" si="13"/>
        <v>60.895892000000003</v>
      </c>
      <c r="DL13">
        <f t="shared" si="13"/>
        <v>139.220496</v>
      </c>
      <c r="DM13">
        <f t="shared" si="13"/>
        <v>14.930593999999999</v>
      </c>
      <c r="DN13">
        <f t="shared" si="13"/>
        <v>182.45890199999999</v>
      </c>
      <c r="DO13">
        <f t="shared" si="13"/>
        <v>103.048464</v>
      </c>
      <c r="DP13">
        <f t="shared" si="13"/>
        <v>151.74220800000001</v>
      </c>
      <c r="DQ13">
        <f t="shared" si="13"/>
        <v>112.722656</v>
      </c>
      <c r="DR13">
        <f t="shared" si="13"/>
        <v>8.7342399999999998</v>
      </c>
      <c r="DS13">
        <f t="shared" si="13"/>
        <v>86.684693999999993</v>
      </c>
      <c r="DT13">
        <f t="shared" si="13"/>
        <v>110.52808400000001</v>
      </c>
      <c r="DU13">
        <f t="shared" si="13"/>
        <v>64.611215999999999</v>
      </c>
      <c r="DV13">
        <f t="shared" si="13"/>
        <v>134.46236400000001</v>
      </c>
      <c r="DW13">
        <f t="shared" si="13"/>
        <v>42.925156000000001</v>
      </c>
      <c r="DX13">
        <f t="shared" si="13"/>
        <v>80.913014000000004</v>
      </c>
      <c r="DY13">
        <f t="shared" si="13"/>
        <v>21.229182000000002</v>
      </c>
      <c r="DZ13">
        <f t="shared" si="13"/>
        <v>167.87106399999999</v>
      </c>
      <c r="EA13">
        <f t="shared" si="13"/>
        <v>136.35789</v>
      </c>
      <c r="EB13">
        <f t="shared" si="13"/>
        <v>82.647385999999997</v>
      </c>
      <c r="EC13">
        <f t="shared" si="13"/>
        <v>131.53986</v>
      </c>
      <c r="ED13">
        <f t="shared" si="13"/>
        <v>109.16909200000001</v>
      </c>
      <c r="EE13">
        <f t="shared" si="13"/>
        <v>176.05495999999999</v>
      </c>
      <c r="EF13">
        <f t="shared" si="13"/>
        <v>120.644808</v>
      </c>
      <c r="EG13">
        <f t="shared" si="13"/>
        <v>141.909244</v>
      </c>
      <c r="EH13">
        <f t="shared" ref="EH13:FE13" si="14">EH12*2</f>
        <v>75.054586</v>
      </c>
      <c r="EI13">
        <f t="shared" si="14"/>
        <v>189.75528399999999</v>
      </c>
      <c r="EJ13">
        <f t="shared" si="14"/>
        <v>30.138766</v>
      </c>
      <c r="EK13">
        <f t="shared" si="14"/>
        <v>187.20471800000001</v>
      </c>
      <c r="EL13">
        <f t="shared" si="14"/>
        <v>196.18989199999999</v>
      </c>
      <c r="EM13">
        <f t="shared" si="14"/>
        <v>30.366620000000001</v>
      </c>
      <c r="EN13">
        <f t="shared" si="14"/>
        <v>62.630277999999997</v>
      </c>
      <c r="EO13">
        <f t="shared" si="14"/>
        <v>0</v>
      </c>
      <c r="EP13">
        <f t="shared" si="14"/>
        <v>0</v>
      </c>
      <c r="EQ13">
        <f t="shared" si="14"/>
        <v>0</v>
      </c>
      <c r="ER13">
        <f t="shared" si="14"/>
        <v>0</v>
      </c>
      <c r="ES13">
        <f t="shared" si="14"/>
        <v>142</v>
      </c>
      <c r="ET13">
        <f t="shared" si="14"/>
        <v>92</v>
      </c>
      <c r="EU13">
        <f t="shared" si="14"/>
        <v>66</v>
      </c>
      <c r="EV13">
        <f t="shared" si="14"/>
        <v>116</v>
      </c>
      <c r="EW13">
        <f t="shared" si="14"/>
        <v>4</v>
      </c>
      <c r="EX13">
        <f t="shared" si="14"/>
        <v>80</v>
      </c>
      <c r="EY13">
        <f t="shared" si="14"/>
        <v>194</v>
      </c>
      <c r="EZ13">
        <f t="shared" si="14"/>
        <v>124</v>
      </c>
      <c r="FA13">
        <f t="shared" si="14"/>
        <v>32</v>
      </c>
      <c r="FB13">
        <f t="shared" si="14"/>
        <v>30</v>
      </c>
      <c r="FC13">
        <f t="shared" si="14"/>
        <v>182</v>
      </c>
      <c r="FD13">
        <f t="shared" si="14"/>
        <v>38</v>
      </c>
      <c r="FE13">
        <f t="shared" si="14"/>
        <v>12</v>
      </c>
    </row>
    <row r="14" spans="2:453" x14ac:dyDescent="0.25">
      <c r="E14" s="6"/>
      <c r="F14" s="6" t="str">
        <f xml:space="preserve"> _xll.EPMOlapMemberO("[PRDID].[].[IBP-300]","","IBP-300","","000")</f>
        <v>IBP-300</v>
      </c>
      <c r="G14" s="6" t="str">
        <f xml:space="preserve"> _xll.EPMOlapMemberO("[CUSTID].[].[CUST A]","","Customer A","","000")</f>
        <v>Customer A</v>
      </c>
      <c r="H14" s="6" t="str">
        <f xml:space="preserve"> _xll.EPMOlapMemberO("[KEY_FIGURES].[].[CONSENSUSDEMAND]","","Customer Demand","","000")</f>
        <v>Customer Demand</v>
      </c>
    </row>
    <row r="15" spans="2:453" x14ac:dyDescent="0.25">
      <c r="E15" s="6"/>
      <c r="F15" s="6"/>
      <c r="G15" s="6"/>
      <c r="H15" s="6" t="str">
        <f xml:space="preserve"> _xll.EPMLocalMember("Local member","000","000")</f>
        <v>Local member</v>
      </c>
      <c r="I15">
        <f>I14*2</f>
        <v>0</v>
      </c>
      <c r="J15">
        <f t="shared" ref="J15:BU15" si="15">J14*2</f>
        <v>0</v>
      </c>
      <c r="K15">
        <f t="shared" si="15"/>
        <v>0</v>
      </c>
      <c r="L15">
        <f t="shared" si="15"/>
        <v>0</v>
      </c>
      <c r="M15">
        <f t="shared" si="15"/>
        <v>0</v>
      </c>
      <c r="N15">
        <f t="shared" si="15"/>
        <v>0</v>
      </c>
      <c r="O15">
        <f t="shared" si="15"/>
        <v>0</v>
      </c>
      <c r="P15">
        <f t="shared" si="15"/>
        <v>0</v>
      </c>
      <c r="Q15">
        <f t="shared" si="15"/>
        <v>0</v>
      </c>
      <c r="R15">
        <f t="shared" si="15"/>
        <v>0</v>
      </c>
      <c r="S15">
        <f t="shared" si="15"/>
        <v>0</v>
      </c>
      <c r="T15">
        <f t="shared" si="15"/>
        <v>0</v>
      </c>
      <c r="U15">
        <f t="shared" si="15"/>
        <v>0</v>
      </c>
      <c r="V15">
        <f t="shared" si="15"/>
        <v>0</v>
      </c>
      <c r="W15">
        <f t="shared" si="15"/>
        <v>0</v>
      </c>
      <c r="X15">
        <f t="shared" si="15"/>
        <v>0</v>
      </c>
      <c r="Y15">
        <f t="shared" si="15"/>
        <v>0</v>
      </c>
      <c r="Z15">
        <f t="shared" si="15"/>
        <v>0</v>
      </c>
      <c r="AA15">
        <f t="shared" si="15"/>
        <v>0</v>
      </c>
      <c r="AB15">
        <f t="shared" si="15"/>
        <v>0</v>
      </c>
      <c r="AC15">
        <f t="shared" si="15"/>
        <v>0</v>
      </c>
      <c r="AD15">
        <f t="shared" si="15"/>
        <v>0</v>
      </c>
      <c r="AE15">
        <f t="shared" si="15"/>
        <v>0</v>
      </c>
      <c r="AF15">
        <f t="shared" si="15"/>
        <v>0</v>
      </c>
      <c r="AG15">
        <f t="shared" si="15"/>
        <v>0</v>
      </c>
      <c r="AH15">
        <f t="shared" si="15"/>
        <v>0</v>
      </c>
      <c r="AI15">
        <f t="shared" si="15"/>
        <v>0</v>
      </c>
      <c r="AJ15">
        <f t="shared" si="15"/>
        <v>0</v>
      </c>
      <c r="AK15">
        <f t="shared" si="15"/>
        <v>0</v>
      </c>
      <c r="AL15">
        <f t="shared" si="15"/>
        <v>0</v>
      </c>
      <c r="AM15">
        <f t="shared" si="15"/>
        <v>0</v>
      </c>
      <c r="AN15">
        <f t="shared" si="15"/>
        <v>0</v>
      </c>
      <c r="AO15">
        <f t="shared" si="15"/>
        <v>0</v>
      </c>
      <c r="AP15">
        <f t="shared" si="15"/>
        <v>0</v>
      </c>
      <c r="AQ15">
        <f t="shared" si="15"/>
        <v>0</v>
      </c>
      <c r="AR15">
        <f t="shared" si="15"/>
        <v>0</v>
      </c>
      <c r="AS15">
        <f t="shared" si="15"/>
        <v>0</v>
      </c>
      <c r="AT15">
        <f t="shared" si="15"/>
        <v>0</v>
      </c>
      <c r="AU15">
        <f t="shared" si="15"/>
        <v>0</v>
      </c>
      <c r="AV15">
        <f t="shared" si="15"/>
        <v>0</v>
      </c>
      <c r="AW15">
        <f t="shared" si="15"/>
        <v>0</v>
      </c>
      <c r="AX15">
        <f t="shared" si="15"/>
        <v>0</v>
      </c>
      <c r="AY15">
        <f t="shared" si="15"/>
        <v>0</v>
      </c>
      <c r="AZ15">
        <f t="shared" si="15"/>
        <v>0</v>
      </c>
      <c r="BA15">
        <f t="shared" si="15"/>
        <v>0</v>
      </c>
      <c r="BB15">
        <f t="shared" si="15"/>
        <v>0</v>
      </c>
      <c r="BC15">
        <f t="shared" si="15"/>
        <v>0</v>
      </c>
      <c r="BD15">
        <f t="shared" si="15"/>
        <v>0</v>
      </c>
      <c r="BE15">
        <f t="shared" si="15"/>
        <v>0</v>
      </c>
      <c r="BF15">
        <f t="shared" si="15"/>
        <v>0</v>
      </c>
      <c r="BG15">
        <f t="shared" si="15"/>
        <v>0</v>
      </c>
      <c r="BH15">
        <f t="shared" si="15"/>
        <v>0</v>
      </c>
      <c r="BI15">
        <f t="shared" si="15"/>
        <v>0</v>
      </c>
      <c r="BJ15">
        <f t="shared" si="15"/>
        <v>0</v>
      </c>
      <c r="BK15">
        <f t="shared" si="15"/>
        <v>0</v>
      </c>
      <c r="BL15">
        <f t="shared" si="15"/>
        <v>0</v>
      </c>
      <c r="BM15">
        <f t="shared" si="15"/>
        <v>0</v>
      </c>
      <c r="BN15">
        <f t="shared" si="15"/>
        <v>0</v>
      </c>
      <c r="BO15">
        <f t="shared" si="15"/>
        <v>0</v>
      </c>
      <c r="BP15">
        <f t="shared" si="15"/>
        <v>0</v>
      </c>
      <c r="BQ15">
        <f t="shared" si="15"/>
        <v>0</v>
      </c>
      <c r="BR15">
        <f t="shared" si="15"/>
        <v>0</v>
      </c>
      <c r="BS15">
        <f t="shared" si="15"/>
        <v>0</v>
      </c>
      <c r="BT15">
        <f t="shared" si="15"/>
        <v>0</v>
      </c>
      <c r="BU15">
        <f t="shared" si="15"/>
        <v>0</v>
      </c>
      <c r="BV15">
        <f t="shared" ref="BV15:EG15" si="16">BV14*2</f>
        <v>0</v>
      </c>
      <c r="BW15">
        <f t="shared" si="16"/>
        <v>0</v>
      </c>
      <c r="BX15">
        <f t="shared" si="16"/>
        <v>0</v>
      </c>
      <c r="BY15">
        <f t="shared" si="16"/>
        <v>0</v>
      </c>
      <c r="BZ15">
        <f t="shared" si="16"/>
        <v>0</v>
      </c>
      <c r="CA15">
        <f t="shared" si="16"/>
        <v>0</v>
      </c>
      <c r="CB15">
        <f t="shared" si="16"/>
        <v>0</v>
      </c>
      <c r="CC15">
        <f t="shared" si="16"/>
        <v>0</v>
      </c>
      <c r="CD15">
        <f t="shared" si="16"/>
        <v>0</v>
      </c>
      <c r="CE15">
        <f t="shared" si="16"/>
        <v>0</v>
      </c>
      <c r="CF15">
        <f t="shared" si="16"/>
        <v>0</v>
      </c>
      <c r="CG15">
        <f t="shared" si="16"/>
        <v>0</v>
      </c>
      <c r="CH15">
        <f t="shared" si="16"/>
        <v>0</v>
      </c>
      <c r="CI15">
        <f t="shared" si="16"/>
        <v>0</v>
      </c>
      <c r="CJ15">
        <f t="shared" si="16"/>
        <v>0</v>
      </c>
      <c r="CK15">
        <f t="shared" si="16"/>
        <v>0</v>
      </c>
      <c r="CL15">
        <f t="shared" si="16"/>
        <v>0</v>
      </c>
      <c r="CM15">
        <f t="shared" si="16"/>
        <v>0</v>
      </c>
      <c r="CN15">
        <f t="shared" si="16"/>
        <v>0</v>
      </c>
      <c r="CO15">
        <f t="shared" si="16"/>
        <v>0</v>
      </c>
      <c r="CP15">
        <f t="shared" si="16"/>
        <v>0</v>
      </c>
      <c r="CQ15">
        <f t="shared" si="16"/>
        <v>0</v>
      </c>
      <c r="CR15">
        <f t="shared" si="16"/>
        <v>0</v>
      </c>
      <c r="CS15">
        <f t="shared" si="16"/>
        <v>0</v>
      </c>
      <c r="CT15">
        <f t="shared" si="16"/>
        <v>0</v>
      </c>
      <c r="CU15">
        <f t="shared" si="16"/>
        <v>0</v>
      </c>
      <c r="CV15">
        <f t="shared" si="16"/>
        <v>0</v>
      </c>
      <c r="CW15">
        <f t="shared" si="16"/>
        <v>0</v>
      </c>
      <c r="CX15">
        <f t="shared" si="16"/>
        <v>0</v>
      </c>
      <c r="CY15">
        <f t="shared" si="16"/>
        <v>0</v>
      </c>
      <c r="CZ15">
        <f t="shared" si="16"/>
        <v>0</v>
      </c>
      <c r="DA15">
        <f t="shared" si="16"/>
        <v>0</v>
      </c>
      <c r="DB15">
        <f t="shared" si="16"/>
        <v>0</v>
      </c>
      <c r="DC15">
        <f t="shared" si="16"/>
        <v>0</v>
      </c>
      <c r="DD15">
        <f t="shared" si="16"/>
        <v>0</v>
      </c>
      <c r="DE15">
        <f t="shared" si="16"/>
        <v>0</v>
      </c>
      <c r="DF15">
        <f t="shared" si="16"/>
        <v>0</v>
      </c>
      <c r="DG15">
        <f t="shared" si="16"/>
        <v>0</v>
      </c>
      <c r="DH15">
        <f t="shared" si="16"/>
        <v>0</v>
      </c>
      <c r="DI15">
        <f t="shared" si="16"/>
        <v>0</v>
      </c>
      <c r="DJ15">
        <f t="shared" si="16"/>
        <v>0</v>
      </c>
      <c r="DK15">
        <f t="shared" si="16"/>
        <v>0</v>
      </c>
      <c r="DL15">
        <f t="shared" si="16"/>
        <v>0</v>
      </c>
      <c r="DM15">
        <f t="shared" si="16"/>
        <v>0</v>
      </c>
      <c r="DN15">
        <f t="shared" si="16"/>
        <v>0</v>
      </c>
      <c r="DO15">
        <f t="shared" si="16"/>
        <v>0</v>
      </c>
      <c r="DP15">
        <f t="shared" si="16"/>
        <v>0</v>
      </c>
      <c r="DQ15">
        <f t="shared" si="16"/>
        <v>0</v>
      </c>
      <c r="DR15">
        <f t="shared" si="16"/>
        <v>0</v>
      </c>
      <c r="DS15">
        <f t="shared" si="16"/>
        <v>0</v>
      </c>
      <c r="DT15">
        <f t="shared" si="16"/>
        <v>0</v>
      </c>
      <c r="DU15">
        <f t="shared" si="16"/>
        <v>0</v>
      </c>
      <c r="DV15">
        <f t="shared" si="16"/>
        <v>0</v>
      </c>
      <c r="DW15">
        <f t="shared" si="16"/>
        <v>0</v>
      </c>
      <c r="DX15">
        <f t="shared" si="16"/>
        <v>0</v>
      </c>
      <c r="DY15">
        <f t="shared" si="16"/>
        <v>0</v>
      </c>
      <c r="DZ15">
        <f t="shared" si="16"/>
        <v>0</v>
      </c>
      <c r="EA15">
        <f t="shared" si="16"/>
        <v>0</v>
      </c>
      <c r="EB15">
        <f t="shared" si="16"/>
        <v>0</v>
      </c>
      <c r="EC15">
        <f t="shared" si="16"/>
        <v>0</v>
      </c>
      <c r="ED15">
        <f t="shared" si="16"/>
        <v>0</v>
      </c>
      <c r="EE15">
        <f t="shared" si="16"/>
        <v>0</v>
      </c>
      <c r="EF15">
        <f t="shared" si="16"/>
        <v>0</v>
      </c>
      <c r="EG15">
        <f t="shared" si="16"/>
        <v>0</v>
      </c>
      <c r="EH15">
        <f t="shared" ref="EH15:FE15" si="17">EH14*2</f>
        <v>0</v>
      </c>
      <c r="EI15">
        <f t="shared" si="17"/>
        <v>0</v>
      </c>
      <c r="EJ15">
        <f t="shared" si="17"/>
        <v>0</v>
      </c>
      <c r="EK15">
        <f t="shared" si="17"/>
        <v>0</v>
      </c>
      <c r="EL15">
        <f t="shared" si="17"/>
        <v>0</v>
      </c>
      <c r="EM15">
        <f t="shared" si="17"/>
        <v>0</v>
      </c>
      <c r="EN15">
        <f t="shared" si="17"/>
        <v>0</v>
      </c>
      <c r="EO15">
        <f t="shared" si="17"/>
        <v>0</v>
      </c>
      <c r="EP15">
        <f t="shared" si="17"/>
        <v>0</v>
      </c>
      <c r="EQ15">
        <f t="shared" si="17"/>
        <v>0</v>
      </c>
      <c r="ER15">
        <f t="shared" si="17"/>
        <v>0</v>
      </c>
      <c r="ES15">
        <f t="shared" si="17"/>
        <v>0</v>
      </c>
      <c r="ET15">
        <f t="shared" si="17"/>
        <v>0</v>
      </c>
      <c r="EU15">
        <f t="shared" si="17"/>
        <v>0</v>
      </c>
      <c r="EV15">
        <f t="shared" si="17"/>
        <v>0</v>
      </c>
      <c r="EW15">
        <f t="shared" si="17"/>
        <v>0</v>
      </c>
      <c r="EX15">
        <f t="shared" si="17"/>
        <v>0</v>
      </c>
      <c r="EY15">
        <f t="shared" si="17"/>
        <v>0</v>
      </c>
      <c r="EZ15">
        <f t="shared" si="17"/>
        <v>0</v>
      </c>
      <c r="FA15">
        <f t="shared" si="17"/>
        <v>0</v>
      </c>
      <c r="FB15">
        <f t="shared" si="17"/>
        <v>0</v>
      </c>
      <c r="FC15">
        <f t="shared" si="17"/>
        <v>0</v>
      </c>
      <c r="FD15">
        <f t="shared" si="17"/>
        <v>0</v>
      </c>
      <c r="FE15">
        <f t="shared" si="17"/>
        <v>0</v>
      </c>
    </row>
    <row r="16" spans="2:453" x14ac:dyDescent="0.25">
      <c r="E16" s="6"/>
      <c r="F16" s="6"/>
      <c r="G16" s="6"/>
      <c r="H16" s="6"/>
    </row>
    <row r="17" spans="5:8" x14ac:dyDescent="0.25">
      <c r="E17" s="6"/>
      <c r="F17" s="6"/>
      <c r="G17" s="6"/>
      <c r="H17" s="6"/>
    </row>
    <row r="18" spans="5:8" x14ac:dyDescent="0.25">
      <c r="E18" s="6"/>
      <c r="F18" s="6"/>
      <c r="G18" s="6"/>
      <c r="H18" s="6"/>
    </row>
    <row r="19" spans="5:8" x14ac:dyDescent="0.25">
      <c r="E19" s="6"/>
      <c r="F19" s="6"/>
      <c r="G19" s="6"/>
      <c r="H19" s="6"/>
    </row>
    <row r="20" spans="5:8" x14ac:dyDescent="0.25">
      <c r="E20" s="6"/>
      <c r="F20" s="6"/>
      <c r="G20" s="6"/>
      <c r="H20" s="6"/>
    </row>
    <row r="21" spans="5:8" x14ac:dyDescent="0.25">
      <c r="E21" s="6"/>
      <c r="F21" s="6"/>
      <c r="G21" s="6"/>
      <c r="H21" s="6"/>
    </row>
    <row r="22" spans="5:8" x14ac:dyDescent="0.25">
      <c r="E22" s="6"/>
      <c r="F22" s="6"/>
      <c r="G22" s="6"/>
      <c r="H22" s="6"/>
    </row>
    <row r="23" spans="5:8" x14ac:dyDescent="0.25">
      <c r="E23" s="6"/>
      <c r="F23" s="6"/>
      <c r="G23" s="6"/>
      <c r="H23" s="6"/>
    </row>
    <row r="24" spans="5:8" x14ac:dyDescent="0.25">
      <c r="E24" s="6"/>
      <c r="F24" s="6"/>
      <c r="G24" s="6"/>
      <c r="H24" s="6"/>
    </row>
    <row r="25" spans="5:8" x14ac:dyDescent="0.25">
      <c r="E25" s="6"/>
      <c r="F25" s="6"/>
      <c r="G25" s="6"/>
      <c r="H25" s="6"/>
    </row>
    <row r="26" spans="5:8" x14ac:dyDescent="0.25">
      <c r="E26" s="6"/>
      <c r="F26" s="6"/>
      <c r="G26" s="6"/>
      <c r="H26" s="6"/>
    </row>
    <row r="27" spans="5:8" x14ac:dyDescent="0.25">
      <c r="E27" s="6"/>
      <c r="F27" s="6"/>
      <c r="G27" s="6"/>
      <c r="H27" s="6"/>
    </row>
    <row r="28" spans="5:8" x14ac:dyDescent="0.25">
      <c r="E28" s="6"/>
      <c r="F28" s="6"/>
      <c r="G28" s="6"/>
      <c r="H28" s="6"/>
    </row>
    <row r="29" spans="5:8" x14ac:dyDescent="0.25">
      <c r="E29" s="6"/>
      <c r="F29" s="6"/>
      <c r="G29" s="6"/>
      <c r="H29" s="6"/>
    </row>
    <row r="30" spans="5:8" x14ac:dyDescent="0.25">
      <c r="E30" s="6"/>
      <c r="F30" s="6"/>
      <c r="G30" s="6"/>
      <c r="H30" s="6"/>
    </row>
    <row r="31" spans="5:8" x14ac:dyDescent="0.25">
      <c r="E31" s="6"/>
      <c r="F31" s="6"/>
      <c r="G31" s="6"/>
      <c r="H31" s="6"/>
    </row>
    <row r="32" spans="5:8" x14ac:dyDescent="0.25">
      <c r="E32" s="6"/>
      <c r="F32" s="6"/>
      <c r="G32" s="6"/>
      <c r="H32" s="6"/>
    </row>
    <row r="33" spans="5:8" x14ac:dyDescent="0.25">
      <c r="E33" s="6"/>
      <c r="F33" s="6"/>
      <c r="G33" s="6"/>
      <c r="H33" s="6"/>
    </row>
    <row r="34" spans="5:8" x14ac:dyDescent="0.25">
      <c r="E34" s="6"/>
      <c r="F34" s="6"/>
      <c r="G34" s="6"/>
      <c r="H34" s="6"/>
    </row>
    <row r="35" spans="5:8" x14ac:dyDescent="0.25">
      <c r="E35" s="6"/>
      <c r="F35" s="6"/>
      <c r="G35" s="6"/>
      <c r="H35" s="6"/>
    </row>
    <row r="36" spans="5:8" x14ac:dyDescent="0.25">
      <c r="E36" s="6"/>
      <c r="F36" s="6"/>
      <c r="G36" s="6"/>
      <c r="H36" s="6"/>
    </row>
    <row r="37" spans="5:8" x14ac:dyDescent="0.25">
      <c r="E37" s="6"/>
      <c r="F37" s="6"/>
      <c r="G37" s="6"/>
      <c r="H37" s="6"/>
    </row>
    <row r="38" spans="5:8" x14ac:dyDescent="0.25">
      <c r="E38" s="6"/>
      <c r="F38" s="6"/>
      <c r="G38" s="6"/>
      <c r="H38" s="6"/>
    </row>
    <row r="39" spans="5:8" x14ac:dyDescent="0.25">
      <c r="E39" s="6"/>
      <c r="F39" s="6"/>
      <c r="G39" s="6"/>
      <c r="H39" s="6"/>
    </row>
    <row r="40" spans="5:8" x14ac:dyDescent="0.25">
      <c r="E40" s="6"/>
      <c r="F40" s="6"/>
      <c r="G40" s="6"/>
      <c r="H40" s="6"/>
    </row>
    <row r="41" spans="5:8" x14ac:dyDescent="0.25">
      <c r="E41" s="6"/>
      <c r="F41" s="6"/>
      <c r="G41" s="6"/>
      <c r="H41" s="6"/>
    </row>
    <row r="42" spans="5:8" x14ac:dyDescent="0.25">
      <c r="E42" s="6"/>
      <c r="F42" s="6"/>
      <c r="G42" s="6"/>
      <c r="H42" s="6"/>
    </row>
    <row r="43" spans="5:8" x14ac:dyDescent="0.25">
      <c r="E43" s="6"/>
      <c r="F43" s="6"/>
      <c r="G43" s="6"/>
      <c r="H43" s="6"/>
    </row>
    <row r="44" spans="5:8" x14ac:dyDescent="0.25">
      <c r="E44" s="6"/>
      <c r="F44" s="6"/>
      <c r="G44" s="6"/>
      <c r="H44" s="6"/>
    </row>
    <row r="45" spans="5:8" x14ac:dyDescent="0.25">
      <c r="E45" s="6"/>
      <c r="F45" s="6"/>
      <c r="G45" s="6"/>
      <c r="H45" s="6"/>
    </row>
    <row r="46" spans="5:8" x14ac:dyDescent="0.25">
      <c r="E46" s="6"/>
      <c r="F46" s="6"/>
      <c r="G46" s="6"/>
      <c r="H46" s="6"/>
    </row>
    <row r="47" spans="5:8" x14ac:dyDescent="0.25">
      <c r="E47" s="6"/>
      <c r="F47" s="6"/>
      <c r="G47" s="6"/>
      <c r="H47" s="6"/>
    </row>
    <row r="48" spans="5:8" x14ac:dyDescent="0.25">
      <c r="E48" s="6"/>
      <c r="F48" s="6"/>
      <c r="G48" s="6"/>
      <c r="H48" s="6"/>
    </row>
    <row r="49" spans="5:8" x14ac:dyDescent="0.25">
      <c r="E49" s="6"/>
      <c r="F49" s="6"/>
      <c r="G49" s="6"/>
      <c r="H49" s="6"/>
    </row>
    <row r="50" spans="5:8" x14ac:dyDescent="0.25">
      <c r="E50" s="6"/>
      <c r="F50" s="6"/>
      <c r="G50" s="6"/>
      <c r="H50" s="6"/>
    </row>
    <row r="51" spans="5:8" x14ac:dyDescent="0.25">
      <c r="E51" s="6"/>
      <c r="F51" s="6"/>
      <c r="G51" s="6"/>
      <c r="H51" s="6"/>
    </row>
    <row r="52" spans="5:8" x14ac:dyDescent="0.25">
      <c r="E52" s="6"/>
      <c r="F52" s="6"/>
      <c r="G52" s="6"/>
      <c r="H52" s="6"/>
    </row>
    <row r="53" spans="5:8" x14ac:dyDescent="0.25">
      <c r="E53" s="6"/>
      <c r="F53" s="6"/>
      <c r="G53" s="6"/>
      <c r="H53" s="6"/>
    </row>
    <row r="54" spans="5:8" x14ac:dyDescent="0.25">
      <c r="E54" s="6"/>
      <c r="F54" s="6"/>
      <c r="G54" s="6"/>
      <c r="H54" s="6"/>
    </row>
    <row r="55" spans="5:8" x14ac:dyDescent="0.25">
      <c r="E55" s="6"/>
      <c r="F55" s="6"/>
      <c r="G55" s="6"/>
      <c r="H55" s="6"/>
    </row>
    <row r="56" spans="5:8" x14ac:dyDescent="0.25">
      <c r="E56" s="6"/>
      <c r="F56" s="6"/>
      <c r="G56" s="6"/>
      <c r="H56" s="6"/>
    </row>
    <row r="57" spans="5:8" x14ac:dyDescent="0.25">
      <c r="E57" s="6"/>
      <c r="F57" s="6"/>
      <c r="G57" s="6"/>
      <c r="H57" s="6"/>
    </row>
    <row r="58" spans="5:8" x14ac:dyDescent="0.25">
      <c r="E58" s="6"/>
      <c r="F58" s="6"/>
      <c r="G58" s="6"/>
      <c r="H58" s="6"/>
    </row>
    <row r="59" spans="5:8" x14ac:dyDescent="0.25">
      <c r="E59" s="6"/>
      <c r="F59" s="6"/>
      <c r="G59" s="6"/>
      <c r="H59" s="6"/>
    </row>
    <row r="60" spans="5:8" x14ac:dyDescent="0.25">
      <c r="E60" s="6"/>
      <c r="F60" s="6"/>
      <c r="G60" s="6"/>
      <c r="H60" s="6"/>
    </row>
    <row r="61" spans="5:8" x14ac:dyDescent="0.25">
      <c r="E61" s="6"/>
      <c r="F61" s="6"/>
      <c r="G61" s="6"/>
      <c r="H61" s="6"/>
    </row>
    <row r="62" spans="5:8" x14ac:dyDescent="0.25">
      <c r="E62" s="6"/>
      <c r="F62" s="6"/>
      <c r="G62" s="6"/>
      <c r="H62" s="6"/>
    </row>
    <row r="63" spans="5:8" x14ac:dyDescent="0.25">
      <c r="E63" s="6"/>
      <c r="F63" s="6"/>
      <c r="G63" s="6"/>
      <c r="H63" s="6"/>
    </row>
    <row r="64" spans="5:8" x14ac:dyDescent="0.25">
      <c r="E64" s="6"/>
      <c r="F64" s="6"/>
      <c r="G64" s="6"/>
      <c r="H64" s="6"/>
    </row>
    <row r="65" spans="5:8" x14ac:dyDescent="0.25">
      <c r="E65" s="6"/>
      <c r="F65" s="6"/>
      <c r="G65" s="6"/>
      <c r="H65" s="6"/>
    </row>
    <row r="66" spans="5:8" x14ac:dyDescent="0.25">
      <c r="E66" s="6"/>
      <c r="F66" s="6"/>
      <c r="G66" s="6"/>
      <c r="H66" s="6"/>
    </row>
    <row r="67" spans="5:8" x14ac:dyDescent="0.25">
      <c r="E67" s="6"/>
      <c r="F67" s="6"/>
      <c r="G67" s="6"/>
      <c r="H67" s="6"/>
    </row>
    <row r="68" spans="5:8" x14ac:dyDescent="0.25">
      <c r="E68" s="6"/>
      <c r="F68" s="6"/>
      <c r="G68" s="6"/>
      <c r="H68" s="6"/>
    </row>
    <row r="69" spans="5:8" x14ac:dyDescent="0.25">
      <c r="E69" s="6"/>
      <c r="F69" s="6"/>
      <c r="G69" s="6"/>
      <c r="H69" s="6"/>
    </row>
    <row r="70" spans="5:8" x14ac:dyDescent="0.25">
      <c r="E70" s="6"/>
      <c r="F70" s="6"/>
      <c r="G70" s="6"/>
      <c r="H70" s="6"/>
    </row>
    <row r="71" spans="5:8" x14ac:dyDescent="0.25">
      <c r="E71" s="6"/>
      <c r="F71" s="6"/>
      <c r="G71" s="6"/>
      <c r="H71" s="6"/>
    </row>
    <row r="72" spans="5:8" x14ac:dyDescent="0.25">
      <c r="E72" s="6"/>
      <c r="F72" s="6"/>
      <c r="G72" s="6"/>
      <c r="H72" s="6"/>
    </row>
    <row r="73" spans="5:8" x14ac:dyDescent="0.25">
      <c r="E73" s="6"/>
      <c r="F73" s="6"/>
      <c r="G73" s="6"/>
      <c r="H73" s="6"/>
    </row>
    <row r="74" spans="5:8" x14ac:dyDescent="0.25">
      <c r="E74" s="6"/>
      <c r="F74" s="6"/>
      <c r="G74" s="6"/>
      <c r="H74" s="6"/>
    </row>
    <row r="75" spans="5:8" x14ac:dyDescent="0.25">
      <c r="E75" s="6"/>
      <c r="F75" s="6"/>
      <c r="G75" s="6"/>
      <c r="H75" s="6"/>
    </row>
    <row r="76" spans="5:8" x14ac:dyDescent="0.25">
      <c r="E76" s="6"/>
      <c r="F76" s="6"/>
      <c r="G76" s="6"/>
      <c r="H76" s="6"/>
    </row>
    <row r="77" spans="5:8" x14ac:dyDescent="0.25">
      <c r="E77" s="6"/>
      <c r="F77" s="6"/>
      <c r="G77" s="6"/>
      <c r="H77" s="6"/>
    </row>
    <row r="78" spans="5:8" x14ac:dyDescent="0.25">
      <c r="E78" s="6"/>
      <c r="F78" s="6"/>
      <c r="G78" s="6"/>
      <c r="H78" s="6"/>
    </row>
    <row r="79" spans="5:8" x14ac:dyDescent="0.25">
      <c r="E79" s="6"/>
      <c r="F79" s="6"/>
      <c r="G79" s="6"/>
      <c r="H79" s="6"/>
    </row>
    <row r="80" spans="5:8" x14ac:dyDescent="0.25">
      <c r="E80" s="6"/>
      <c r="F80" s="6"/>
      <c r="G80" s="6"/>
      <c r="H80" s="6"/>
    </row>
    <row r="81" spans="5:8" x14ac:dyDescent="0.25">
      <c r="E81" s="6"/>
      <c r="F81" s="6"/>
      <c r="G81" s="6"/>
      <c r="H81" s="6"/>
    </row>
    <row r="82" spans="5:8" x14ac:dyDescent="0.25">
      <c r="E82" s="6"/>
      <c r="F82" s="6"/>
      <c r="G82" s="6"/>
      <c r="H82" s="6"/>
    </row>
    <row r="83" spans="5:8" x14ac:dyDescent="0.25">
      <c r="E83" s="6"/>
      <c r="F83" s="6"/>
      <c r="G83" s="6"/>
      <c r="H83" s="6"/>
    </row>
    <row r="84" spans="5:8" x14ac:dyDescent="0.25">
      <c r="E84" s="6"/>
      <c r="F84" s="6"/>
      <c r="G84" s="6"/>
      <c r="H84" s="6"/>
    </row>
    <row r="85" spans="5:8" x14ac:dyDescent="0.25">
      <c r="E85" s="6"/>
      <c r="F85" s="6"/>
      <c r="G85" s="6"/>
      <c r="H85" s="6"/>
    </row>
    <row r="86" spans="5:8" x14ac:dyDescent="0.25">
      <c r="E86" s="6"/>
      <c r="F86" s="6"/>
      <c r="G86" s="6"/>
      <c r="H86" s="6"/>
    </row>
    <row r="87" spans="5:8" x14ac:dyDescent="0.25">
      <c r="E87" s="6"/>
      <c r="F87" s="6"/>
      <c r="G87" s="6"/>
      <c r="H87" s="6"/>
    </row>
    <row r="88" spans="5:8" x14ac:dyDescent="0.25">
      <c r="E88" s="6"/>
      <c r="F88" s="6"/>
      <c r="G88" s="6"/>
      <c r="H88" s="6"/>
    </row>
    <row r="89" spans="5:8" x14ac:dyDescent="0.25">
      <c r="E89" s="6"/>
      <c r="F89" s="6"/>
      <c r="G89" s="6"/>
      <c r="H89" s="6"/>
    </row>
    <row r="90" spans="5:8" x14ac:dyDescent="0.25">
      <c r="E90" s="6"/>
      <c r="F90" s="6"/>
      <c r="G90" s="6"/>
      <c r="H90" s="6"/>
    </row>
    <row r="91" spans="5:8" x14ac:dyDescent="0.25">
      <c r="E91" s="6"/>
      <c r="F91" s="6"/>
      <c r="G91" s="6"/>
      <c r="H91" s="6"/>
    </row>
    <row r="92" spans="5:8" x14ac:dyDescent="0.25">
      <c r="E92" s="6"/>
      <c r="F92" s="6"/>
      <c r="G92" s="6"/>
      <c r="H92" s="6"/>
    </row>
    <row r="93" spans="5:8" x14ac:dyDescent="0.25">
      <c r="E93" s="6"/>
      <c r="F93" s="6"/>
      <c r="G93" s="6"/>
      <c r="H93" s="6"/>
    </row>
    <row r="94" spans="5:8" x14ac:dyDescent="0.25">
      <c r="E94" s="6"/>
      <c r="F94" s="6"/>
      <c r="G94" s="6"/>
      <c r="H94" s="6"/>
    </row>
    <row r="95" spans="5:8" x14ac:dyDescent="0.25">
      <c r="E95" s="6"/>
      <c r="F95" s="6"/>
      <c r="G95" s="6"/>
      <c r="H95" s="6"/>
    </row>
    <row r="96" spans="5:8" x14ac:dyDescent="0.25">
      <c r="E96" s="6"/>
      <c r="F96" s="6"/>
      <c r="G96" s="6"/>
      <c r="H96" s="6"/>
    </row>
    <row r="97" spans="5:8" x14ac:dyDescent="0.25">
      <c r="E97" s="6"/>
      <c r="F97" s="6"/>
      <c r="G97" s="6"/>
      <c r="H97" s="6"/>
    </row>
    <row r="98" spans="5:8" x14ac:dyDescent="0.25">
      <c r="E98" s="6"/>
      <c r="F98" s="6"/>
      <c r="G98" s="6"/>
      <c r="H98" s="6"/>
    </row>
    <row r="99" spans="5:8" x14ac:dyDescent="0.25">
      <c r="E99" s="6"/>
      <c r="F99" s="6"/>
      <c r="G99" s="6"/>
      <c r="H99" s="6"/>
    </row>
    <row r="100" spans="5:8" x14ac:dyDescent="0.25">
      <c r="E100" s="6"/>
      <c r="F100" s="6"/>
      <c r="G100" s="6"/>
      <c r="H100" s="6"/>
    </row>
    <row r="101" spans="5:8" x14ac:dyDescent="0.25">
      <c r="E101" s="6"/>
      <c r="F101" s="6"/>
      <c r="G101" s="6"/>
      <c r="H101" s="6"/>
    </row>
    <row r="102" spans="5:8" x14ac:dyDescent="0.25">
      <c r="E102" s="6"/>
      <c r="F102" s="6"/>
      <c r="G102" s="6"/>
      <c r="H102" s="6"/>
    </row>
    <row r="103" spans="5:8" x14ac:dyDescent="0.25">
      <c r="E103" s="6"/>
      <c r="F103" s="6"/>
      <c r="G103" s="6"/>
      <c r="H103" s="6"/>
    </row>
    <row r="104" spans="5:8" x14ac:dyDescent="0.25">
      <c r="E104" s="6"/>
      <c r="F104" s="6"/>
      <c r="G104" s="6"/>
      <c r="H104" s="6"/>
    </row>
    <row r="105" spans="5:8" x14ac:dyDescent="0.25">
      <c r="E105" s="6"/>
      <c r="F105" s="6"/>
      <c r="G105" s="6"/>
      <c r="H105" s="6"/>
    </row>
    <row r="106" spans="5:8" x14ac:dyDescent="0.25">
      <c r="E106" s="6"/>
      <c r="F106" s="6"/>
      <c r="G106" s="6"/>
      <c r="H106" s="6"/>
    </row>
    <row r="107" spans="5:8" x14ac:dyDescent="0.25">
      <c r="E107" s="6"/>
      <c r="F107" s="6"/>
      <c r="G107" s="6"/>
      <c r="H107" s="6"/>
    </row>
    <row r="108" spans="5:8" x14ac:dyDescent="0.25">
      <c r="E108" s="6"/>
      <c r="F108" s="6"/>
      <c r="G108" s="6"/>
      <c r="H108" s="6"/>
    </row>
    <row r="109" spans="5:8" x14ac:dyDescent="0.25">
      <c r="E109" s="6"/>
      <c r="F109" s="6"/>
      <c r="G109" s="6"/>
      <c r="H109" s="6"/>
    </row>
    <row r="110" spans="5:8" x14ac:dyDescent="0.25">
      <c r="E110" s="6"/>
      <c r="F110" s="6"/>
      <c r="G110" s="6"/>
      <c r="H110" s="6"/>
    </row>
    <row r="111" spans="5:8" x14ac:dyDescent="0.25">
      <c r="E111" s="6"/>
      <c r="F111" s="6"/>
      <c r="G111" s="6"/>
      <c r="H111" s="6"/>
    </row>
    <row r="112" spans="5:8" x14ac:dyDescent="0.25">
      <c r="E112" s="6"/>
      <c r="F112" s="6"/>
      <c r="G112" s="6"/>
      <c r="H112" s="6"/>
    </row>
    <row r="113" spans="5:8" x14ac:dyDescent="0.25">
      <c r="E113" s="6"/>
      <c r="F113" s="6"/>
      <c r="G113" s="6"/>
      <c r="H113" s="6"/>
    </row>
    <row r="114" spans="5:8" x14ac:dyDescent="0.25">
      <c r="E114" s="6"/>
      <c r="F114" s="6"/>
      <c r="G114" s="6"/>
      <c r="H114" s="6"/>
    </row>
    <row r="115" spans="5:8" x14ac:dyDescent="0.25">
      <c r="E115" s="6"/>
      <c r="F115" s="6"/>
      <c r="G115" s="6"/>
      <c r="H115" s="6"/>
    </row>
    <row r="116" spans="5:8" x14ac:dyDescent="0.25">
      <c r="E116" s="6"/>
      <c r="F116" s="6"/>
      <c r="G116" s="6"/>
      <c r="H116" s="6"/>
    </row>
    <row r="117" spans="5:8" x14ac:dyDescent="0.25">
      <c r="E117" s="6"/>
      <c r="F117" s="6"/>
      <c r="G117" s="6"/>
      <c r="H117" s="6"/>
    </row>
    <row r="118" spans="5:8" x14ac:dyDescent="0.25">
      <c r="E118" s="6"/>
      <c r="F118" s="6"/>
      <c r="G118" s="6"/>
      <c r="H118" s="6"/>
    </row>
    <row r="119" spans="5:8" x14ac:dyDescent="0.25">
      <c r="E119" s="6"/>
      <c r="F119" s="6"/>
      <c r="G119" s="6"/>
      <c r="H119" s="6"/>
    </row>
    <row r="120" spans="5:8" x14ac:dyDescent="0.25">
      <c r="E120" s="6"/>
      <c r="F120" s="6"/>
      <c r="G120" s="6"/>
      <c r="H120" s="6"/>
    </row>
    <row r="121" spans="5:8" x14ac:dyDescent="0.25">
      <c r="E121" s="6"/>
      <c r="F121" s="6"/>
      <c r="G121" s="6"/>
      <c r="H121" s="6"/>
    </row>
    <row r="122" spans="5:8" x14ac:dyDescent="0.25">
      <c r="E122" s="6"/>
      <c r="F122" s="6"/>
      <c r="G122" s="6"/>
      <c r="H122" s="6"/>
    </row>
    <row r="123" spans="5:8" x14ac:dyDescent="0.25">
      <c r="E123" s="6"/>
      <c r="F123" s="6"/>
      <c r="G123" s="6"/>
      <c r="H123" s="6"/>
    </row>
    <row r="124" spans="5:8" x14ac:dyDescent="0.25">
      <c r="E124" s="6"/>
      <c r="F124" s="6"/>
      <c r="G124" s="6"/>
      <c r="H124" s="6"/>
    </row>
    <row r="125" spans="5:8" x14ac:dyDescent="0.25">
      <c r="E125" s="6"/>
      <c r="F125" s="6"/>
      <c r="G125" s="6"/>
      <c r="H125" s="6"/>
    </row>
    <row r="126" spans="5:8" x14ac:dyDescent="0.25">
      <c r="E126" s="6"/>
      <c r="F126" s="6"/>
      <c r="G126" s="6"/>
      <c r="H126" s="6"/>
    </row>
    <row r="127" spans="5:8" x14ac:dyDescent="0.25">
      <c r="E127" s="6"/>
      <c r="F127" s="6"/>
      <c r="G127" s="6"/>
      <c r="H127" s="6"/>
    </row>
    <row r="128" spans="5:8" x14ac:dyDescent="0.25">
      <c r="E128" s="6"/>
      <c r="F128" s="6"/>
      <c r="G128" s="6"/>
      <c r="H128" s="6"/>
    </row>
    <row r="129" spans="5:8" x14ac:dyDescent="0.25">
      <c r="E129" s="6"/>
      <c r="F129" s="6"/>
      <c r="G129" s="6"/>
      <c r="H129" s="6"/>
    </row>
    <row r="130" spans="5:8" x14ac:dyDescent="0.25">
      <c r="E130" s="6"/>
      <c r="F130" s="6"/>
      <c r="G130" s="6"/>
      <c r="H130" s="6"/>
    </row>
    <row r="131" spans="5:8" x14ac:dyDescent="0.25">
      <c r="E131" s="6"/>
      <c r="F131" s="6"/>
      <c r="G131" s="6"/>
      <c r="H131" s="6"/>
    </row>
    <row r="132" spans="5:8" x14ac:dyDescent="0.25">
      <c r="E132" s="6"/>
      <c r="F132" s="6"/>
      <c r="G132" s="6"/>
      <c r="H132" s="6"/>
    </row>
    <row r="133" spans="5:8" x14ac:dyDescent="0.25">
      <c r="E133" s="6"/>
      <c r="F133" s="6"/>
      <c r="G133" s="6"/>
      <c r="H133" s="6"/>
    </row>
    <row r="134" spans="5:8" x14ac:dyDescent="0.25">
      <c r="E134" s="6"/>
      <c r="F134" s="6"/>
      <c r="G134" s="6"/>
      <c r="H134" s="6"/>
    </row>
    <row r="135" spans="5:8" x14ac:dyDescent="0.25">
      <c r="E135" s="6"/>
      <c r="F135" s="6"/>
      <c r="G135" s="6"/>
      <c r="H135" s="6"/>
    </row>
    <row r="136" spans="5:8" x14ac:dyDescent="0.25">
      <c r="E136" s="6"/>
      <c r="F136" s="6"/>
      <c r="G136" s="6"/>
      <c r="H136" s="6"/>
    </row>
    <row r="137" spans="5:8" x14ac:dyDescent="0.25">
      <c r="E137" s="6"/>
      <c r="F137" s="6"/>
      <c r="G137" s="6"/>
      <c r="H137" s="6"/>
    </row>
    <row r="138" spans="5:8" x14ac:dyDescent="0.25">
      <c r="E138" s="6"/>
      <c r="F138" s="6"/>
      <c r="G138" s="6"/>
      <c r="H138" s="6"/>
    </row>
    <row r="139" spans="5:8" x14ac:dyDescent="0.25">
      <c r="E139" s="6"/>
      <c r="F139" s="6"/>
      <c r="G139" s="6"/>
      <c r="H139" s="6"/>
    </row>
    <row r="140" spans="5:8" x14ac:dyDescent="0.25">
      <c r="E140" s="6"/>
      <c r="F140" s="6"/>
      <c r="G140" s="6"/>
      <c r="H140" s="6"/>
    </row>
    <row r="141" spans="5:8" x14ac:dyDescent="0.25">
      <c r="E141" s="6"/>
      <c r="F141" s="6"/>
      <c r="G141" s="6"/>
      <c r="H141" s="6"/>
    </row>
    <row r="142" spans="5:8" x14ac:dyDescent="0.25">
      <c r="E142" s="6"/>
      <c r="F142" s="6"/>
      <c r="G142" s="6"/>
      <c r="H142" s="6"/>
    </row>
    <row r="143" spans="5:8" x14ac:dyDescent="0.25">
      <c r="E143" s="6"/>
      <c r="F143" s="6"/>
      <c r="G143" s="6"/>
      <c r="H143" s="6"/>
    </row>
    <row r="144" spans="5:8" x14ac:dyDescent="0.25">
      <c r="E144" s="6"/>
      <c r="F144" s="6"/>
      <c r="G144" s="6"/>
      <c r="H144" s="6"/>
    </row>
    <row r="145" spans="5:8" x14ac:dyDescent="0.25">
      <c r="E145" s="6"/>
      <c r="F145" s="6"/>
      <c r="G145" s="6"/>
      <c r="H145" s="6"/>
    </row>
    <row r="146" spans="5:8" x14ac:dyDescent="0.25">
      <c r="E146" s="6"/>
      <c r="F146" s="6"/>
      <c r="G146" s="6"/>
      <c r="H146" s="6"/>
    </row>
    <row r="147" spans="5:8" x14ac:dyDescent="0.25">
      <c r="E147" s="6"/>
      <c r="F147" s="6"/>
      <c r="G147" s="6"/>
      <c r="H147" s="6"/>
    </row>
    <row r="148" spans="5:8" x14ac:dyDescent="0.25">
      <c r="E148" s="6"/>
      <c r="F148" s="6"/>
      <c r="G148" s="6"/>
      <c r="H148" s="6"/>
    </row>
    <row r="149" spans="5:8" x14ac:dyDescent="0.25">
      <c r="E149" s="6"/>
      <c r="F149" s="6"/>
      <c r="G149" s="6"/>
      <c r="H149" s="6"/>
    </row>
    <row r="150" spans="5:8" x14ac:dyDescent="0.25">
      <c r="E150" s="6"/>
      <c r="F150" s="6"/>
      <c r="G150" s="6"/>
      <c r="H150" s="6"/>
    </row>
    <row r="151" spans="5:8" x14ac:dyDescent="0.25">
      <c r="E151" s="6"/>
      <c r="F151" s="6"/>
      <c r="G151" s="6"/>
      <c r="H151" s="6"/>
    </row>
    <row r="152" spans="5:8" x14ac:dyDescent="0.25">
      <c r="E152" s="6"/>
      <c r="F152" s="6"/>
      <c r="G152" s="6"/>
      <c r="H152" s="6"/>
    </row>
    <row r="153" spans="5:8" x14ac:dyDescent="0.25">
      <c r="E153" s="6"/>
      <c r="F153" s="6"/>
      <c r="G153" s="6"/>
      <c r="H153" s="6"/>
    </row>
    <row r="154" spans="5:8" x14ac:dyDescent="0.25">
      <c r="E154" s="6"/>
      <c r="F154" s="6"/>
      <c r="G154" s="6"/>
      <c r="H154" s="6"/>
    </row>
    <row r="155" spans="5:8" x14ac:dyDescent="0.25">
      <c r="E155" s="6"/>
      <c r="F155" s="6"/>
      <c r="G155" s="6"/>
      <c r="H155" s="6"/>
    </row>
    <row r="156" spans="5:8" x14ac:dyDescent="0.25">
      <c r="E156" s="6"/>
      <c r="F156" s="6"/>
      <c r="G156" s="6"/>
      <c r="H156" s="6"/>
    </row>
    <row r="157" spans="5:8" x14ac:dyDescent="0.25">
      <c r="E157" s="6"/>
      <c r="F157" s="6"/>
      <c r="G157" s="6"/>
      <c r="H157" s="6"/>
    </row>
    <row r="158" spans="5:8" x14ac:dyDescent="0.25">
      <c r="E158" s="6"/>
      <c r="F158" s="6"/>
      <c r="G158" s="6"/>
      <c r="H158" s="6"/>
    </row>
    <row r="159" spans="5:8" x14ac:dyDescent="0.25">
      <c r="E159" s="6"/>
      <c r="F159" s="6"/>
      <c r="G159" s="6"/>
      <c r="H159" s="6"/>
    </row>
    <row r="160" spans="5:8" x14ac:dyDescent="0.25">
      <c r="E160" s="6"/>
      <c r="F160" s="6"/>
      <c r="G160" s="6"/>
      <c r="H160" s="6"/>
    </row>
    <row r="161" spans="5:8" x14ac:dyDescent="0.25">
      <c r="E161" s="6"/>
      <c r="F161" s="6"/>
      <c r="G161" s="6"/>
      <c r="H161" s="6"/>
    </row>
    <row r="162" spans="5:8" x14ac:dyDescent="0.25">
      <c r="E162" s="6"/>
      <c r="F162" s="6"/>
      <c r="G162" s="6"/>
      <c r="H162" s="6"/>
    </row>
    <row r="163" spans="5:8" x14ac:dyDescent="0.25">
      <c r="E163" s="6"/>
      <c r="F163" s="6"/>
      <c r="G163" s="6"/>
      <c r="H163" s="6"/>
    </row>
    <row r="164" spans="5:8" x14ac:dyDescent="0.25">
      <c r="E164" s="6"/>
      <c r="F164" s="6"/>
      <c r="G164" s="6"/>
      <c r="H164" s="6"/>
    </row>
    <row r="165" spans="5:8" x14ac:dyDescent="0.25">
      <c r="E165" s="6"/>
      <c r="F165" s="6"/>
      <c r="G165" s="6"/>
      <c r="H165" s="6"/>
    </row>
    <row r="166" spans="5:8" x14ac:dyDescent="0.25">
      <c r="E166" s="6"/>
      <c r="F166" s="6"/>
      <c r="G166" s="6"/>
      <c r="H166" s="6"/>
    </row>
    <row r="167" spans="5:8" x14ac:dyDescent="0.25">
      <c r="E167" s="6"/>
      <c r="F167" s="6"/>
      <c r="G167" s="6"/>
      <c r="H167" s="6"/>
    </row>
    <row r="168" spans="5:8" x14ac:dyDescent="0.25">
      <c r="E168" s="6"/>
      <c r="F168" s="6"/>
      <c r="G168" s="6"/>
      <c r="H168" s="6"/>
    </row>
    <row r="169" spans="5:8" x14ac:dyDescent="0.25">
      <c r="E169" s="6"/>
      <c r="F169" s="6"/>
      <c r="G169" s="6"/>
      <c r="H169" s="6"/>
    </row>
    <row r="170" spans="5:8" x14ac:dyDescent="0.25">
      <c r="E170" s="6"/>
      <c r="F170" s="6"/>
      <c r="G170" s="6"/>
      <c r="H170" s="6"/>
    </row>
    <row r="171" spans="5:8" x14ac:dyDescent="0.25">
      <c r="E171" s="6"/>
      <c r="F171" s="6"/>
      <c r="G171" s="6"/>
      <c r="H171" s="6"/>
    </row>
    <row r="172" spans="5:8" x14ac:dyDescent="0.25">
      <c r="E172" s="6"/>
      <c r="F172" s="6"/>
      <c r="G172" s="6"/>
      <c r="H172" s="6"/>
    </row>
    <row r="173" spans="5:8" x14ac:dyDescent="0.25">
      <c r="E173" s="6"/>
      <c r="F173" s="6"/>
      <c r="G173" s="6"/>
      <c r="H173" s="6"/>
    </row>
    <row r="174" spans="5:8" x14ac:dyDescent="0.25">
      <c r="E174" s="6"/>
      <c r="F174" s="6"/>
      <c r="G174" s="6"/>
      <c r="H174" s="6"/>
    </row>
    <row r="175" spans="5:8" x14ac:dyDescent="0.25">
      <c r="E175" s="6"/>
      <c r="F175" s="6"/>
      <c r="G175" s="6"/>
      <c r="H175" s="6"/>
    </row>
    <row r="176" spans="5:8" x14ac:dyDescent="0.25">
      <c r="E176" s="6"/>
      <c r="F176" s="6"/>
      <c r="G176" s="6"/>
      <c r="H176" s="6"/>
    </row>
    <row r="177" spans="5:8" x14ac:dyDescent="0.25">
      <c r="E177" s="6"/>
      <c r="F177" s="6"/>
      <c r="G177" s="6"/>
      <c r="H177" s="6"/>
    </row>
    <row r="178" spans="5:8" x14ac:dyDescent="0.25">
      <c r="E178" s="6"/>
      <c r="F178" s="6"/>
      <c r="G178" s="6"/>
      <c r="H178" s="6"/>
    </row>
    <row r="179" spans="5:8" x14ac:dyDescent="0.25">
      <c r="E179" s="6"/>
      <c r="F179" s="6"/>
      <c r="G179" s="6"/>
      <c r="H179" s="6"/>
    </row>
    <row r="180" spans="5:8" x14ac:dyDescent="0.25">
      <c r="E180" s="6"/>
      <c r="F180" s="6"/>
      <c r="G180" s="6"/>
      <c r="H180" s="6"/>
    </row>
    <row r="181" spans="5:8" x14ac:dyDescent="0.25">
      <c r="E181" s="6"/>
      <c r="F181" s="6"/>
      <c r="G181" s="6"/>
      <c r="H181" s="6"/>
    </row>
    <row r="182" spans="5:8" x14ac:dyDescent="0.25">
      <c r="E182" s="6"/>
      <c r="F182" s="6"/>
      <c r="G182" s="6"/>
      <c r="H182" s="6"/>
    </row>
    <row r="183" spans="5:8" x14ac:dyDescent="0.25">
      <c r="E183" s="6"/>
      <c r="F183" s="6"/>
      <c r="G183" s="6"/>
      <c r="H183" s="6"/>
    </row>
    <row r="184" spans="5:8" x14ac:dyDescent="0.25">
      <c r="E184" s="6"/>
      <c r="F184" s="6"/>
      <c r="G184" s="6"/>
      <c r="H184" s="6"/>
    </row>
    <row r="185" spans="5:8" x14ac:dyDescent="0.25">
      <c r="E185" s="6"/>
      <c r="F185" s="6"/>
      <c r="G185" s="6"/>
      <c r="H185" s="6"/>
    </row>
    <row r="186" spans="5:8" x14ac:dyDescent="0.25">
      <c r="E186" s="6"/>
      <c r="F186" s="6"/>
      <c r="G186" s="6"/>
      <c r="H186" s="6"/>
    </row>
    <row r="187" spans="5:8" x14ac:dyDescent="0.25">
      <c r="E187" s="6"/>
      <c r="F187" s="6"/>
      <c r="G187" s="6"/>
      <c r="H187" s="6"/>
    </row>
    <row r="188" spans="5:8" x14ac:dyDescent="0.25">
      <c r="E188" s="6"/>
      <c r="F188" s="6"/>
      <c r="G188" s="6"/>
      <c r="H188" s="6"/>
    </row>
    <row r="189" spans="5:8" x14ac:dyDescent="0.25">
      <c r="E189" s="6"/>
      <c r="F189" s="6"/>
      <c r="G189" s="6"/>
      <c r="H189" s="6"/>
    </row>
    <row r="190" spans="5:8" x14ac:dyDescent="0.25">
      <c r="E190" s="6"/>
      <c r="F190" s="6"/>
      <c r="G190" s="6"/>
      <c r="H190" s="6"/>
    </row>
    <row r="191" spans="5:8" x14ac:dyDescent="0.25">
      <c r="E191" s="6"/>
      <c r="F191" s="6"/>
      <c r="G191" s="6"/>
      <c r="H191" s="6"/>
    </row>
    <row r="192" spans="5:8" x14ac:dyDescent="0.25">
      <c r="E192" s="6"/>
      <c r="F192" s="6"/>
      <c r="G192" s="6"/>
      <c r="H192" s="6"/>
    </row>
    <row r="193" spans="5:8" x14ac:dyDescent="0.25">
      <c r="E193" s="6"/>
      <c r="F193" s="6"/>
      <c r="G193" s="6"/>
      <c r="H193" s="6"/>
    </row>
    <row r="194" spans="5:8" x14ac:dyDescent="0.25">
      <c r="E194" s="6"/>
      <c r="F194" s="6"/>
      <c r="G194" s="6"/>
      <c r="H194" s="6"/>
    </row>
    <row r="195" spans="5:8" x14ac:dyDescent="0.25">
      <c r="E195" s="6"/>
      <c r="F195" s="6"/>
      <c r="G195" s="6"/>
      <c r="H195" s="6"/>
    </row>
    <row r="196" spans="5:8" x14ac:dyDescent="0.25">
      <c r="E196" s="6"/>
      <c r="F196" s="6"/>
      <c r="G196" s="6"/>
      <c r="H196" s="6"/>
    </row>
    <row r="197" spans="5:8" x14ac:dyDescent="0.25">
      <c r="E197" s="6"/>
      <c r="F197" s="6"/>
      <c r="G197" s="6"/>
      <c r="H197" s="6"/>
    </row>
    <row r="198" spans="5:8" x14ac:dyDescent="0.25">
      <c r="E198" s="6"/>
      <c r="F198" s="6"/>
      <c r="G198" s="6"/>
      <c r="H198" s="6"/>
    </row>
    <row r="199" spans="5:8" x14ac:dyDescent="0.25">
      <c r="E199" s="6"/>
      <c r="F199" s="6"/>
      <c r="G199" s="6"/>
      <c r="H199" s="6"/>
    </row>
    <row r="200" spans="5:8" x14ac:dyDescent="0.25">
      <c r="E200" s="6"/>
      <c r="F200" s="6"/>
      <c r="G200" s="6"/>
      <c r="H200" s="6"/>
    </row>
    <row r="201" spans="5:8" x14ac:dyDescent="0.25">
      <c r="E201" s="6"/>
      <c r="F201" s="6"/>
      <c r="G201" s="6"/>
      <c r="H201" s="6"/>
    </row>
    <row r="202" spans="5:8" x14ac:dyDescent="0.25">
      <c r="E202" s="6"/>
      <c r="F202" s="6"/>
      <c r="G202" s="6"/>
      <c r="H202" s="6"/>
    </row>
    <row r="203" spans="5:8" x14ac:dyDescent="0.25">
      <c r="E203" s="6"/>
      <c r="F203" s="6"/>
      <c r="G203" s="6"/>
      <c r="H203" s="6"/>
    </row>
    <row r="204" spans="5:8" x14ac:dyDescent="0.25">
      <c r="E204" s="6"/>
      <c r="F204" s="6"/>
      <c r="G204" s="6"/>
      <c r="H204" s="6"/>
    </row>
    <row r="205" spans="5:8" x14ac:dyDescent="0.25">
      <c r="E205" s="6"/>
      <c r="F205" s="6"/>
      <c r="G205" s="6"/>
      <c r="H205" s="6"/>
    </row>
    <row r="206" spans="5:8" x14ac:dyDescent="0.25">
      <c r="E206" s="6"/>
      <c r="F206" s="6"/>
      <c r="G206" s="6"/>
      <c r="H206" s="6"/>
    </row>
    <row r="207" spans="5:8" x14ac:dyDescent="0.25">
      <c r="E207" s="6"/>
      <c r="F207" s="6"/>
      <c r="G207" s="6"/>
      <c r="H207" s="6"/>
    </row>
    <row r="208" spans="5:8" x14ac:dyDescent="0.25">
      <c r="E208" s="6"/>
      <c r="F208" s="6"/>
      <c r="G208" s="6"/>
      <c r="H208" s="6"/>
    </row>
    <row r="209" spans="5:8" x14ac:dyDescent="0.25">
      <c r="E209" s="6"/>
      <c r="F209" s="6"/>
      <c r="G209" s="6"/>
      <c r="H209" s="6"/>
    </row>
    <row r="210" spans="5:8" x14ac:dyDescent="0.25">
      <c r="E210" s="6"/>
      <c r="F210" s="6"/>
      <c r="G210" s="6"/>
      <c r="H210" s="6"/>
    </row>
    <row r="211" spans="5:8" x14ac:dyDescent="0.25">
      <c r="E211" s="6"/>
      <c r="F211" s="6"/>
      <c r="G211" s="6"/>
      <c r="H211" s="6"/>
    </row>
    <row r="212" spans="5:8" x14ac:dyDescent="0.25">
      <c r="E212" s="6"/>
      <c r="F212" s="6"/>
      <c r="G212" s="6"/>
      <c r="H212" s="6"/>
    </row>
    <row r="213" spans="5:8" x14ac:dyDescent="0.25">
      <c r="E213" s="6"/>
      <c r="F213" s="6"/>
      <c r="G213" s="6"/>
      <c r="H213" s="6"/>
    </row>
    <row r="214" spans="5:8" x14ac:dyDescent="0.25">
      <c r="E214" s="6"/>
      <c r="F214" s="6"/>
      <c r="G214" s="6"/>
      <c r="H214" s="6"/>
    </row>
    <row r="215" spans="5:8" x14ac:dyDescent="0.25">
      <c r="E215" s="6"/>
      <c r="F215" s="6"/>
      <c r="G215" s="6"/>
      <c r="H215" s="6"/>
    </row>
    <row r="216" spans="5:8" x14ac:dyDescent="0.25">
      <c r="E216" s="6"/>
      <c r="F216" s="6"/>
      <c r="G216" s="6"/>
      <c r="H216" s="6"/>
    </row>
    <row r="217" spans="5:8" x14ac:dyDescent="0.25">
      <c r="E217" s="6"/>
      <c r="F217" s="6"/>
      <c r="G217" s="6"/>
      <c r="H217" s="6"/>
    </row>
    <row r="218" spans="5:8" x14ac:dyDescent="0.25">
      <c r="E218" s="6"/>
      <c r="F218" s="6"/>
      <c r="G218" s="6"/>
      <c r="H218" s="6"/>
    </row>
    <row r="219" spans="5:8" x14ac:dyDescent="0.25">
      <c r="E219" s="6"/>
      <c r="F219" s="6"/>
      <c r="G219" s="6"/>
      <c r="H219" s="6"/>
    </row>
    <row r="220" spans="5:8" x14ac:dyDescent="0.25">
      <c r="E220" s="6"/>
      <c r="F220" s="6"/>
      <c r="G220" s="6"/>
      <c r="H220" s="6"/>
    </row>
    <row r="221" spans="5:8" x14ac:dyDescent="0.25">
      <c r="E221" s="6"/>
      <c r="F221" s="6"/>
      <c r="G221" s="6"/>
      <c r="H221" s="6"/>
    </row>
    <row r="222" spans="5:8" x14ac:dyDescent="0.25">
      <c r="E222" s="6"/>
      <c r="F222" s="6"/>
      <c r="G222" s="6"/>
      <c r="H222" s="6"/>
    </row>
    <row r="223" spans="5:8" x14ac:dyDescent="0.25">
      <c r="E223" s="6"/>
      <c r="F223" s="6"/>
      <c r="G223" s="6"/>
      <c r="H223" s="6"/>
    </row>
    <row r="224" spans="5:8" x14ac:dyDescent="0.25">
      <c r="E224" s="6"/>
      <c r="F224" s="6"/>
      <c r="G224" s="6"/>
      <c r="H224" s="6"/>
    </row>
    <row r="225" spans="5:8" x14ac:dyDescent="0.25">
      <c r="E225" s="6"/>
      <c r="F225" s="6"/>
      <c r="G225" s="6"/>
      <c r="H225" s="6"/>
    </row>
    <row r="226" spans="5:8" x14ac:dyDescent="0.25">
      <c r="E226" s="6"/>
      <c r="F226" s="6"/>
      <c r="G226" s="6"/>
      <c r="H226" s="6"/>
    </row>
    <row r="227" spans="5:8" x14ac:dyDescent="0.25">
      <c r="E227" s="6"/>
      <c r="F227" s="6"/>
      <c r="G227" s="6"/>
      <c r="H227" s="6"/>
    </row>
    <row r="228" spans="5:8" x14ac:dyDescent="0.25">
      <c r="E228" s="6"/>
      <c r="F228" s="6"/>
      <c r="G228" s="6"/>
      <c r="H228" s="6"/>
    </row>
    <row r="229" spans="5:8" x14ac:dyDescent="0.25">
      <c r="E229" s="6"/>
      <c r="F229" s="6"/>
      <c r="G229" s="6"/>
      <c r="H229" s="6"/>
    </row>
    <row r="230" spans="5:8" x14ac:dyDescent="0.25">
      <c r="E230" s="6"/>
      <c r="F230" s="6"/>
      <c r="G230" s="6"/>
      <c r="H230" s="6"/>
    </row>
    <row r="231" spans="5:8" x14ac:dyDescent="0.25">
      <c r="E231" s="6"/>
      <c r="F231" s="6"/>
      <c r="G231" s="6"/>
      <c r="H231" s="6"/>
    </row>
    <row r="232" spans="5:8" x14ac:dyDescent="0.25">
      <c r="E232" s="6"/>
      <c r="F232" s="6"/>
      <c r="G232" s="6"/>
      <c r="H232" s="6"/>
    </row>
    <row r="233" spans="5:8" x14ac:dyDescent="0.25">
      <c r="E233" s="6"/>
      <c r="F233" s="6"/>
      <c r="G233" s="6"/>
      <c r="H233" s="6"/>
    </row>
    <row r="234" spans="5:8" x14ac:dyDescent="0.25">
      <c r="E234" s="6"/>
      <c r="F234" s="6"/>
      <c r="G234" s="6"/>
      <c r="H234" s="6"/>
    </row>
    <row r="235" spans="5:8" x14ac:dyDescent="0.25">
      <c r="E235" s="6"/>
      <c r="F235" s="6"/>
      <c r="G235" s="6"/>
      <c r="H235" s="6"/>
    </row>
    <row r="236" spans="5:8" x14ac:dyDescent="0.25">
      <c r="E236" s="6"/>
      <c r="F236" s="6"/>
      <c r="G236" s="6"/>
      <c r="H236" s="6"/>
    </row>
    <row r="237" spans="5:8" x14ac:dyDescent="0.25">
      <c r="E237" s="6"/>
      <c r="F237" s="6"/>
      <c r="G237" s="6"/>
      <c r="H237" s="6"/>
    </row>
    <row r="238" spans="5:8" x14ac:dyDescent="0.25">
      <c r="E238" s="6"/>
      <c r="F238" s="6"/>
      <c r="G238" s="6"/>
      <c r="H238" s="6"/>
    </row>
    <row r="239" spans="5:8" x14ac:dyDescent="0.25">
      <c r="E239" s="6"/>
      <c r="F239" s="6"/>
      <c r="G239" s="6"/>
      <c r="H239" s="6"/>
    </row>
    <row r="240" spans="5:8" x14ac:dyDescent="0.25">
      <c r="E240" s="6"/>
      <c r="F240" s="6"/>
      <c r="G240" s="6"/>
      <c r="H240" s="6"/>
    </row>
    <row r="241" spans="5:8" x14ac:dyDescent="0.25">
      <c r="E241" s="6"/>
      <c r="F241" s="6"/>
      <c r="G241" s="6"/>
      <c r="H241" s="6"/>
    </row>
    <row r="242" spans="5:8" x14ac:dyDescent="0.25">
      <c r="E242" s="6"/>
      <c r="F242" s="6"/>
      <c r="G242" s="6"/>
      <c r="H242" s="6"/>
    </row>
    <row r="243" spans="5:8" x14ac:dyDescent="0.25">
      <c r="E243" s="6"/>
      <c r="F243" s="6"/>
      <c r="G243" s="6"/>
      <c r="H243" s="6"/>
    </row>
    <row r="244" spans="5:8" x14ac:dyDescent="0.25">
      <c r="E244" s="6"/>
      <c r="F244" s="6"/>
      <c r="G244" s="6"/>
      <c r="H244" s="6"/>
    </row>
    <row r="245" spans="5:8" x14ac:dyDescent="0.25">
      <c r="E245" s="6"/>
      <c r="F245" s="6"/>
      <c r="G245" s="6"/>
      <c r="H245" s="6"/>
    </row>
    <row r="246" spans="5:8" x14ac:dyDescent="0.25">
      <c r="E246" s="6"/>
      <c r="F246" s="6"/>
      <c r="G246" s="6"/>
      <c r="H246" s="6"/>
    </row>
    <row r="247" spans="5:8" x14ac:dyDescent="0.25">
      <c r="E247" s="6"/>
      <c r="F247" s="6"/>
      <c r="G247" s="6"/>
      <c r="H247" s="6"/>
    </row>
    <row r="248" spans="5:8" x14ac:dyDescent="0.25">
      <c r="E248" s="6"/>
      <c r="F248" s="6"/>
      <c r="G248" s="6"/>
      <c r="H248" s="6"/>
    </row>
    <row r="249" spans="5:8" x14ac:dyDescent="0.25">
      <c r="E249" s="6"/>
      <c r="F249" s="6"/>
      <c r="G249" s="6"/>
      <c r="H249" s="6"/>
    </row>
    <row r="250" spans="5:8" x14ac:dyDescent="0.25">
      <c r="E250" s="6"/>
      <c r="F250" s="6"/>
      <c r="G250" s="6"/>
      <c r="H250" s="6"/>
    </row>
    <row r="251" spans="5:8" x14ac:dyDescent="0.25">
      <c r="E251" s="6"/>
      <c r="F251" s="6"/>
      <c r="G251" s="6"/>
      <c r="H251" s="6"/>
    </row>
    <row r="252" spans="5:8" x14ac:dyDescent="0.25">
      <c r="E252" s="6"/>
      <c r="F252" s="6"/>
      <c r="G252" s="6"/>
      <c r="H252" s="6"/>
    </row>
    <row r="253" spans="5:8" x14ac:dyDescent="0.25">
      <c r="E253" s="6"/>
      <c r="F253" s="6"/>
      <c r="G253" s="6"/>
      <c r="H253" s="6"/>
    </row>
    <row r="254" spans="5:8" x14ac:dyDescent="0.25">
      <c r="E254" s="6"/>
      <c r="F254" s="6"/>
      <c r="G254" s="6"/>
      <c r="H254" s="6"/>
    </row>
    <row r="255" spans="5:8" x14ac:dyDescent="0.25">
      <c r="E255" s="6"/>
      <c r="F255" s="6"/>
      <c r="G255" s="6"/>
      <c r="H255" s="6"/>
    </row>
    <row r="256" spans="5:8" x14ac:dyDescent="0.25">
      <c r="E256" s="6"/>
      <c r="F256" s="6"/>
      <c r="G256" s="6"/>
      <c r="H256" s="6"/>
    </row>
    <row r="257" spans="5:8" x14ac:dyDescent="0.25">
      <c r="E257" s="6"/>
      <c r="F257" s="6"/>
      <c r="G257" s="6"/>
      <c r="H257" s="6"/>
    </row>
    <row r="258" spans="5:8" x14ac:dyDescent="0.25">
      <c r="E258" s="6"/>
      <c r="F258" s="6"/>
      <c r="G258" s="6"/>
      <c r="H258" s="6"/>
    </row>
    <row r="259" spans="5:8" x14ac:dyDescent="0.25">
      <c r="E259" s="6"/>
      <c r="F259" s="6"/>
      <c r="G259" s="6"/>
      <c r="H259" s="6"/>
    </row>
    <row r="260" spans="5:8" x14ac:dyDescent="0.25">
      <c r="E260" s="6"/>
      <c r="F260" s="6"/>
      <c r="G260" s="6"/>
      <c r="H260" s="6"/>
    </row>
    <row r="261" spans="5:8" x14ac:dyDescent="0.25">
      <c r="E261" s="6"/>
      <c r="F261" s="6"/>
      <c r="G261" s="6"/>
      <c r="H261" s="6"/>
    </row>
    <row r="262" spans="5:8" x14ac:dyDescent="0.25">
      <c r="E262" s="6"/>
      <c r="F262" s="6"/>
      <c r="G262" s="6"/>
      <c r="H262" s="6"/>
    </row>
    <row r="263" spans="5:8" x14ac:dyDescent="0.25">
      <c r="E263" s="6"/>
      <c r="F263" s="6"/>
      <c r="G263" s="6"/>
      <c r="H263" s="6"/>
    </row>
    <row r="264" spans="5:8" x14ac:dyDescent="0.25">
      <c r="E264" s="6"/>
      <c r="F264" s="6"/>
      <c r="G264" s="6"/>
      <c r="H264" s="6"/>
    </row>
    <row r="265" spans="5:8" x14ac:dyDescent="0.25">
      <c r="E265" s="6"/>
      <c r="F265" s="6"/>
      <c r="G265" s="6"/>
      <c r="H265" s="6"/>
    </row>
    <row r="266" spans="5:8" x14ac:dyDescent="0.25">
      <c r="E266" s="6"/>
      <c r="F266" s="6"/>
      <c r="G266" s="6"/>
      <c r="H266" s="6"/>
    </row>
    <row r="267" spans="5:8" x14ac:dyDescent="0.25">
      <c r="E267" s="6"/>
      <c r="F267" s="6"/>
      <c r="G267" s="6"/>
      <c r="H267" s="6"/>
    </row>
    <row r="268" spans="5:8" x14ac:dyDescent="0.25">
      <c r="E268" s="6"/>
      <c r="F268" s="6"/>
      <c r="G268" s="6"/>
      <c r="H268" s="6"/>
    </row>
    <row r="269" spans="5:8" x14ac:dyDescent="0.25">
      <c r="E269" s="6"/>
      <c r="F269" s="6"/>
      <c r="G269" s="6"/>
      <c r="H269" s="6"/>
    </row>
    <row r="270" spans="5:8" x14ac:dyDescent="0.25">
      <c r="E270" s="6"/>
      <c r="F270" s="6"/>
      <c r="G270" s="6"/>
      <c r="H270" s="6"/>
    </row>
    <row r="271" spans="5:8" x14ac:dyDescent="0.25">
      <c r="E271" s="6"/>
      <c r="F271" s="6"/>
      <c r="G271" s="6"/>
      <c r="H271" s="6"/>
    </row>
    <row r="272" spans="5:8" x14ac:dyDescent="0.25">
      <c r="E272" s="6"/>
      <c r="F272" s="6"/>
      <c r="G272" s="6"/>
      <c r="H272" s="6"/>
    </row>
    <row r="273" spans="5:8" x14ac:dyDescent="0.25">
      <c r="E273" s="6"/>
      <c r="F273" s="6"/>
      <c r="G273" s="6"/>
      <c r="H273" s="6"/>
    </row>
    <row r="274" spans="5:8" x14ac:dyDescent="0.25">
      <c r="E274" s="6"/>
      <c r="F274" s="6"/>
      <c r="G274" s="6"/>
      <c r="H274" s="6"/>
    </row>
    <row r="275" spans="5:8" x14ac:dyDescent="0.25">
      <c r="E275" s="6"/>
      <c r="F275" s="6"/>
      <c r="G275" s="6"/>
      <c r="H275" s="6"/>
    </row>
    <row r="276" spans="5:8" x14ac:dyDescent="0.25">
      <c r="E276" s="6"/>
      <c r="F276" s="6"/>
      <c r="G276" s="6"/>
      <c r="H276" s="6"/>
    </row>
    <row r="277" spans="5:8" x14ac:dyDescent="0.25">
      <c r="E277" s="6"/>
      <c r="F277" s="6"/>
      <c r="G277" s="6"/>
      <c r="H277" s="6"/>
    </row>
    <row r="278" spans="5:8" x14ac:dyDescent="0.25">
      <c r="E278" s="6"/>
      <c r="F278" s="6"/>
      <c r="G278" s="6"/>
      <c r="H278" s="6"/>
    </row>
    <row r="279" spans="5:8" x14ac:dyDescent="0.25">
      <c r="E279" s="6"/>
      <c r="F279" s="6"/>
      <c r="G279" s="6"/>
      <c r="H279" s="6"/>
    </row>
    <row r="280" spans="5:8" x14ac:dyDescent="0.25">
      <c r="E280" s="6"/>
      <c r="F280" s="6"/>
      <c r="G280" s="6"/>
      <c r="H280" s="6"/>
    </row>
    <row r="281" spans="5:8" x14ac:dyDescent="0.25">
      <c r="E281" s="6"/>
      <c r="F281" s="6"/>
      <c r="G281" s="6"/>
      <c r="H281" s="6"/>
    </row>
    <row r="282" spans="5:8" x14ac:dyDescent="0.25">
      <c r="E282" s="6"/>
      <c r="F282" s="6"/>
      <c r="G282" s="6"/>
      <c r="H282" s="6"/>
    </row>
    <row r="283" spans="5:8" x14ac:dyDescent="0.25">
      <c r="E283" s="6"/>
      <c r="F283" s="6"/>
      <c r="G283" s="6"/>
      <c r="H283" s="6"/>
    </row>
    <row r="284" spans="5:8" x14ac:dyDescent="0.25">
      <c r="E284" s="6"/>
      <c r="F284" s="6"/>
      <c r="G284" s="6"/>
      <c r="H284" s="6"/>
    </row>
    <row r="285" spans="5:8" x14ac:dyDescent="0.25">
      <c r="E285" s="6"/>
      <c r="F285" s="6"/>
      <c r="G285" s="6"/>
      <c r="H285" s="6"/>
    </row>
    <row r="286" spans="5:8" x14ac:dyDescent="0.25">
      <c r="E286" s="6"/>
      <c r="F286" s="6"/>
      <c r="G286" s="6"/>
      <c r="H286" s="6"/>
    </row>
    <row r="287" spans="5:8" x14ac:dyDescent="0.25">
      <c r="E287" s="6"/>
      <c r="F287" s="6"/>
      <c r="G287" s="6"/>
      <c r="H287" s="6"/>
    </row>
    <row r="288" spans="5:8" x14ac:dyDescent="0.25">
      <c r="E288" s="6"/>
      <c r="F288" s="6"/>
      <c r="G288" s="6"/>
      <c r="H288" s="6"/>
    </row>
    <row r="289" spans="5:8" x14ac:dyDescent="0.25">
      <c r="E289" s="6"/>
      <c r="F289" s="6"/>
      <c r="G289" s="6"/>
      <c r="H289" s="6"/>
    </row>
    <row r="290" spans="5:8" x14ac:dyDescent="0.25">
      <c r="E290" s="6"/>
      <c r="F290" s="6"/>
      <c r="G290" s="6"/>
      <c r="H290" s="6"/>
    </row>
    <row r="291" spans="5:8" x14ac:dyDescent="0.25">
      <c r="E291" s="6"/>
      <c r="F291" s="6"/>
      <c r="G291" s="6"/>
      <c r="H291" s="6"/>
    </row>
    <row r="292" spans="5:8" x14ac:dyDescent="0.25">
      <c r="E292" s="6"/>
      <c r="F292" s="6"/>
      <c r="G292" s="6"/>
      <c r="H292" s="6"/>
    </row>
    <row r="293" spans="5:8" x14ac:dyDescent="0.25">
      <c r="E293" s="6"/>
      <c r="F293" s="6"/>
      <c r="G293" s="6"/>
      <c r="H293" s="6"/>
    </row>
    <row r="294" spans="5:8" x14ac:dyDescent="0.25">
      <c r="E294" s="6"/>
      <c r="F294" s="6"/>
      <c r="G294" s="6"/>
      <c r="H294" s="6"/>
    </row>
    <row r="295" spans="5:8" x14ac:dyDescent="0.25">
      <c r="E295" s="6"/>
      <c r="F295" s="6"/>
      <c r="G295" s="6"/>
      <c r="H295" s="6"/>
    </row>
    <row r="296" spans="5:8" x14ac:dyDescent="0.25">
      <c r="E296" s="6"/>
      <c r="F296" s="6"/>
      <c r="G296" s="6"/>
      <c r="H296" s="6"/>
    </row>
    <row r="297" spans="5:8" x14ac:dyDescent="0.25">
      <c r="E297" s="6"/>
      <c r="F297" s="6"/>
      <c r="G297" s="6"/>
      <c r="H297" s="6"/>
    </row>
    <row r="298" spans="5:8" x14ac:dyDescent="0.25">
      <c r="E298" s="6"/>
      <c r="F298" s="6"/>
      <c r="G298" s="6"/>
      <c r="H298" s="6"/>
    </row>
    <row r="299" spans="5:8" x14ac:dyDescent="0.25">
      <c r="E299" s="6"/>
      <c r="F299" s="6"/>
      <c r="G299" s="6"/>
      <c r="H299" s="6"/>
    </row>
    <row r="300" spans="5:8" x14ac:dyDescent="0.25">
      <c r="E300" s="6"/>
      <c r="F300" s="6"/>
      <c r="G300" s="6"/>
      <c r="H300" s="6"/>
    </row>
    <row r="301" spans="5:8" x14ac:dyDescent="0.25">
      <c r="E301" s="6"/>
      <c r="F301" s="6"/>
      <c r="G301" s="6"/>
      <c r="H301" s="6"/>
    </row>
    <row r="302" spans="5:8" x14ac:dyDescent="0.25">
      <c r="E302" s="6"/>
      <c r="F302" s="6"/>
      <c r="G302" s="6"/>
      <c r="H302" s="6"/>
    </row>
    <row r="303" spans="5:8" x14ac:dyDescent="0.25">
      <c r="E303" s="6"/>
      <c r="F303" s="6"/>
      <c r="G303" s="6"/>
      <c r="H303" s="6"/>
    </row>
    <row r="304" spans="5:8" x14ac:dyDescent="0.25">
      <c r="E304" s="6"/>
      <c r="F304" s="6"/>
      <c r="G304" s="6"/>
      <c r="H304" s="6"/>
    </row>
    <row r="305" spans="5:8" x14ac:dyDescent="0.25">
      <c r="E305" s="6"/>
      <c r="F305" s="6"/>
      <c r="G305" s="6"/>
      <c r="H305" s="6"/>
    </row>
    <row r="306" spans="5:8" x14ac:dyDescent="0.25">
      <c r="E306" s="6"/>
      <c r="F306" s="6"/>
      <c r="G306" s="6"/>
      <c r="H306" s="6"/>
    </row>
    <row r="307" spans="5:8" x14ac:dyDescent="0.25">
      <c r="E307" s="6"/>
      <c r="F307" s="6"/>
      <c r="G307" s="6"/>
      <c r="H307" s="6"/>
    </row>
    <row r="308" spans="5:8" x14ac:dyDescent="0.25">
      <c r="E308" s="6"/>
      <c r="F308" s="6"/>
      <c r="G308" s="6"/>
      <c r="H308" s="6"/>
    </row>
    <row r="309" spans="5:8" x14ac:dyDescent="0.25">
      <c r="E309" s="6"/>
      <c r="F309" s="6"/>
      <c r="G309" s="6"/>
      <c r="H309" s="6"/>
    </row>
    <row r="310" spans="5:8" x14ac:dyDescent="0.25">
      <c r="E310" s="6"/>
      <c r="F310" s="6"/>
      <c r="G310" s="6"/>
      <c r="H310" s="6"/>
    </row>
    <row r="311" spans="5:8" x14ac:dyDescent="0.25">
      <c r="E311" s="6"/>
      <c r="F311" s="6"/>
      <c r="G311" s="6"/>
      <c r="H311" s="6"/>
    </row>
    <row r="312" spans="5:8" x14ac:dyDescent="0.25">
      <c r="E312" s="6"/>
      <c r="F312" s="6"/>
      <c r="G312" s="6"/>
      <c r="H312" s="6"/>
    </row>
    <row r="313" spans="5:8" x14ac:dyDescent="0.25">
      <c r="E313" s="6"/>
      <c r="F313" s="6"/>
      <c r="G313" s="6"/>
      <c r="H313" s="6"/>
    </row>
    <row r="314" spans="5:8" x14ac:dyDescent="0.25">
      <c r="E314" s="6"/>
      <c r="F314" s="6"/>
      <c r="G314" s="6"/>
      <c r="H314" s="6"/>
    </row>
    <row r="315" spans="5:8" x14ac:dyDescent="0.25">
      <c r="E315" s="6"/>
      <c r="F315" s="6"/>
      <c r="G315" s="6"/>
      <c r="H315" s="6"/>
    </row>
    <row r="316" spans="5:8" x14ac:dyDescent="0.25">
      <c r="E316" s="6"/>
      <c r="F316" s="6"/>
      <c r="G316" s="6"/>
      <c r="H316" s="6"/>
    </row>
    <row r="317" spans="5:8" x14ac:dyDescent="0.25">
      <c r="E317" s="6"/>
      <c r="F317" s="6"/>
      <c r="G317" s="6"/>
      <c r="H317" s="6"/>
    </row>
    <row r="318" spans="5:8" x14ac:dyDescent="0.25">
      <c r="E318" s="6"/>
      <c r="F318" s="6"/>
      <c r="G318" s="6"/>
      <c r="H318" s="6"/>
    </row>
    <row r="319" spans="5:8" x14ac:dyDescent="0.25">
      <c r="E319" s="6"/>
      <c r="F319" s="6"/>
      <c r="G319" s="6"/>
      <c r="H319" s="6"/>
    </row>
    <row r="320" spans="5:8" x14ac:dyDescent="0.25">
      <c r="E320" s="6"/>
      <c r="F320" s="6"/>
      <c r="G320" s="6"/>
      <c r="H320" s="6"/>
    </row>
    <row r="321" spans="5:8" x14ac:dyDescent="0.25">
      <c r="E321" s="6"/>
      <c r="F321" s="6"/>
      <c r="G321" s="6"/>
      <c r="H321" s="6"/>
    </row>
    <row r="322" spans="5:8" x14ac:dyDescent="0.25">
      <c r="E322" s="6"/>
      <c r="F322" s="6"/>
      <c r="G322" s="6"/>
      <c r="H322" s="6"/>
    </row>
    <row r="323" spans="5:8" x14ac:dyDescent="0.25">
      <c r="E323" s="6"/>
      <c r="F323" s="6"/>
      <c r="G323" s="6"/>
      <c r="H323" s="6"/>
    </row>
    <row r="324" spans="5:8" x14ac:dyDescent="0.25">
      <c r="E324" s="6"/>
      <c r="F324" s="6"/>
      <c r="G324" s="6"/>
      <c r="H324" s="6"/>
    </row>
    <row r="325" spans="5:8" x14ac:dyDescent="0.25">
      <c r="E325" s="6"/>
      <c r="F325" s="6"/>
      <c r="G325" s="6"/>
      <c r="H325" s="6"/>
    </row>
    <row r="326" spans="5:8" x14ac:dyDescent="0.25">
      <c r="E326" s="6"/>
      <c r="F326" s="6"/>
      <c r="G326" s="6"/>
      <c r="H326" s="6"/>
    </row>
    <row r="327" spans="5:8" x14ac:dyDescent="0.25">
      <c r="E327" s="6"/>
      <c r="F327" s="6"/>
      <c r="G327" s="6"/>
      <c r="H327" s="6"/>
    </row>
    <row r="328" spans="5:8" x14ac:dyDescent="0.25">
      <c r="E328" s="6"/>
      <c r="F328" s="6"/>
      <c r="G328" s="6"/>
      <c r="H328" s="6"/>
    </row>
    <row r="329" spans="5:8" x14ac:dyDescent="0.25">
      <c r="E329" s="6"/>
      <c r="F329" s="6"/>
      <c r="G329" s="6"/>
      <c r="H329" s="6"/>
    </row>
    <row r="330" spans="5:8" x14ac:dyDescent="0.25">
      <c r="E330" s="6"/>
      <c r="F330" s="6"/>
      <c r="G330" s="6"/>
      <c r="H330" s="6"/>
    </row>
    <row r="331" spans="5:8" x14ac:dyDescent="0.25">
      <c r="E331" s="6"/>
      <c r="F331" s="6"/>
      <c r="G331" s="6"/>
      <c r="H331" s="6"/>
    </row>
    <row r="332" spans="5:8" x14ac:dyDescent="0.25">
      <c r="E332" s="6"/>
      <c r="F332" s="6"/>
      <c r="G332" s="6"/>
      <c r="H332" s="6"/>
    </row>
    <row r="333" spans="5:8" x14ac:dyDescent="0.25">
      <c r="E333" s="6"/>
      <c r="F333" s="6"/>
      <c r="G333" s="6"/>
      <c r="H333" s="6"/>
    </row>
    <row r="334" spans="5:8" x14ac:dyDescent="0.25">
      <c r="E334" s="6"/>
      <c r="F334" s="6"/>
      <c r="G334" s="6"/>
      <c r="H334" s="6"/>
    </row>
    <row r="335" spans="5:8" x14ac:dyDescent="0.25">
      <c r="E335" s="6"/>
      <c r="F335" s="6"/>
      <c r="G335" s="6"/>
      <c r="H335" s="6"/>
    </row>
    <row r="336" spans="5:8" x14ac:dyDescent="0.25">
      <c r="E336" s="6"/>
      <c r="F336" s="6"/>
      <c r="G336" s="6"/>
      <c r="H336" s="6"/>
    </row>
    <row r="337" spans="5:8" x14ac:dyDescent="0.25">
      <c r="E337" s="6"/>
      <c r="F337" s="6"/>
      <c r="G337" s="6"/>
      <c r="H337" s="6"/>
    </row>
    <row r="338" spans="5:8" x14ac:dyDescent="0.25">
      <c r="E338" s="6"/>
      <c r="F338" s="6"/>
      <c r="G338" s="6"/>
      <c r="H338" s="6"/>
    </row>
    <row r="339" spans="5:8" x14ac:dyDescent="0.25">
      <c r="E339" s="6"/>
      <c r="F339" s="6"/>
      <c r="G339" s="6"/>
      <c r="H339" s="6"/>
    </row>
    <row r="340" spans="5:8" x14ac:dyDescent="0.25">
      <c r="E340" s="6"/>
      <c r="F340" s="6"/>
      <c r="G340" s="6"/>
      <c r="H340" s="6"/>
    </row>
    <row r="341" spans="5:8" x14ac:dyDescent="0.25">
      <c r="E341" s="6"/>
      <c r="F341" s="6"/>
      <c r="G341" s="6"/>
      <c r="H341" s="6"/>
    </row>
    <row r="342" spans="5:8" x14ac:dyDescent="0.25">
      <c r="E342" s="6"/>
      <c r="F342" s="6"/>
      <c r="G342" s="6"/>
      <c r="H342" s="6"/>
    </row>
    <row r="343" spans="5:8" x14ac:dyDescent="0.25">
      <c r="E343" s="6"/>
      <c r="F343" s="6"/>
      <c r="G343" s="6"/>
      <c r="H343" s="6"/>
    </row>
    <row r="344" spans="5:8" x14ac:dyDescent="0.25">
      <c r="E344" s="6"/>
      <c r="F344" s="6"/>
      <c r="G344" s="6"/>
      <c r="H344" s="6"/>
    </row>
    <row r="345" spans="5:8" x14ac:dyDescent="0.25">
      <c r="E345" s="6"/>
      <c r="F345" s="6"/>
      <c r="G345" s="6"/>
      <c r="H345" s="6"/>
    </row>
    <row r="346" spans="5:8" x14ac:dyDescent="0.25">
      <c r="E346" s="6"/>
      <c r="F346" s="6"/>
      <c r="G346" s="6"/>
      <c r="H346" s="6"/>
    </row>
    <row r="347" spans="5:8" x14ac:dyDescent="0.25">
      <c r="E347" s="6"/>
      <c r="F347" s="6"/>
      <c r="G347" s="6"/>
      <c r="H347" s="6"/>
    </row>
    <row r="348" spans="5:8" x14ac:dyDescent="0.25">
      <c r="E348" s="6"/>
      <c r="F348" s="6"/>
      <c r="G348" s="6"/>
      <c r="H348" s="6"/>
    </row>
    <row r="349" spans="5:8" x14ac:dyDescent="0.25">
      <c r="E349" s="6"/>
      <c r="F349" s="6"/>
      <c r="G349" s="6"/>
      <c r="H349" s="6"/>
    </row>
    <row r="350" spans="5:8" x14ac:dyDescent="0.25">
      <c r="E350" s="6"/>
      <c r="F350" s="6"/>
      <c r="G350" s="6"/>
      <c r="H350" s="6"/>
    </row>
    <row r="351" spans="5:8" x14ac:dyDescent="0.25">
      <c r="E351" s="6"/>
      <c r="F351" s="6"/>
      <c r="G351" s="6"/>
      <c r="H351" s="6"/>
    </row>
    <row r="352" spans="5:8" x14ac:dyDescent="0.25">
      <c r="E352" s="6"/>
      <c r="F352" s="6"/>
      <c r="G352" s="6"/>
      <c r="H352" s="6"/>
    </row>
    <row r="353" spans="5:8" x14ac:dyDescent="0.25">
      <c r="E353" s="6"/>
      <c r="F353" s="6"/>
      <c r="G353" s="6"/>
      <c r="H353" s="6"/>
    </row>
    <row r="354" spans="5:8" x14ac:dyDescent="0.25">
      <c r="E354" s="6"/>
      <c r="F354" s="6"/>
      <c r="G354" s="6"/>
      <c r="H354" s="6"/>
    </row>
    <row r="355" spans="5:8" x14ac:dyDescent="0.25">
      <c r="E355" s="6"/>
      <c r="F355" s="6"/>
      <c r="G355" s="6"/>
      <c r="H355" s="6"/>
    </row>
    <row r="356" spans="5:8" x14ac:dyDescent="0.25">
      <c r="E356" s="6"/>
      <c r="F356" s="6"/>
      <c r="G356" s="6"/>
      <c r="H356" s="6"/>
    </row>
    <row r="357" spans="5:8" x14ac:dyDescent="0.25">
      <c r="E357" s="6"/>
      <c r="F357" s="6"/>
      <c r="G357" s="6"/>
      <c r="H357" s="6"/>
    </row>
    <row r="358" spans="5:8" x14ac:dyDescent="0.25">
      <c r="E358" s="6"/>
      <c r="F358" s="6"/>
      <c r="G358" s="6"/>
      <c r="H358" s="6"/>
    </row>
    <row r="359" spans="5:8" x14ac:dyDescent="0.25">
      <c r="E359" s="6"/>
      <c r="F359" s="6"/>
      <c r="G359" s="6"/>
      <c r="H359" s="6"/>
    </row>
    <row r="360" spans="5:8" x14ac:dyDescent="0.25">
      <c r="E360" s="6"/>
      <c r="F360" s="6"/>
      <c r="G360" s="6"/>
      <c r="H360" s="6"/>
    </row>
    <row r="361" spans="5:8" x14ac:dyDescent="0.25">
      <c r="E361" s="6"/>
      <c r="F361" s="6"/>
      <c r="G361" s="6"/>
      <c r="H361" s="6"/>
    </row>
    <row r="362" spans="5:8" x14ac:dyDescent="0.25">
      <c r="E362" s="6"/>
      <c r="F362" s="6"/>
      <c r="G362" s="6"/>
      <c r="H362" s="6"/>
    </row>
    <row r="363" spans="5:8" x14ac:dyDescent="0.25">
      <c r="E363" s="6"/>
      <c r="F363" s="6"/>
      <c r="G363" s="6"/>
      <c r="H363" s="6"/>
    </row>
    <row r="364" spans="5:8" x14ac:dyDescent="0.25">
      <c r="E364" s="6"/>
      <c r="F364" s="6"/>
      <c r="G364" s="6"/>
      <c r="H364" s="6"/>
    </row>
    <row r="365" spans="5:8" x14ac:dyDescent="0.25">
      <c r="E365" s="6"/>
      <c r="F365" s="6"/>
      <c r="G365" s="6"/>
      <c r="H365" s="6"/>
    </row>
    <row r="366" spans="5:8" x14ac:dyDescent="0.25">
      <c r="E366" s="6"/>
      <c r="F366" s="6"/>
      <c r="G366" s="6"/>
      <c r="H366" s="6"/>
    </row>
    <row r="367" spans="5:8" x14ac:dyDescent="0.25">
      <c r="E367" s="6"/>
      <c r="F367" s="6"/>
      <c r="G367" s="6"/>
      <c r="H367" s="6"/>
    </row>
    <row r="368" spans="5:8" x14ac:dyDescent="0.25">
      <c r="E368" s="6"/>
      <c r="F368" s="6"/>
      <c r="G368" s="6"/>
      <c r="H368" s="6"/>
    </row>
    <row r="369" spans="5:8" x14ac:dyDescent="0.25">
      <c r="E369" s="6"/>
      <c r="F369" s="6"/>
      <c r="G369" s="6"/>
      <c r="H369" s="6"/>
    </row>
    <row r="370" spans="5:8" x14ac:dyDescent="0.25">
      <c r="E370" s="6"/>
      <c r="F370" s="6"/>
      <c r="G370" s="6"/>
      <c r="H370" s="6"/>
    </row>
    <row r="371" spans="5:8" x14ac:dyDescent="0.25">
      <c r="E371" s="6"/>
      <c r="F371" s="6"/>
      <c r="G371" s="6"/>
      <c r="H371" s="6"/>
    </row>
  </sheetData>
  <sheetProtection autoFilter="0"/>
  <pageMargins left="0.7" right="0.7" top="0.75" bottom="0.75" header="0.3" footer="0.3"/>
  <pageSetup paperSize="9" orientation="portrait" r:id="rId1"/>
  <customProperties>
    <customPr name="FPMExcelClientCellBasedFunctionStatus" r:id="rId2"/>
    <customPr name="FPMExcelClientRefreshTime" r:id="rId3"/>
    <customPr name="IbpWorksheetKeyString_GUID" r:id="rId4"/>
  </customProperties>
  <drawing r:id="rId5"/>
  <legacyDrawing r:id="rId6"/>
  <controls>
    <mc:AlternateContent xmlns:mc="http://schemas.openxmlformats.org/markup-compatibility/2006">
      <mc:Choice Requires="x14">
        <control shapeId="3073" r:id="rId7" name="AnalyzerDynReport000tb1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3073" r:id="rId7" name="AnalyzerDynReport000tb1"/>
      </mc:Fallback>
    </mc:AlternateContent>
    <mc:AlternateContent xmlns:mc="http://schemas.openxmlformats.org/markup-compatibility/2006">
      <mc:Choice Requires="x14">
        <control shapeId="3074" r:id="rId9" name="ConnectionDescriptorsInfotb1">
          <controlPr defaultSize="0" autoLine="0" autoPict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3074" r:id="rId9" name="ConnectionDescriptorsInfotb1"/>
      </mc:Fallback>
    </mc:AlternateContent>
    <mc:AlternateContent xmlns:mc="http://schemas.openxmlformats.org/markup-compatibility/2006">
      <mc:Choice Requires="x14">
        <control shapeId="3075" r:id="rId11" name="MultipleReportManagerInfotb1">
          <controlPr defaultSize="0" autoLine="0" autoPict="0" r:id="rId1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3075" r:id="rId11" name="MultipleReportManagerInfotb1"/>
      </mc:Fallback>
    </mc:AlternateContent>
    <mc:AlternateContent xmlns:mc="http://schemas.openxmlformats.org/markup-compatibility/2006">
      <mc:Choice Requires="x14">
        <control shapeId="3076" r:id="rId13" name="FPMExcelClientSheetOptionstb1">
          <controlPr defaultSize="0" autoLine="0" autoPict="0" r:id="rId1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3076" r:id="rId13" name="FPMExcelClientSheetOptionstb1"/>
      </mc:Fallback>
    </mc:AlternateContent>
    <mc:AlternateContent xmlns:mc="http://schemas.openxmlformats.org/markup-compatibility/2006">
      <mc:Choice Requires="x14">
        <control shapeId="3077" r:id="rId15" name="ReportSubmitManagerControltb1">
          <controlPr defaultSize="0" autoLine="0" autoPict="0" r:id="rId1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3077" r:id="rId15" name="ReportSubmitManagerControltb1"/>
      </mc:Fallback>
    </mc:AlternateContent>
    <mc:AlternateContent xmlns:mc="http://schemas.openxmlformats.org/markup-compatibility/2006">
      <mc:Choice Requires="x14">
        <control shapeId="3078" r:id="rId17" name="ReportSubmitControl_1tb1">
          <controlPr defaultSize="0" autoLine="0" autoPict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323850</xdr:colOff>
                <xdr:row>0</xdr:row>
                <xdr:rowOff>0</xdr:rowOff>
              </to>
            </anchor>
          </controlPr>
        </control>
      </mc:Choice>
      <mc:Fallback>
        <control shapeId="3078" r:id="rId17" name="ReportSubmitControl_1tb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ADDB5086ED984C8626DF396CE52380" ma:contentTypeVersion="14" ma:contentTypeDescription="Create a new document." ma:contentTypeScope="" ma:versionID="74a081fbb84ec12856662400aaf1437d">
  <xsd:schema xmlns:xsd="http://www.w3.org/2001/XMLSchema" xmlns:xs="http://www.w3.org/2001/XMLSchema" xmlns:p="http://schemas.microsoft.com/office/2006/metadata/properties" xmlns:ns3="a240ad8e-32f0-49ff-8cbe-0619d9b747ef" xmlns:ns4="bbc324ba-a621-4ce9-b168-efe94d1c4d21" targetNamespace="http://schemas.microsoft.com/office/2006/metadata/properties" ma:root="true" ma:fieldsID="c5800c1bfdc2ced46ca140ab05f0fc0a" ns3:_="" ns4:_="">
    <xsd:import namespace="a240ad8e-32f0-49ff-8cbe-0619d9b747ef"/>
    <xsd:import namespace="bbc324ba-a621-4ce9-b168-efe94d1c4d2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40ad8e-32f0-49ff-8cbe-0619d9b747e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c324ba-a621-4ce9-b168-efe94d1c4d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config xmlns="http://com.sap.sop/sopconfig">
  <ReportType xmlns="">SOP</ReportType>
  <template xmlns=""/>
  <favorite xmlns=""/>
  <bookSettings xmlns="">
    <scenarios>
      <value>__BASELINE</value>
    </scenarios>
    <simulations>
      <value>__PLAN</value>
    </simulations>
    <planningUnits>
      <planningVersion>__BASELINE</planningVersion>
      <planningScenario>__PLAN</planningScenario>
      <timeRelativeFromDays>0</timeRelativeFromDays>
      <timeRelativeToDays>720</timeRelativeToDays>
    </planningUnits>
  </bookSettings>
  <report_Sheet1 xmlns="">
    <settings>
      <time>
        <dimension>PERIODID0</dimension>
        <rolling>true</rolling>
        <realTime>true</realTime>
        <fromAbsolute/>
        <toAbsolute/>
        <fromRelative>0</fromRelative>
        <toRelative>49</toRelative>
        <fromTimeAbsolute>0001-01-01T00:00:00</fromTimeAbsolute>
        <toTimeAbsolute>0001-01-01T00:00:00</toTimeAbsolute>
        <fromTimeRelativeInDays>-140</fromTimeRelativeInDays>
        <toTimeRelativeInDays>12</toTimeRelativeInDays>
      </time>
      <planningLevels>
        <value>PRDID</value>
        <value>CUSTID</value>
      </planningLevels>
      <keyFigures>
        <value>CONSENSUSDEMAND</value>
      </keyFigures>
      <conversions/>
      <rowAxis>
        <value>PRDID</value>
        <value>CUSTID</value>
        <value>KEY_FIGURES</value>
      </rowAxis>
      <columnAxis>
        <value>PERIODID0</value>
      </columnAxis>
      <alerts/>
      <dimsDispOptnId/>
      <dimsDispOptnBoth/>
      <dimsTmpltFltrMandatory/>
      <dimsTmpltFltrOptional/>
      <alertsOnly>false</alertsOnly>
      <attributeSortings>
        <attributeSorting>
          <sortOrder>
            <sortOrderItem>__AZ</sortOrderItem>
          </sortOrder>
          <sortByDimension/>
          <dimensionId>PRDID</dimensionId>
          <description>Ascending</description>
          <name>A-Z</name>
          <id>-11</id>
        </attributeSorting>
        <attributeSorting>
          <sortOrder>
            <sortOrderItem>__AZ</sortOrderItem>
          </sortOrder>
          <sortByDimension/>
          <dimensionId>CUSTID</dimensionId>
          <description>Ascending</description>
          <name>A-Z</name>
          <id>-11</id>
        </attributeSorting>
      </attributeSortings>
    </settings>
  </report_Sheet1>
  <report_Sheet2 xmlns="">
    <settings>
      <time>
        <dimension>PERIODID0</dimension>
        <rolling>true</rolling>
        <realTime>true</realTime>
        <fromAbsolute/>
        <toAbsolute/>
        <fromRelative>0</fromRelative>
        <toRelative>49</toRelative>
        <fromTimeAbsolute>0001-01-01T00:00:00</fromTimeAbsolute>
        <toTimeAbsolute>0001-01-01T00:00:00</toTimeAbsolute>
        <fromTimeRelativeInDays>-140</fromTimeRelativeInDays>
        <toTimeRelativeInDays>12</toTimeRelativeInDays>
      </time>
      <planningLevels>
        <value>PRDID</value>
        <value>CUSTID</value>
      </planningLevels>
      <keyFigures>
        <value>CONSENSUSDEMAND</value>
      </keyFigures>
      <conversions>
        <conversion>
          <dimension>CURRTOID</dimension>
          <member/>
        </conversion>
        <conversion>
          <dimension>UOMTOID</dimension>
          <member/>
        </conversion>
      </conversions>
      <rowAxis>
        <value>PRDID</value>
        <value>CUSTID</value>
        <value>KEY_FIGURES</value>
      </rowAxis>
      <columnAxis>
        <value>PERIODID0</value>
      </columnAxis>
      <alerts/>
      <dimsDispOptnId/>
      <dimsDispOptnBoth/>
      <dimsTmpltFltrMandatory/>
      <dimsTmpltFltrOptional/>
      <alertsOnly>false</alertsOnly>
      <attributeSortings>
        <attributeSorting>
          <sortOrder>
            <sortOrderItem>__AZ</sortOrderItem>
          </sortOrder>
          <sortByDimension/>
          <dimensionId>PRDID</dimensionId>
          <description>Ascending</description>
          <name>A-Z</name>
          <id>-11</id>
        </attributeSorting>
        <attributeSorting>
          <sortOrder>
            <sortOrderItem>__AZ</sortOrderItem>
          </sortOrder>
          <sortByDimension/>
          <dimensionId>CUSTID</dimensionId>
          <description>Ascending</description>
          <name>A-Z</name>
          <id>-11</id>
        </attributeSorting>
      </attributeSortings>
    </settings>
  </report_Sheet2>
</config>
</file>

<file path=customXml/itemProps1.xml><?xml version="1.0" encoding="utf-8"?>
<ds:datastoreItem xmlns:ds="http://schemas.openxmlformats.org/officeDocument/2006/customXml" ds:itemID="{40E04736-483E-4519-A67B-A2B14E198BF8}">
  <ds:schemaRefs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a240ad8e-32f0-49ff-8cbe-0619d9b747ef"/>
    <ds:schemaRef ds:uri="bbc324ba-a621-4ce9-b168-efe94d1c4d21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073F83B-2A70-44DB-8422-866274B5904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755BDC0-D694-446D-A70F-AF859CDAA3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40ad8e-32f0-49ff-8cbe-0619d9b747ef"/>
    <ds:schemaRef ds:uri="bbc324ba-a621-4ce9-b168-efe94d1c4d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825412BB-AECD-4A99-9C9C-5B270E3C416D}">
  <ds:schemaRefs>
    <ds:schemaRef ds:uri="http://com.sap.sop/sopconfig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Weber, Patrick</dc:creator>
  <cp:lastModifiedBy>Weber, Patrick</cp:lastModifiedBy>
  <dcterms:created xsi:type="dcterms:W3CDTF">2021-06-02T14:12:37Z</dcterms:created>
  <dcterms:modified xsi:type="dcterms:W3CDTF">2021-08-20T12:11:19Z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0x01010075ADDB5086ED984C8626DF396CE52380</vt:lpwstr>
  </property>
  <property fmtid="{D5CDD505-2E9C-101B-9397-08002B2CF9AE}" pid="3" name="IbpWorkbookKeyString_GUID">
    <vt:lpwstr>c416e66e-cf7d-4e51-aae2-121c8933e4af</vt:lpwstr>
  </property>
</Properties>
</file>