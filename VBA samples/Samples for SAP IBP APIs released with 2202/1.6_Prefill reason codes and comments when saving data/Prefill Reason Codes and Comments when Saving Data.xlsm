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2.2.0/1.6_Prefill Reason Codes and Comments when Saving Data/"/>
    </mc:Choice>
  </mc:AlternateContent>
  <xr:revisionPtr revIDLastSave="42" documentId="8_{60E63B1F-8DC4-484C-8497-F8EC45E7BA81}" xr6:coauthVersionLast="47" xr6:coauthVersionMax="47" xr10:uidLastSave="{3D531665-E3FE-4B06-B86A-630093B014C6}"/>
  <bookViews>
    <workbookView xWindow="-103" yWindow="-103" windowWidth="22149" windowHeight="11949" tabRatio="374" firstSheet="1" activeTab="1" xr2:uid="{00000000-000D-0000-FFFF-FFFF00000000}"/>
  </bookViews>
  <sheets>
    <sheet name="IBPFormattingSheet" sheetId="8" state="hidden" r:id="rId1"/>
    <sheet name="Planning" sheetId="5" r:id="rId2"/>
  </sheets>
  <definedNames>
    <definedName name="__FPMExcelClient_CellBasedFunctionStatus" localSheetId="1" hidden="1">"2_1_2_2_2_2"</definedName>
    <definedName name="__FPMExcelClient_Connection" localSheetId="1">"{A63CB8EE-6674-452e-ACA5-65D5174D689E}_[https://pt6-001.wdf.sap.corp/sap/sop/sopfnd/services/addin/excel/]_[SOP]_[RBSAP6]_[]_[]_[false]_[True]\1"</definedName>
    <definedName name="_xlnm._FilterDatabase" localSheetId="1" hidden="1">Planning!$H$6:$V$6</definedName>
    <definedName name="_SOP">1</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IBPFormattingSheet!$D$46</definedName>
    <definedName name="AddMemberFirst_1" localSheetId="0" hidden="1">IBPFormattingSheet!$D$41</definedName>
    <definedName name="AddMemberFirst_2" localSheetId="0" hidden="1">IBPFormattingSheet!$D$44</definedName>
    <definedName name="AddMemberSecond" localSheetId="0" hidden="1">IBPFormattingSheet!$D$85</definedName>
    <definedName name="AddMemberSecond_1" localSheetId="0" hidden="1">IBPFormattingSheet!$D$65</definedName>
    <definedName name="AddMemberSecond_2" localSheetId="0" hidden="1">IBPFormattingSheet!$D$68</definedName>
    <definedName name="AddMemberSecond_3" localSheetId="0" hidden="1">IBPFormattingSheet!$D$71</definedName>
    <definedName name="AddMemberSecond_4" localSheetId="0" hidden="1">IBPFormattingSheet!$D$74</definedName>
    <definedName name="AddMemberSecond_5" localSheetId="0" hidden="1">IBPFormattingSheet!$D$77</definedName>
    <definedName name="AddMemberSecond_6" localSheetId="0" hidden="1">IBPFormattingSheet!$D$80</definedName>
    <definedName name="AddMemberSecond_7" localSheetId="0" hidden="1">IBPFormattingSheet!$D$83</definedName>
    <definedName name="DataFirst" localSheetId="0" hidden="1">IBPFormattingSheet!$E$25:$G$25</definedName>
    <definedName name="DataSecond" localSheetId="0" hidden="1">IBPFormattingSheet!$E$100:$G$100</definedName>
    <definedName name="DataUseFirst" localSheetId="0" hidden="1">IBPFormattingSheet!$H$25</definedName>
    <definedName name="DataUseSecond" localSheetId="0" hidden="1">IBPFormattingSheet!$H$100</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IBPFormattingSheet!$F$97</definedName>
    <definedName name="EvenDataSecond" localSheetId="0" hidden="1">IBPFormattingSheet!$F$105</definedName>
    <definedName name="EvenDataUseFirst" localSheetId="0" hidden="1">IBPFormattingSheet!$H$97</definedName>
    <definedName name="EvenDataUseSecond" localSheetId="0" hidden="1">IBPFormattingSheet!$H$105</definedName>
    <definedName name="EvenHeaderFirst" localSheetId="0" hidden="1">IBPFormattingSheet!$J$97</definedName>
    <definedName name="EvenHeaderSecond" localSheetId="0" hidden="1">IBPFormattingSheet!$J$105</definedName>
    <definedName name="EvenHeaderUseFirst" localSheetId="0" hidden="1">IBPFormattingSheet!$L$97</definedName>
    <definedName name="EvenHeaderUseSecond" localSheetId="0" hidden="1">IBPFormattingSheet!$L$105</definedName>
    <definedName name="HeaderFirst" localSheetId="0" hidden="1">IBPFormattingSheet!$I$25:$K$25</definedName>
    <definedName name="HeaderSecond" localSheetId="0" hidden="1">IBPFormattingSheet!$I$100:$K$100</definedName>
    <definedName name="HeaderSmallGrid" localSheetId="0" hidden="1">IBPFormattingSheet!$A$1</definedName>
    <definedName name="HeaderUseFirst" localSheetId="0" hidden="1">IBPFormattingSheet!$L$25</definedName>
    <definedName name="HeaderUseSecond" localSheetId="0" hidden="1">IBPFormattingSheet!$L$100</definedName>
    <definedName name="HeaderUseSmallGrid" localSheetId="0" hidden="1">IBPFormattingSheet!$A$1</definedName>
    <definedName name="IBPClientFormattingSheet" localSheetId="0" hidden="1">"3_3"</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IBPFormattingSheet!$B$87</definedName>
    <definedName name="MemberFirstBlock" localSheetId="0" hidden="1">IBPFormattingSheet!$B$24:$B$47</definedName>
    <definedName name="MemberFirstDataCalculated" localSheetId="0" hidden="1">IBPFormattingSheet!$F$27</definedName>
    <definedName name="MemberFirstDataChanged" localSheetId="0" hidden="1">IBPFormattingSheet!$F$36</definedName>
    <definedName name="MemberFirstDataCustom" localSheetId="0" hidden="1">IBPFormattingSheet!#REF!</definedName>
    <definedName name="MemberFirstDataInputable" localSheetId="0" hidden="1">IBPFormattingSheet!$F$30</definedName>
    <definedName name="MemberFirstDataItem_1" localSheetId="0" hidden="1">IBPFormattingSheet!$F$41</definedName>
    <definedName name="MemberFirstDataItem_2" localSheetId="0" hidden="1">IBPFormattingSheet!$F$44</definedName>
    <definedName name="MemberFirstDataLocal" localSheetId="0" hidden="1">IBPFormattingSheet!$F$33</definedName>
    <definedName name="MemberFirstDataUseCalculated" localSheetId="0" hidden="1">IBPFormattingSheet!$H$27</definedName>
    <definedName name="MemberFirstDataUseChanged" localSheetId="0" hidden="1">IBPFormattingSheet!$H$36</definedName>
    <definedName name="MemberFirstDataUseCustom" localSheetId="0" hidden="1">IBPFormattingSheet!#REF!</definedName>
    <definedName name="MemberFirstDataUseInputable" localSheetId="0" hidden="1">IBPFormattingSheet!$H$30</definedName>
    <definedName name="MemberFirstDataUseItem_1" localSheetId="0" hidden="1">IBPFormattingSheet!$H$41</definedName>
    <definedName name="MemberFirstDataUseItem_2" localSheetId="0" hidden="1">IBPFormattingSheet!$H$44</definedName>
    <definedName name="MemberFirstDataUseLocal" localSheetId="0" hidden="1">IBPFormattingSheet!$H$33</definedName>
    <definedName name="MemberFirstHeaderCalculated" localSheetId="0" hidden="1">IBPFormattingSheet!$J$27</definedName>
    <definedName name="MemberFirstHeaderChanged" localSheetId="0" hidden="1">IBPFormattingSheet!$J$36</definedName>
    <definedName name="MemberFirstHeaderCustom" localSheetId="0" hidden="1">IBPFormattingSheet!#REF!</definedName>
    <definedName name="MemberFirstHeaderInputable" localSheetId="0" hidden="1">IBPFormattingSheet!$J$30</definedName>
    <definedName name="MemberFirstHeaderItem_1" localSheetId="0" hidden="1">IBPFormattingSheet!$J$41</definedName>
    <definedName name="MemberFirstHeaderItem_2" localSheetId="0" hidden="1">IBPFormattingSheet!$J$44</definedName>
    <definedName name="MemberFirstHeaderLocal" localSheetId="0" hidden="1">IBPFormattingSheet!$J$33</definedName>
    <definedName name="MemberFirstHeaderUseCalculated" localSheetId="0" hidden="1">IBPFormattingSheet!$L$27</definedName>
    <definedName name="MemberFirstHeaderUseChanged" localSheetId="0" hidden="1">IBPFormattingSheet!$L$36</definedName>
    <definedName name="MemberFirstHeaderUseCustom" localSheetId="0" hidden="1">IBPFormattingSheet!#REF!</definedName>
    <definedName name="MemberFirstHeaderUseInputable" localSheetId="0" hidden="1">IBPFormattingSheet!$L$30</definedName>
    <definedName name="MemberFirstHeaderUseItem_1" localSheetId="0" hidden="1">IBPFormattingSheet!$L$41</definedName>
    <definedName name="MemberFirstHeaderUseItem_2" localSheetId="0" hidden="1">IBPFormattingSheet!$L$44</definedName>
    <definedName name="MemberFirstHeaderUseLocal" localSheetId="0" hidden="1">IBPFormattingSheet!$L$33</definedName>
    <definedName name="MemberSecondBlock" localSheetId="0" hidden="1">IBPFormattingSheet!$B$48:$B$86</definedName>
    <definedName name="MemberSecondDataCalculated" localSheetId="0" hidden="1">IBPFormattingSheet!$F$51</definedName>
    <definedName name="MemberSecondDataChanged" localSheetId="0" hidden="1">IBPFormattingSheet!$F$60</definedName>
    <definedName name="MemberSecondDataCustom" localSheetId="0" hidden="1">IBPFormattingSheet!#REF!</definedName>
    <definedName name="MemberSecondDataInputable" localSheetId="0" hidden="1">IBPFormattingSheet!$F$54</definedName>
    <definedName name="MemberSecondDataItem_1" localSheetId="0" hidden="1">IBPFormattingSheet!$F$65</definedName>
    <definedName name="MemberSecondDataItem_2" localSheetId="0" hidden="1">IBPFormattingSheet!$F$68</definedName>
    <definedName name="MemberSecondDataItem_3" localSheetId="0" hidden="1">IBPFormattingSheet!$F$71</definedName>
    <definedName name="MemberSecondDataItem_4" localSheetId="0" hidden="1">IBPFormattingSheet!$F$74</definedName>
    <definedName name="MemberSecondDataItem_5" localSheetId="0" hidden="1">IBPFormattingSheet!$F$77</definedName>
    <definedName name="MemberSecondDataItem_6" localSheetId="0" hidden="1">IBPFormattingSheet!$F$80</definedName>
    <definedName name="MemberSecondDataItem_7" localSheetId="0" hidden="1">IBPFormattingSheet!$F$83</definedName>
    <definedName name="MemberSecondDataLocal" localSheetId="0" hidden="1">IBPFormattingSheet!$F$57</definedName>
    <definedName name="MemberSecondDataUseCalculated" localSheetId="0" hidden="1">IBPFormattingSheet!$H$51</definedName>
    <definedName name="MemberSecondDataUseChanged" localSheetId="0" hidden="1">IBPFormattingSheet!$H$60</definedName>
    <definedName name="MemberSecondDataUseCustom" localSheetId="0" hidden="1">IBPFormattingSheet!#REF!</definedName>
    <definedName name="MemberSecondDataUseInputable" localSheetId="0" hidden="1">IBPFormattingSheet!$H$54</definedName>
    <definedName name="MemberSecondDataUseItem_1" localSheetId="0" hidden="1">IBPFormattingSheet!$H$65</definedName>
    <definedName name="MemberSecondDataUseItem_2" localSheetId="0" hidden="1">IBPFormattingSheet!$H$68</definedName>
    <definedName name="MemberSecondDataUseItem_3" localSheetId="0" hidden="1">IBPFormattingSheet!$H$71</definedName>
    <definedName name="MemberSecondDataUseItem_4" localSheetId="0" hidden="1">IBPFormattingSheet!$H$74</definedName>
    <definedName name="MemberSecondDataUseItem_5" localSheetId="0" hidden="1">IBPFormattingSheet!$H$77</definedName>
    <definedName name="MemberSecondDataUseItem_6" localSheetId="0" hidden="1">IBPFormattingSheet!$H$80</definedName>
    <definedName name="MemberSecondDataUseItem_7" localSheetId="0" hidden="1">IBPFormattingSheet!$H$83</definedName>
    <definedName name="MemberSecondDataUseLocal" localSheetId="0" hidden="1">IBPFormattingSheet!$H$57</definedName>
    <definedName name="MemberSecondHeaderCalculated" localSheetId="0" hidden="1">IBPFormattingSheet!$J$51</definedName>
    <definedName name="MemberSecondHeaderChanged" localSheetId="0" hidden="1">IBPFormattingSheet!$J$60</definedName>
    <definedName name="MemberSecondHeaderCustom" localSheetId="0" hidden="1">IBPFormattingSheet!#REF!</definedName>
    <definedName name="MemberSecondHeaderInputable" localSheetId="0" hidden="1">IBPFormattingSheet!$J$54</definedName>
    <definedName name="MemberSecondHeaderItem_1" localSheetId="0" hidden="1">IBPFormattingSheet!$J$65</definedName>
    <definedName name="MemberSecondHeaderItem_2" localSheetId="0" hidden="1">IBPFormattingSheet!$J$68</definedName>
    <definedName name="MemberSecondHeaderItem_3" localSheetId="0" hidden="1">IBPFormattingSheet!$J$71</definedName>
    <definedName name="MemberSecondHeaderItem_4" localSheetId="0" hidden="1">IBPFormattingSheet!$J$74</definedName>
    <definedName name="MemberSecondHeaderItem_5" localSheetId="0" hidden="1">IBPFormattingSheet!$J$77</definedName>
    <definedName name="MemberSecondHeaderItem_6" localSheetId="0" hidden="1">IBPFormattingSheet!$J$80</definedName>
    <definedName name="MemberSecondHeaderItem_7" localSheetId="0" hidden="1">IBPFormattingSheet!$J$83</definedName>
    <definedName name="MemberSecondHeaderLocal" localSheetId="0" hidden="1">IBPFormattingSheet!$J$57</definedName>
    <definedName name="MemberSecondHeaderUseCalculated" localSheetId="0" hidden="1">IBPFormattingSheet!$L$51</definedName>
    <definedName name="MemberSecondHeaderUseChanged" localSheetId="0" hidden="1">IBPFormattingSheet!$L$60</definedName>
    <definedName name="MemberSecondHeaderUseCustom" localSheetId="0" hidden="1">IBPFormattingSheet!#REF!</definedName>
    <definedName name="MemberSecondHeaderUseInputable" localSheetId="0" hidden="1">IBPFormattingSheet!$L$54</definedName>
    <definedName name="MemberSecondHeaderUseItem_1" localSheetId="0" hidden="1">IBPFormattingSheet!$L$65</definedName>
    <definedName name="MemberSecondHeaderUseItem_2" localSheetId="0" hidden="1">IBPFormattingSheet!$L$68</definedName>
    <definedName name="MemberSecondHeaderUseItem_3" localSheetId="0" hidden="1">IBPFormattingSheet!$L$71</definedName>
    <definedName name="MemberSecondHeaderUseItem_4" localSheetId="0" hidden="1">IBPFormattingSheet!$L$74</definedName>
    <definedName name="MemberSecondHeaderUseItem_5" localSheetId="0" hidden="1">IBPFormattingSheet!$L$77</definedName>
    <definedName name="MemberSecondHeaderUseItem_6" localSheetId="0" hidden="1">IBPFormattingSheet!$L$80</definedName>
    <definedName name="MemberSecondHeaderUseItem_7" localSheetId="0" hidden="1">IBPFormattingSheet!$L$83</definedName>
    <definedName name="MemberSecondHeaderUseLocal" localSheetId="0" hidden="1">IBPFormattingSheet!$L$57</definedName>
    <definedName name="OddDataFirst" localSheetId="0" hidden="1">IBPFormattingSheet!$F$94</definedName>
    <definedName name="OddDataSecond" localSheetId="0" hidden="1">IBPFormattingSheet!$F$102</definedName>
    <definedName name="OddDataUseFirst" localSheetId="0" hidden="1">IBPFormattingSheet!$H$94</definedName>
    <definedName name="OddDataUseSecond" localSheetId="0" hidden="1">IBPFormattingSheet!$H$102</definedName>
    <definedName name="OddEvenEndBlock" localSheetId="0" hidden="1">IBPFormattingSheet!$B$107</definedName>
    <definedName name="OddEvenFirstBlock" localSheetId="0" hidden="1">IBPFormattingSheet!$B$91:$B$98</definedName>
    <definedName name="OddEvenSecondBlock" localSheetId="0" hidden="1">IBPFormattingSheet!$B$99:$B$106</definedName>
    <definedName name="OddHeaderFirst" localSheetId="0" hidden="1">IBPFormattingSheet!$J$94</definedName>
    <definedName name="OddHeaderSecond" localSheetId="0" hidden="1">IBPFormattingSheet!$J$102</definedName>
    <definedName name="OddHeaderUseFirst" localSheetId="0" hidden="1">IBPFormattingSheet!$L$94</definedName>
    <definedName name="OddHeaderUseSecond" localSheetId="0" hidden="1">IBPFormattingSheet!$L$102</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 localSheetId="0">"IBP SCM SAP4PW"</definedName>
    <definedName name="SOP_Connection_Name">"SID"</definedName>
    <definedName name="SOP_CurrencyToID" localSheetId="1">"EUR"</definedName>
    <definedName name="SOP_CURRTOID" localSheetId="1">"EUR"</definedName>
    <definedName name="SOP_Favorite_Name" localSheetId="0">" "</definedName>
    <definedName name="SOP_Favorite_Name">"Save Data"</definedName>
    <definedName name="SOP_Filter" localSheetId="0">{" "}</definedName>
    <definedName name="SOP_Filter" localSheetId="1">{"Product ID = HT_001","Location ID = HD_DC_CA_E"}</definedName>
    <definedName name="SOP_Filter">{" "}</definedName>
    <definedName name="SOP_Filter_Criteria_Count" localSheetId="1">2</definedName>
    <definedName name="SOP_Filter_Name" localSheetId="1">"(Ad Hoc Filter)"</definedName>
    <definedName name="SOP_Heading1" localSheetId="1">"Key Figure"</definedName>
    <definedName name="SOP_Heading10" localSheetId="1">" "</definedName>
    <definedName name="SOP_Heading11" localSheetId="1">" "</definedName>
    <definedName name="SOP_Heading12" localSheetId="1">" "</definedName>
    <definedName name="SOP_Heading13" localSheetId="1">" "</definedName>
    <definedName name="SOP_Heading14" localSheetId="1">" "</definedName>
    <definedName name="SOP_Heading15" localSheetId="1">" "</definedName>
    <definedName name="SOP_Heading2" localSheetId="1">"Location ID"</definedName>
    <definedName name="SOP_Heading3" localSheetId="1">"Product ID"</definedName>
    <definedName name="SOP_Heading4" localSheetId="1">" "</definedName>
    <definedName name="SOP_Heading5" localSheetId="1">" "</definedName>
    <definedName name="SOP_Heading6" localSheetId="1">" "</definedName>
    <definedName name="SOP_Heading7" localSheetId="1">" "</definedName>
    <definedName name="SOP_Heading8" localSheetId="1">" "</definedName>
    <definedName name="SOP_Heading9" localSheetId="1">" "</definedName>
    <definedName name="SOP_Planning_Area" localSheetId="0">"SAP4PW"</definedName>
    <definedName name="SOP_Planning_Area">"SAP6"</definedName>
    <definedName name="SOP_Planning_Scope" localSheetId="0">" "</definedName>
    <definedName name="SOP_Planning_Scope">"23.02.2022 - 31.12.2023 | Baseline | Base Version"</definedName>
    <definedName name="SOP_Refresh_Timestamp" localSheetId="0">43129.8290046296</definedName>
    <definedName name="SOP_Refresh_Timestamp">44615.7941898148</definedName>
    <definedName name="SOP_Template_Name" localSheetId="0">" "</definedName>
    <definedName name="SOP_Template_Name">"template name"</definedName>
    <definedName name="SOP_UOMToID" localSheetId="1">"PC"</definedName>
    <definedName name="SOP_Value_Based_Filter" localSheetId="1">{" "}</definedName>
    <definedName name="SOP_Value_Based_Filter_Name" localSheetId="1">"(None)"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6" i="5" l="1"/>
  <c r="H6" i="5"/>
  <c r="I6" i="5"/>
  <c r="A6" i="5"/>
  <c r="B6" i="5"/>
  <c r="C6" i="5"/>
  <c r="D6" i="5"/>
  <c r="E6" i="5"/>
  <c r="F6" i="5"/>
  <c r="G6" i="5"/>
  <c r="A2" i="5"/>
  <c r="K2" i="5"/>
  <c r="K1" i="5"/>
  <c r="T6" i="5"/>
  <c r="V6" i="5"/>
  <c r="S6" i="5"/>
  <c r="I7" i="5"/>
  <c r="M6" i="5"/>
  <c r="U6" i="5"/>
  <c r="Q6" i="5"/>
  <c r="J9" i="5"/>
  <c r="J7" i="5"/>
  <c r="R6" i="5"/>
  <c r="N6" i="5"/>
  <c r="K6" i="5"/>
  <c r="J11" i="5"/>
  <c r="H7" i="5"/>
  <c r="P6" i="5"/>
  <c r="L6" i="5"/>
  <c r="J10" i="5"/>
  <c r="J8" i="5"/>
  <c r="O6" i="5"/>
  <c r="J12" i="5"/>
  <c r="Q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D41" authorId="0" shapeId="0" xr:uid="{EDBB9E41-C116-495A-87C5-3AD7B3EE654E}">
      <text>
        <r>
          <rPr>
            <b/>
            <sz val="9"/>
            <color indexed="81"/>
            <rFont val="Tahoma"/>
            <family val="2"/>
          </rPr>
          <t>TotalMember</t>
        </r>
      </text>
    </comment>
    <comment ref="D44" authorId="0" shapeId="0" xr:uid="{FBF89B07-B256-4A84-B169-970B70424983}">
      <text>
        <r>
          <rPr>
            <b/>
            <sz val="9"/>
            <color indexed="81"/>
            <rFont val="Tahoma"/>
            <family val="2"/>
          </rPr>
          <t>Property#KEY_FIGURES#FIXING#Equals#Y</t>
        </r>
      </text>
    </comment>
    <comment ref="D65" authorId="0" shapeId="0" xr:uid="{FF643348-32D3-4F8C-9EDA-D15B240208FC}">
      <text>
        <r>
          <rPr>
            <b/>
            <sz val="9"/>
            <color indexed="81"/>
            <rFont val="Tahoma"/>
            <family val="2"/>
          </rPr>
          <t>Property#PERIODID#TIMELEVEL#Equals#TOTAL</t>
        </r>
      </text>
    </comment>
    <comment ref="D68" authorId="0" shapeId="0" xr:uid="{D4D31F70-85FF-4671-90F1-82A41393B751}">
      <text>
        <r>
          <rPr>
            <b/>
            <sz val="9"/>
            <color indexed="81"/>
            <rFont val="Tahoma"/>
            <family val="2"/>
          </rPr>
          <t>Property#PERIODID#TIMELEVEL#Equals#PERIODID0</t>
        </r>
      </text>
    </comment>
    <comment ref="D71" authorId="0" shapeId="0" xr:uid="{DAE0384C-3B35-4E88-A9D9-256F8488C8F1}">
      <text>
        <r>
          <rPr>
            <b/>
            <sz val="9"/>
            <color indexed="81"/>
            <rFont val="Tahoma"/>
            <family val="2"/>
          </rPr>
          <t>Property#PERIODID#TIMELEVEL#Equals#PERIODID1</t>
        </r>
      </text>
    </comment>
    <comment ref="D74" authorId="0" shapeId="0" xr:uid="{0B163285-4809-475B-B9FA-34F8FE866ABD}">
      <text>
        <r>
          <rPr>
            <b/>
            <sz val="9"/>
            <color indexed="81"/>
            <rFont val="Tahoma"/>
            <family val="2"/>
          </rPr>
          <t>Property#PERIODID#TIMELEVEL#Equals#PERIODID2</t>
        </r>
      </text>
    </comment>
    <comment ref="D77" authorId="0" shapeId="0" xr:uid="{649F871F-4198-4176-B8A4-C802680FDBA2}">
      <text>
        <r>
          <rPr>
            <b/>
            <sz val="9"/>
            <color indexed="81"/>
            <rFont val="Tahoma"/>
            <family val="2"/>
          </rPr>
          <t>Property#PERIODID#TIMELEVEL#Equals#PERIODID3</t>
        </r>
      </text>
    </comment>
    <comment ref="D80" authorId="0" shapeId="0" xr:uid="{0B3DA724-10E4-4DF5-B631-E2E4A945AFB0}">
      <text>
        <r>
          <rPr>
            <b/>
            <sz val="9"/>
            <color indexed="81"/>
            <rFont val="Tahoma"/>
            <family val="2"/>
          </rPr>
          <t>Property#PERIODID#TIMELEVEL#Equals#PERIODID4</t>
        </r>
      </text>
    </comment>
    <comment ref="D83" authorId="0" shapeId="0" xr:uid="{082B4988-AA78-4B89-A75C-2BC7E325C9A5}">
      <text>
        <r>
          <rPr>
            <b/>
            <sz val="9"/>
            <color indexed="81"/>
            <rFont val="Tahoma"/>
            <family val="2"/>
          </rPr>
          <t>Property#PERIODID#TIMELEVEL#Equals#PERIODID5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L7" authorId="0" shapeId="0" xr:uid="{FEF2C440-670A-4866-8583-678147C0D0CF}">
      <text>
        <r>
          <rPr>
            <sz val="9"/>
            <color indexed="81"/>
            <rFont val="Tahoma"/>
            <family val="2"/>
          </rPr>
          <t>1503 is fixed</t>
        </r>
      </text>
    </comment>
    <comment ref="S7" authorId="0" shapeId="0" xr:uid="{A82842AD-EF78-44C8-A89B-23691140CAF5}">
      <text>
        <r>
          <rPr>
            <sz val="9"/>
            <color indexed="81"/>
            <rFont val="Tahoma"/>
            <family val="2"/>
          </rPr>
          <t>100 is fixed</t>
        </r>
      </text>
    </comment>
    <comment ref="T7" authorId="0" shapeId="0" xr:uid="{8C282947-6238-4AFD-857F-0D5FF0374B67}">
      <text>
        <r>
          <rPr>
            <sz val="9"/>
            <color indexed="81"/>
            <rFont val="Tahoma"/>
            <family val="2"/>
          </rPr>
          <t>100 is fixed</t>
        </r>
      </text>
    </comment>
    <comment ref="U7" authorId="0" shapeId="0" xr:uid="{39F256B4-A9E3-4D8A-993E-ADC4213F1A8B}">
      <text>
        <r>
          <rPr>
            <sz val="9"/>
            <color indexed="81"/>
            <rFont val="Tahoma"/>
            <family val="2"/>
          </rPr>
          <t>100 is fixed</t>
        </r>
      </text>
    </comment>
  </commentList>
</comments>
</file>

<file path=xl/sharedStrings.xml><?xml version="1.0" encoding="utf-8"?>
<sst xmlns="http://schemas.openxmlformats.org/spreadsheetml/2006/main" count="136" uniqueCount="40">
  <si>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</si>
  <si>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</si>
  <si>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</si>
  <si>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</si>
  <si>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</si>
  <si>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</si>
  <si>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</si>
  <si>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</si>
  <si>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</si>
  <si>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</si>
  <si>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</si>
  <si>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</si>
  <si>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</si>
  <si>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</si>
  <si>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</si>
  <si>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</si>
  <si>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</si>
  <si>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</si>
  <si>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</si>
  <si>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</si>
  <si>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</si>
  <si>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Version_1_1</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</si>
  <si>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</si>
  <si>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</si>
  <si>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</si>
  <si>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</si>
  <si>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</si>
  <si>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</si>
  <si>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Integrated Business Planning</t>
  </si>
  <si>
    <t>IBP Formatting Sheet</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</si>
  <si>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</si>
  <si>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 xml:space="preserve">KEY_FIGURES.Fixing Enabled = Y </t>
  </si>
  <si>
    <t>Font</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</si>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</sst>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xd83d_\_xdd12_#,##0"/>
    <numFmt numFmtId="165" formatCode="\◑\_xd83d_\_xdd13_#,##0"/>
  </numFmts>
  <fonts count="28"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
      <b/>
      <sz val="11"/>
      <color theme="1"/>
      <name val="Calibri"/>
      <family val="2"/>
      <scheme val="minor"/>
    </font>
    <font>
      <b/>
      <sz val="9"/>
      <color indexed="81"/>
      <name val="Tahoma"/>
      <family val="2"/>
    </font>
    <font>
      <b/>
      <sz val="11"/>
      <color theme="1" tint="0.34998626667073579"/>
      <name val="Calibri"/>
      <family val="2"/>
      <scheme val="minor"/>
    </font>
    <font>
      <sz val="10"/>
      <color theme="1"/>
      <name val="Segoe UI Symbol"/>
      <family val="2"/>
    </font>
    <font>
      <sz val="10"/>
      <color theme="1" tint="0.34998626667073579"/>
      <name val="Segoe UI Symbol"/>
      <family val="2"/>
    </font>
  </fonts>
  <fills count="20">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
      <patternFill patternType="solid">
        <fgColor rgb="FFA5A5A5"/>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
      <left style="double">
        <color rgb="FF3F3F3F"/>
      </left>
      <right style="double">
        <color rgb="FF3F3F3F"/>
      </right>
      <top style="double">
        <color rgb="FF3F3F3F"/>
      </top>
      <bottom style="double">
        <color rgb="FF3F3F3F"/>
      </bottom>
      <diagonal/>
    </border>
  </borders>
  <cellStyleXfs count="3">
    <xf numFmtId="0" fontId="0" fillId="0" borderId="0"/>
    <xf numFmtId="0" fontId="14" fillId="8" borderId="0" applyNumberFormat="0" applyBorder="0" applyAlignment="0" applyProtection="0"/>
    <xf numFmtId="0" fontId="11" fillId="13" borderId="34" applyNumberFormat="0" applyAlignment="0" applyProtection="0"/>
  </cellStyleXfs>
  <cellXfs count="109">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3" xfId="0" applyFont="1" applyBorder="1" applyAlignment="1">
      <alignment horizontal="center"/>
    </xf>
    <xf numFmtId="0" fontId="1" fillId="0" borderId="25" xfId="0" applyFont="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12" fillId="0" borderId="0" xfId="0" applyFont="1" applyFill="1" applyBorder="1" applyAlignment="1" applyProtection="1">
      <alignment horizontal="left" vertical="center"/>
      <protection locked="0"/>
    </xf>
    <xf numFmtId="0" fontId="0" fillId="6" borderId="0" xfId="0" applyFill="1"/>
    <xf numFmtId="0" fontId="14" fillId="10" borderId="0" xfId="0" applyFont="1" applyFill="1" applyBorder="1"/>
    <xf numFmtId="0" fontId="0" fillId="11" borderId="0" xfId="0" applyFill="1"/>
    <xf numFmtId="3" fontId="13"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1" fillId="11" borderId="0" xfId="0" applyFont="1" applyFill="1" applyBorder="1" applyAlignment="1" applyProtection="1">
      <alignment horizontal="right" vertical="center"/>
      <protection locked="0"/>
    </xf>
    <xf numFmtId="0" fontId="17" fillId="0" borderId="0" xfId="0" applyFont="1" applyAlignment="1">
      <alignment horizontal="center"/>
    </xf>
    <xf numFmtId="3" fontId="22" fillId="12" borderId="0" xfId="0" applyNumberFormat="1" applyFont="1" applyFill="1" applyBorder="1" applyAlignment="1" applyProtection="1">
      <alignment horizontal="right" vertical="center"/>
      <protection locked="0"/>
    </xf>
    <xf numFmtId="0" fontId="1" fillId="0" borderId="7" xfId="0" applyFont="1" applyBorder="1" applyAlignment="1" applyProtection="1">
      <alignment horizontal="left" vertical="center"/>
      <protection locked="0"/>
    </xf>
    <xf numFmtId="0" fontId="1" fillId="0" borderId="31" xfId="0" applyFont="1" applyBorder="1" applyAlignment="1">
      <alignment horizontal="center"/>
    </xf>
    <xf numFmtId="0" fontId="1" fillId="1" borderId="31" xfId="0" applyFont="1" applyFill="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164" fontId="22" fillId="12" borderId="0" xfId="0" applyNumberFormat="1" applyFont="1" applyFill="1" applyBorder="1" applyAlignment="1" applyProtection="1">
      <alignment horizontal="right" vertical="center"/>
      <protection locked="0"/>
    </xf>
    <xf numFmtId="165" fontId="22" fillId="12" borderId="0" xfId="0" applyNumberFormat="1" applyFont="1" applyFill="1" applyBorder="1" applyAlignment="1" applyProtection="1">
      <alignment horizontal="right" vertical="center"/>
      <protection locked="0"/>
    </xf>
    <xf numFmtId="0" fontId="14" fillId="10" borderId="0" xfId="0" applyFont="1" applyFill="1" applyBorder="1" applyAlignment="1" applyProtection="1">
      <alignment horizontal="right" vertical="center"/>
    </xf>
    <xf numFmtId="0" fontId="11" fillId="10" borderId="0" xfId="0" applyFont="1" applyFill="1" applyBorder="1" applyAlignment="1" applyProtection="1">
      <alignment horizontal="left" vertical="center"/>
    </xf>
    <xf numFmtId="0" fontId="14" fillId="10" borderId="0" xfId="0" applyFont="1" applyFill="1" applyProtection="1"/>
    <xf numFmtId="0" fontId="14" fillId="10" borderId="0" xfId="0" applyFont="1" applyFill="1" applyBorder="1" applyProtection="1"/>
    <xf numFmtId="0" fontId="14" fillId="10" borderId="0" xfId="1" applyFont="1" applyFill="1" applyBorder="1" applyAlignment="1" applyProtection="1"/>
    <xf numFmtId="0" fontId="0" fillId="6" borderId="0" xfId="0" applyFill="1" applyProtection="1"/>
    <xf numFmtId="0" fontId="0" fillId="0" borderId="0" xfId="0" applyProtection="1"/>
    <xf numFmtId="0" fontId="11" fillId="11" borderId="0" xfId="0" applyFont="1" applyFill="1" applyProtection="1"/>
    <xf numFmtId="0" fontId="0" fillId="6" borderId="0" xfId="0" applyFill="1" applyAlignment="1" applyProtection="1">
      <alignment horizontal="left" vertical="top" wrapText="1"/>
    </xf>
    <xf numFmtId="0" fontId="1" fillId="0" borderId="12"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30" xfId="0" applyFont="1" applyBorder="1" applyAlignment="1">
      <alignment horizontal="center"/>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4"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6" fillId="5" borderId="29" xfId="0" applyFont="1" applyFill="1" applyBorder="1" applyAlignment="1" applyProtection="1">
      <alignment horizontal="center" vertical="center"/>
      <protection hidden="1"/>
    </xf>
    <xf numFmtId="0" fontId="1" fillId="0" borderId="30" xfId="0" applyFont="1" applyBorder="1" applyAlignment="1">
      <alignment horizontal="center"/>
    </xf>
    <xf numFmtId="0" fontId="5" fillId="3" borderId="26"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5" xfId="0" applyFont="1" applyFill="1" applyBorder="1" applyAlignment="1">
      <alignment horizontal="center" vertical="center"/>
    </xf>
    <xf numFmtId="0" fontId="1" fillId="0" borderId="27"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8"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0" fillId="6" borderId="0" xfId="0" applyFill="1" applyAlignment="1" applyProtection="1">
      <alignment horizontal="left" vertical="top" wrapText="1"/>
    </xf>
    <xf numFmtId="0" fontId="18" fillId="10" borderId="0" xfId="0" quotePrefix="1" applyFont="1" applyFill="1" applyBorder="1" applyAlignment="1" applyProtection="1">
      <alignment horizontal="left" vertical="top" wrapText="1" indent="5"/>
    </xf>
    <xf numFmtId="0" fontId="18" fillId="10" borderId="0" xfId="0" quotePrefix="1" applyFont="1" applyFill="1" applyBorder="1" applyAlignment="1" applyProtection="1">
      <alignment horizontal="left" vertical="top" indent="5"/>
    </xf>
    <xf numFmtId="0" fontId="19" fillId="10" borderId="0" xfId="0" applyFont="1" applyFill="1" applyBorder="1" applyAlignment="1" applyProtection="1">
      <alignment horizontal="left" vertical="center"/>
    </xf>
    <xf numFmtId="0" fontId="20" fillId="10" borderId="0" xfId="0" applyFont="1" applyFill="1" applyBorder="1" applyAlignment="1" applyProtection="1">
      <alignment horizontal="right" vertical="top" wrapText="1"/>
    </xf>
    <xf numFmtId="0" fontId="21" fillId="10" borderId="0" xfId="0" quotePrefix="1" applyFont="1" applyFill="1" applyBorder="1" applyAlignment="1" applyProtection="1">
      <alignment horizontal="left" vertical="top" wrapText="1" indent="5"/>
    </xf>
    <xf numFmtId="0" fontId="20" fillId="10" borderId="0" xfId="0" applyFont="1" applyFill="1" applyBorder="1" applyAlignment="1" applyProtection="1">
      <alignment horizontal="left" vertical="top"/>
    </xf>
    <xf numFmtId="0" fontId="0" fillId="0" borderId="0" xfId="0" applyAlignment="1">
      <alignment horizontal="center"/>
    </xf>
    <xf numFmtId="0" fontId="0" fillId="0" borderId="23"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3" fillId="0" borderId="0" xfId="0" applyNumberFormat="1" applyFont="1" applyAlignment="1" applyProtection="1">
      <alignment horizontal="right" vertical="center"/>
      <protection locked="0"/>
    </xf>
    <xf numFmtId="0" fontId="11" fillId="11" borderId="0" xfId="0" applyFont="1" applyFill="1" applyAlignment="1" applyProtection="1">
      <alignment horizontal="left" vertical="center"/>
      <protection locked="0"/>
    </xf>
    <xf numFmtId="0" fontId="0" fillId="1" borderId="31" xfId="0" applyFill="1" applyBorder="1" applyAlignment="1">
      <alignment horizontal="center"/>
    </xf>
    <xf numFmtId="0" fontId="12"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3" fontId="13" fillId="9" borderId="0" xfId="0" applyNumberFormat="1" applyFont="1" applyFill="1" applyAlignment="1" applyProtection="1">
      <alignment horizontal="right" vertical="center"/>
      <protection locked="0"/>
    </xf>
    <xf numFmtId="3" fontId="13" fillId="7" borderId="0" xfId="0" applyNumberFormat="1" applyFont="1" applyFill="1" applyAlignment="1" applyProtection="1">
      <alignment horizontal="right" vertical="center"/>
      <protection locked="0"/>
    </xf>
    <xf numFmtId="0" fontId="15" fillId="0" borderId="0" xfId="0" quotePrefix="1" applyFont="1" applyAlignment="1">
      <alignment horizontal="left" vertical="center"/>
    </xf>
    <xf numFmtId="3" fontId="25" fillId="9" borderId="0" xfId="0" applyNumberFormat="1" applyFont="1" applyFill="1" applyAlignment="1" applyProtection="1">
      <alignment horizontal="right" vertical="center"/>
      <protection locked="0"/>
    </xf>
    <xf numFmtId="0" fontId="23" fillId="0" borderId="0" xfId="0" applyFont="1" applyAlignment="1" applyProtection="1">
      <alignment horizontal="left" vertical="center"/>
      <protection locked="0"/>
    </xf>
    <xf numFmtId="0" fontId="26" fillId="0" borderId="0" xfId="0" quotePrefix="1" applyFont="1" applyAlignment="1">
      <alignment horizontal="left" vertical="center"/>
    </xf>
    <xf numFmtId="3" fontId="27" fillId="0" borderId="0" xfId="0" quotePrefix="1" applyNumberFormat="1" applyFont="1" applyAlignment="1" applyProtection="1">
      <alignment horizontal="right" vertical="center"/>
      <protection locked="0"/>
    </xf>
    <xf numFmtId="0" fontId="0" fillId="0" borderId="31" xfId="0" applyBorder="1" applyAlignment="1">
      <alignment horizontal="center"/>
    </xf>
    <xf numFmtId="3" fontId="25" fillId="0" borderId="0" xfId="0" applyNumberFormat="1" applyFont="1" applyAlignment="1" applyProtection="1">
      <alignment horizontal="righ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0" fontId="0" fillId="18" borderId="0" xfId="0" applyFill="1" applyAlignment="1" applyProtection="1">
      <alignment horizontal="left" vertical="center"/>
      <protection locked="0"/>
    </xf>
    <xf numFmtId="0" fontId="0" fillId="19" borderId="0" xfId="0" applyFill="1" applyAlignment="1" applyProtection="1">
      <alignment horizontal="left" vertical="center"/>
      <protection locked="0"/>
    </xf>
    <xf numFmtId="0" fontId="13" fillId="0" borderId="0" xfId="0" applyFont="1" applyAlignment="1" applyProtection="1">
      <alignment horizontal="right" vertical="center"/>
      <protection locked="0"/>
    </xf>
  </cellXfs>
  <cellStyles count="3">
    <cellStyle name="Accent6" xfId="1" builtinId="49"/>
    <cellStyle name="Check Cell 2" xfId="2" xr:uid="{40CC7E88-401C-413F-9804-D49B81C627EB}"/>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7.emf"/><Relationship Id="rId18" Type="http://schemas.openxmlformats.org/officeDocument/2006/relationships/image" Target="../media/image22.emf"/><Relationship Id="rId3" Type="http://schemas.openxmlformats.org/officeDocument/2006/relationships/image" Target="../media/image10.emf"/><Relationship Id="rId7" Type="http://schemas.openxmlformats.org/officeDocument/2006/relationships/image" Target="../media/image6.emf"/><Relationship Id="rId12" Type="http://schemas.openxmlformats.org/officeDocument/2006/relationships/image" Target="../media/image16.emf"/><Relationship Id="rId17" Type="http://schemas.openxmlformats.org/officeDocument/2006/relationships/image" Target="../media/image21.emf"/><Relationship Id="rId2" Type="http://schemas.openxmlformats.org/officeDocument/2006/relationships/image" Target="../media/image11.emf"/><Relationship Id="rId16"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7.emf"/><Relationship Id="rId11" Type="http://schemas.openxmlformats.org/officeDocument/2006/relationships/image" Target="../media/image15.emf"/><Relationship Id="rId5" Type="http://schemas.openxmlformats.org/officeDocument/2006/relationships/image" Target="../media/image8.emf"/><Relationship Id="rId15" Type="http://schemas.openxmlformats.org/officeDocument/2006/relationships/image" Target="../media/image19.emf"/><Relationship Id="rId10" Type="http://schemas.openxmlformats.org/officeDocument/2006/relationships/image" Target="../media/image14.emf"/><Relationship Id="rId19" Type="http://schemas.openxmlformats.org/officeDocument/2006/relationships/image" Target="../media/image23.emf"/><Relationship Id="rId4" Type="http://schemas.openxmlformats.org/officeDocument/2006/relationships/image" Target="../media/image9.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70757</xdr:rowOff>
        </xdr:from>
        <xdr:to>
          <xdr:col>7</xdr:col>
          <xdr:colOff>1605643</xdr:colOff>
          <xdr:row>4</xdr:row>
          <xdr:rowOff>342900</xdr:rowOff>
        </xdr:to>
        <xdr:sp macro="" textlink="">
          <xdr:nvSpPr>
            <xdr:cNvPr id="6145" name="cbApplyLevelFormatting" hidden="1">
              <a:extLst>
                <a:ext uri="{63B3BB69-23CF-44E3-9099-C40C66FF867C}">
                  <a14:compatExt spid="_x0000_s6145"/>
                </a:ext>
                <a:ext uri="{FF2B5EF4-FFF2-40B4-BE49-F238E27FC236}">
                  <a16:creationId xmlns:a16="http://schemas.microsoft.com/office/drawing/2014/main" id="{421729B3-DBD9-4562-90FC-A3775319CB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6146" name="Group Box 2" hidden="1">
              <a:extLst>
                <a:ext uri="{63B3BB69-23CF-44E3-9099-C40C66FF867C}">
                  <a14:compatExt spid="_x0000_s6146"/>
                </a:ext>
                <a:ext uri="{FF2B5EF4-FFF2-40B4-BE49-F238E27FC236}">
                  <a16:creationId xmlns:a16="http://schemas.microsoft.com/office/drawing/2014/main" id="{31ADAE70-1D90-4831-9B04-E50BAEAD7CBE}"/>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5</xdr:row>
          <xdr:rowOff>59871</xdr:rowOff>
        </xdr:from>
        <xdr:to>
          <xdr:col>3</xdr:col>
          <xdr:colOff>2623457</xdr:colOff>
          <xdr:row>5</xdr:row>
          <xdr:rowOff>272143</xdr:rowOff>
        </xdr:to>
        <xdr:sp macro="" textlink="">
          <xdr:nvSpPr>
            <xdr:cNvPr id="6147" name="obLevelRowFirst" hidden="1">
              <a:extLst>
                <a:ext uri="{63B3BB69-23CF-44E3-9099-C40C66FF867C}">
                  <a14:compatExt spid="_x0000_s6147"/>
                </a:ext>
                <a:ext uri="{FF2B5EF4-FFF2-40B4-BE49-F238E27FC236}">
                  <a16:creationId xmlns:a16="http://schemas.microsoft.com/office/drawing/2014/main" id="{D3427B90-A201-46A0-9A87-8FDDFA7DA98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457200</xdr:colOff>
          <xdr:row>5</xdr:row>
          <xdr:rowOff>272143</xdr:rowOff>
        </xdr:to>
        <xdr:sp macro="" textlink="">
          <xdr:nvSpPr>
            <xdr:cNvPr id="6148" name="obLevelColumnFirst" hidden="1">
              <a:extLst>
                <a:ext uri="{63B3BB69-23CF-44E3-9099-C40C66FF867C}">
                  <a14:compatExt spid="_x0000_s6148"/>
                </a:ext>
                <a:ext uri="{FF2B5EF4-FFF2-40B4-BE49-F238E27FC236}">
                  <a16:creationId xmlns:a16="http://schemas.microsoft.com/office/drawing/2014/main" id="{5A67F484-A7B7-4208-8EBF-2565EE00777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2748643</xdr:colOff>
          <xdr:row>5</xdr:row>
          <xdr:rowOff>0</xdr:rowOff>
        </xdr:from>
        <xdr:to>
          <xdr:col>8</xdr:col>
          <xdr:colOff>190500</xdr:colOff>
          <xdr:row>6</xdr:row>
          <xdr:rowOff>0</xdr:rowOff>
        </xdr:to>
        <xdr:sp macro="" textlink="">
          <xdr:nvSpPr>
            <xdr:cNvPr id="6149" name="Group Box 5" hidden="1">
              <a:extLst>
                <a:ext uri="{63B3BB69-23CF-44E3-9099-C40C66FF867C}">
                  <a14:compatExt spid="_x0000_s6149"/>
                </a:ext>
                <a:ext uri="{FF2B5EF4-FFF2-40B4-BE49-F238E27FC236}">
                  <a16:creationId xmlns:a16="http://schemas.microsoft.com/office/drawing/2014/main" id="{6C94E921-E6AF-46F9-91E0-BB36237AE94D}"/>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5443</xdr:colOff>
          <xdr:row>14</xdr:row>
          <xdr:rowOff>0</xdr:rowOff>
        </xdr:to>
        <xdr:sp macro="" textlink="">
          <xdr:nvSpPr>
            <xdr:cNvPr id="6150" name="Group Box 6" hidden="1">
              <a:extLst>
                <a:ext uri="{63B3BB69-23CF-44E3-9099-C40C66FF867C}">
                  <a14:compatExt spid="_x0000_s6150"/>
                </a:ext>
                <a:ext uri="{FF2B5EF4-FFF2-40B4-BE49-F238E27FC236}">
                  <a16:creationId xmlns:a16="http://schemas.microsoft.com/office/drawing/2014/main" id="{53CD0EA4-0638-4E30-900A-FC2589DE4EDE}"/>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14</xdr:row>
          <xdr:rowOff>195943</xdr:rowOff>
        </xdr:from>
        <xdr:to>
          <xdr:col>2</xdr:col>
          <xdr:colOff>1028700</xdr:colOff>
          <xdr:row>17</xdr:row>
          <xdr:rowOff>38100</xdr:rowOff>
        </xdr:to>
        <xdr:sp macro="" textlink="">
          <xdr:nvSpPr>
            <xdr:cNvPr id="6151" name="cbUseDefaultLevelFirst" hidden="1">
              <a:extLst>
                <a:ext uri="{63B3BB69-23CF-44E3-9099-C40C66FF867C}">
                  <a14:compatExt spid="_x0000_s6151"/>
                </a:ext>
                <a:ext uri="{FF2B5EF4-FFF2-40B4-BE49-F238E27FC236}">
                  <a16:creationId xmlns:a16="http://schemas.microsoft.com/office/drawing/2014/main" id="{2EB97A21-AFB6-421E-8F59-D487196D075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5443</xdr:colOff>
          <xdr:row>8</xdr:row>
          <xdr:rowOff>0</xdr:rowOff>
        </xdr:to>
        <xdr:sp macro="" textlink="">
          <xdr:nvSpPr>
            <xdr:cNvPr id="6152" name="Group Box 8" hidden="1">
              <a:extLst>
                <a:ext uri="{63B3BB69-23CF-44E3-9099-C40C66FF867C}">
                  <a14:compatExt spid="_x0000_s6152"/>
                </a:ext>
                <a:ext uri="{FF2B5EF4-FFF2-40B4-BE49-F238E27FC236}">
                  <a16:creationId xmlns:a16="http://schemas.microsoft.com/office/drawing/2014/main" id="{EBE8964B-56FC-4EFD-8D77-31A9ED68B34C}"/>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xdr:row>
          <xdr:rowOff>0</xdr:rowOff>
        </xdr:from>
        <xdr:to>
          <xdr:col>2</xdr:col>
          <xdr:colOff>1028700</xdr:colOff>
          <xdr:row>11</xdr:row>
          <xdr:rowOff>38100</xdr:rowOff>
        </xdr:to>
        <xdr:sp macro="" textlink="">
          <xdr:nvSpPr>
            <xdr:cNvPr id="6153" name="cbUseDefaultLevelSecond" hidden="1">
              <a:extLst>
                <a:ext uri="{63B3BB69-23CF-44E3-9099-C40C66FF867C}">
                  <a14:compatExt spid="_x0000_s6153"/>
                </a:ext>
                <a:ext uri="{FF2B5EF4-FFF2-40B4-BE49-F238E27FC236}">
                  <a16:creationId xmlns:a16="http://schemas.microsoft.com/office/drawing/2014/main" id="{A2DDBC74-940C-4C15-925B-9F6FFC2156D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70757</xdr:rowOff>
        </xdr:from>
        <xdr:to>
          <xdr:col>9</xdr:col>
          <xdr:colOff>604157</xdr:colOff>
          <xdr:row>21</xdr:row>
          <xdr:rowOff>342900</xdr:rowOff>
        </xdr:to>
        <xdr:sp macro="" textlink="">
          <xdr:nvSpPr>
            <xdr:cNvPr id="6154" name="cbApplyMemberFormatting" hidden="1">
              <a:extLst>
                <a:ext uri="{63B3BB69-23CF-44E3-9099-C40C66FF867C}">
                  <a14:compatExt spid="_x0000_s6154"/>
                </a:ext>
                <a:ext uri="{FF2B5EF4-FFF2-40B4-BE49-F238E27FC236}">
                  <a16:creationId xmlns:a16="http://schemas.microsoft.com/office/drawing/2014/main" id="{273AD246-55B3-4387-8691-0C43BC1C4F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6155" name="Group Box 11" hidden="1">
              <a:extLst>
                <a:ext uri="{63B3BB69-23CF-44E3-9099-C40C66FF867C}">
                  <a14:compatExt spid="_x0000_s6155"/>
                </a:ext>
                <a:ext uri="{FF2B5EF4-FFF2-40B4-BE49-F238E27FC236}">
                  <a16:creationId xmlns:a16="http://schemas.microsoft.com/office/drawing/2014/main" id="{C9C340B4-FE19-44DB-B2DC-E8D64E1694F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22</xdr:row>
          <xdr:rowOff>59871</xdr:rowOff>
        </xdr:from>
        <xdr:to>
          <xdr:col>3</xdr:col>
          <xdr:colOff>2623457</xdr:colOff>
          <xdr:row>22</xdr:row>
          <xdr:rowOff>272143</xdr:rowOff>
        </xdr:to>
        <xdr:sp macro="" textlink="">
          <xdr:nvSpPr>
            <xdr:cNvPr id="6156" name="obMemberRowFirst" hidden="1">
              <a:extLst>
                <a:ext uri="{63B3BB69-23CF-44E3-9099-C40C66FF867C}">
                  <a14:compatExt spid="_x0000_s6156"/>
                </a:ext>
                <a:ext uri="{FF2B5EF4-FFF2-40B4-BE49-F238E27FC236}">
                  <a16:creationId xmlns:a16="http://schemas.microsoft.com/office/drawing/2014/main" id="{5BE42491-0091-4D3B-BB23-8F11DE851FF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457200</xdr:colOff>
          <xdr:row>22</xdr:row>
          <xdr:rowOff>272143</xdr:rowOff>
        </xdr:to>
        <xdr:sp macro="" textlink="">
          <xdr:nvSpPr>
            <xdr:cNvPr id="6157" name="obMemberColumnFirst" hidden="1">
              <a:extLst>
                <a:ext uri="{63B3BB69-23CF-44E3-9099-C40C66FF867C}">
                  <a14:compatExt spid="_x0000_s6157"/>
                </a:ext>
                <a:ext uri="{FF2B5EF4-FFF2-40B4-BE49-F238E27FC236}">
                  <a16:creationId xmlns:a16="http://schemas.microsoft.com/office/drawing/2014/main" id="{F24E7AAF-076F-4A34-9FFD-829B29FBA3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25</xdr:row>
          <xdr:rowOff>0</xdr:rowOff>
        </xdr:from>
        <xdr:to>
          <xdr:col>2</xdr:col>
          <xdr:colOff>1028700</xdr:colOff>
          <xdr:row>28</xdr:row>
          <xdr:rowOff>0</xdr:rowOff>
        </xdr:to>
        <xdr:sp macro="" textlink="">
          <xdr:nvSpPr>
            <xdr:cNvPr id="6158" name="cbApplyCalculatedMemberFirst" hidden="1">
              <a:extLst>
                <a:ext uri="{63B3BB69-23CF-44E3-9099-C40C66FF867C}">
                  <a14:compatExt spid="_x0000_s6158"/>
                </a:ext>
                <a:ext uri="{FF2B5EF4-FFF2-40B4-BE49-F238E27FC236}">
                  <a16:creationId xmlns:a16="http://schemas.microsoft.com/office/drawing/2014/main" id="{205248CE-119A-46CD-B7C9-72F618BA43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28</xdr:row>
          <xdr:rowOff>0</xdr:rowOff>
        </xdr:from>
        <xdr:to>
          <xdr:col>2</xdr:col>
          <xdr:colOff>1028700</xdr:colOff>
          <xdr:row>30</xdr:row>
          <xdr:rowOff>38100</xdr:rowOff>
        </xdr:to>
        <xdr:sp macro="" textlink="">
          <xdr:nvSpPr>
            <xdr:cNvPr id="6159" name="cbApplyImputableMemberFirst" hidden="1">
              <a:extLst>
                <a:ext uri="{63B3BB69-23CF-44E3-9099-C40C66FF867C}">
                  <a14:compatExt spid="_x0000_s6159"/>
                </a:ext>
                <a:ext uri="{FF2B5EF4-FFF2-40B4-BE49-F238E27FC236}">
                  <a16:creationId xmlns:a16="http://schemas.microsoft.com/office/drawing/2014/main" id="{DEEF32D7-720F-40F2-B31C-E02FC9D23B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31</xdr:row>
          <xdr:rowOff>0</xdr:rowOff>
        </xdr:from>
        <xdr:to>
          <xdr:col>2</xdr:col>
          <xdr:colOff>1028700</xdr:colOff>
          <xdr:row>33</xdr:row>
          <xdr:rowOff>38100</xdr:rowOff>
        </xdr:to>
        <xdr:sp macro="" textlink="">
          <xdr:nvSpPr>
            <xdr:cNvPr id="6160" name="cbApplyLocalMemberFirst" hidden="1">
              <a:extLst>
                <a:ext uri="{63B3BB69-23CF-44E3-9099-C40C66FF867C}">
                  <a14:compatExt spid="_x0000_s6160"/>
                </a:ext>
                <a:ext uri="{FF2B5EF4-FFF2-40B4-BE49-F238E27FC236}">
                  <a16:creationId xmlns:a16="http://schemas.microsoft.com/office/drawing/2014/main" id="{58E62BBC-558C-4208-A89F-C93366B70BA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34</xdr:row>
          <xdr:rowOff>0</xdr:rowOff>
        </xdr:from>
        <xdr:to>
          <xdr:col>2</xdr:col>
          <xdr:colOff>1028700</xdr:colOff>
          <xdr:row>36</xdr:row>
          <xdr:rowOff>38100</xdr:rowOff>
        </xdr:to>
        <xdr:sp macro="" textlink="">
          <xdr:nvSpPr>
            <xdr:cNvPr id="6161" name="cbApplyChangedMemberFirst" hidden="1">
              <a:extLst>
                <a:ext uri="{63B3BB69-23CF-44E3-9099-C40C66FF867C}">
                  <a14:compatExt spid="_x0000_s6161"/>
                </a:ext>
                <a:ext uri="{FF2B5EF4-FFF2-40B4-BE49-F238E27FC236}">
                  <a16:creationId xmlns:a16="http://schemas.microsoft.com/office/drawing/2014/main" id="{B13A5B10-3FD8-4BE9-AA89-7CB42178D3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37</xdr:row>
          <xdr:rowOff>43543</xdr:rowOff>
        </xdr:from>
        <xdr:to>
          <xdr:col>2</xdr:col>
          <xdr:colOff>1028700</xdr:colOff>
          <xdr:row>39</xdr:row>
          <xdr:rowOff>0</xdr:rowOff>
        </xdr:to>
        <xdr:sp macro="" textlink="">
          <xdr:nvSpPr>
            <xdr:cNvPr id="6162" name="cbApplySpecificMemberFirst" hidden="1">
              <a:extLst>
                <a:ext uri="{63B3BB69-23CF-44E3-9099-C40C66FF867C}">
                  <a14:compatExt spid="_x0000_s6162"/>
                </a:ext>
                <a:ext uri="{FF2B5EF4-FFF2-40B4-BE49-F238E27FC236}">
                  <a16:creationId xmlns:a16="http://schemas.microsoft.com/office/drawing/2014/main" id="{B4CD8CE7-0102-4A87-B368-ECC286A2819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45</xdr:row>
          <xdr:rowOff>21771</xdr:rowOff>
        </xdr:from>
        <xdr:to>
          <xdr:col>3</xdr:col>
          <xdr:colOff>4288971</xdr:colOff>
          <xdr:row>45</xdr:row>
          <xdr:rowOff>266700</xdr:rowOff>
        </xdr:to>
        <xdr:sp macro="" textlink="">
          <xdr:nvSpPr>
            <xdr:cNvPr id="6163" name="AddMemberFirst" hidden="1">
              <a:extLst>
                <a:ext uri="{63B3BB69-23CF-44E3-9099-C40C66FF867C}">
                  <a14:compatExt spid="_x0000_s6163"/>
                </a:ext>
                <a:ext uri="{FF2B5EF4-FFF2-40B4-BE49-F238E27FC236}">
                  <a16:creationId xmlns:a16="http://schemas.microsoft.com/office/drawing/2014/main" id="{0CC7741A-F44C-457F-9428-7A1272A955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49</xdr:row>
          <xdr:rowOff>0</xdr:rowOff>
        </xdr:from>
        <xdr:to>
          <xdr:col>2</xdr:col>
          <xdr:colOff>1028700</xdr:colOff>
          <xdr:row>52</xdr:row>
          <xdr:rowOff>0</xdr:rowOff>
        </xdr:to>
        <xdr:sp macro="" textlink="">
          <xdr:nvSpPr>
            <xdr:cNvPr id="6164" name="cbApplyCalculatedMemberSecond" hidden="1">
              <a:extLst>
                <a:ext uri="{63B3BB69-23CF-44E3-9099-C40C66FF867C}">
                  <a14:compatExt spid="_x0000_s6164"/>
                </a:ext>
                <a:ext uri="{FF2B5EF4-FFF2-40B4-BE49-F238E27FC236}">
                  <a16:creationId xmlns:a16="http://schemas.microsoft.com/office/drawing/2014/main" id="{27C380E5-8238-4271-8F33-EA2036D0ADC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52</xdr:row>
          <xdr:rowOff>0</xdr:rowOff>
        </xdr:from>
        <xdr:to>
          <xdr:col>2</xdr:col>
          <xdr:colOff>1028700</xdr:colOff>
          <xdr:row>54</xdr:row>
          <xdr:rowOff>38100</xdr:rowOff>
        </xdr:to>
        <xdr:sp macro="" textlink="">
          <xdr:nvSpPr>
            <xdr:cNvPr id="6165" name="cbApplyImputableMemberSecond" hidden="1">
              <a:extLst>
                <a:ext uri="{63B3BB69-23CF-44E3-9099-C40C66FF867C}">
                  <a14:compatExt spid="_x0000_s6165"/>
                </a:ext>
                <a:ext uri="{FF2B5EF4-FFF2-40B4-BE49-F238E27FC236}">
                  <a16:creationId xmlns:a16="http://schemas.microsoft.com/office/drawing/2014/main" id="{98BBFD8B-A839-4109-8B56-B0D159367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55</xdr:row>
          <xdr:rowOff>0</xdr:rowOff>
        </xdr:from>
        <xdr:to>
          <xdr:col>2</xdr:col>
          <xdr:colOff>1028700</xdr:colOff>
          <xdr:row>57</xdr:row>
          <xdr:rowOff>38100</xdr:rowOff>
        </xdr:to>
        <xdr:sp macro="" textlink="">
          <xdr:nvSpPr>
            <xdr:cNvPr id="6166" name="cbApplyLocalMemberSecond" hidden="1">
              <a:extLst>
                <a:ext uri="{63B3BB69-23CF-44E3-9099-C40C66FF867C}">
                  <a14:compatExt spid="_x0000_s6166"/>
                </a:ext>
                <a:ext uri="{FF2B5EF4-FFF2-40B4-BE49-F238E27FC236}">
                  <a16:creationId xmlns:a16="http://schemas.microsoft.com/office/drawing/2014/main" id="{FE905F5A-D704-49FB-9594-0B6095D904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58</xdr:row>
          <xdr:rowOff>0</xdr:rowOff>
        </xdr:from>
        <xdr:to>
          <xdr:col>2</xdr:col>
          <xdr:colOff>1028700</xdr:colOff>
          <xdr:row>60</xdr:row>
          <xdr:rowOff>38100</xdr:rowOff>
        </xdr:to>
        <xdr:sp macro="" textlink="">
          <xdr:nvSpPr>
            <xdr:cNvPr id="6167" name="cbApplyChangedMemberSecond" hidden="1">
              <a:extLst>
                <a:ext uri="{63B3BB69-23CF-44E3-9099-C40C66FF867C}">
                  <a14:compatExt spid="_x0000_s6167"/>
                </a:ext>
                <a:ext uri="{FF2B5EF4-FFF2-40B4-BE49-F238E27FC236}">
                  <a16:creationId xmlns:a16="http://schemas.microsoft.com/office/drawing/2014/main" id="{B0097EC1-0B4C-474E-8FFF-10E14B5F96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61</xdr:row>
          <xdr:rowOff>43543</xdr:rowOff>
        </xdr:from>
        <xdr:to>
          <xdr:col>2</xdr:col>
          <xdr:colOff>1028700</xdr:colOff>
          <xdr:row>63</xdr:row>
          <xdr:rowOff>0</xdr:rowOff>
        </xdr:to>
        <xdr:sp macro="" textlink="">
          <xdr:nvSpPr>
            <xdr:cNvPr id="6168" name="cbApplySpecificMemberSecond" hidden="1">
              <a:extLst>
                <a:ext uri="{63B3BB69-23CF-44E3-9099-C40C66FF867C}">
                  <a14:compatExt spid="_x0000_s6168"/>
                </a:ext>
                <a:ext uri="{FF2B5EF4-FFF2-40B4-BE49-F238E27FC236}">
                  <a16:creationId xmlns:a16="http://schemas.microsoft.com/office/drawing/2014/main" id="{30188A9E-9E1D-4CEF-9AA2-2455433E80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84</xdr:row>
          <xdr:rowOff>21771</xdr:rowOff>
        </xdr:from>
        <xdr:to>
          <xdr:col>3</xdr:col>
          <xdr:colOff>4288971</xdr:colOff>
          <xdr:row>84</xdr:row>
          <xdr:rowOff>266700</xdr:rowOff>
        </xdr:to>
        <xdr:sp macro="" textlink="">
          <xdr:nvSpPr>
            <xdr:cNvPr id="6169" name="AddMemberSecond" hidden="1">
              <a:extLst>
                <a:ext uri="{63B3BB69-23CF-44E3-9099-C40C66FF867C}">
                  <a14:compatExt spid="_x0000_s6169"/>
                </a:ext>
                <a:ext uri="{FF2B5EF4-FFF2-40B4-BE49-F238E27FC236}">
                  <a16:creationId xmlns:a16="http://schemas.microsoft.com/office/drawing/2014/main" id="{88B5D347-EF56-467B-8734-F8ABE2A5921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70757</xdr:rowOff>
        </xdr:from>
        <xdr:to>
          <xdr:col>7</xdr:col>
          <xdr:colOff>1796143</xdr:colOff>
          <xdr:row>88</xdr:row>
          <xdr:rowOff>342900</xdr:rowOff>
        </xdr:to>
        <xdr:sp macro="" textlink="">
          <xdr:nvSpPr>
            <xdr:cNvPr id="6170" name="cbApplyOddEvenFormatting" hidden="1">
              <a:extLst>
                <a:ext uri="{63B3BB69-23CF-44E3-9099-C40C66FF867C}">
                  <a14:compatExt spid="_x0000_s6170"/>
                </a:ext>
                <a:ext uri="{FF2B5EF4-FFF2-40B4-BE49-F238E27FC236}">
                  <a16:creationId xmlns:a16="http://schemas.microsoft.com/office/drawing/2014/main" id="{56DB232F-70BB-4A32-9D7A-996B6FC76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6171" name="Group Box 27" hidden="1">
              <a:extLst>
                <a:ext uri="{63B3BB69-23CF-44E3-9099-C40C66FF867C}">
                  <a14:compatExt spid="_x0000_s6171"/>
                </a:ext>
                <a:ext uri="{FF2B5EF4-FFF2-40B4-BE49-F238E27FC236}">
                  <a16:creationId xmlns:a16="http://schemas.microsoft.com/office/drawing/2014/main" id="{B1DB8925-CECB-4063-941C-7F90C38CA82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89</xdr:row>
          <xdr:rowOff>70757</xdr:rowOff>
        </xdr:from>
        <xdr:to>
          <xdr:col>3</xdr:col>
          <xdr:colOff>2623457</xdr:colOff>
          <xdr:row>89</xdr:row>
          <xdr:rowOff>272143</xdr:rowOff>
        </xdr:to>
        <xdr:sp macro="" textlink="">
          <xdr:nvSpPr>
            <xdr:cNvPr id="6172" name="obOddEvenRowFirst" hidden="1">
              <a:extLst>
                <a:ext uri="{63B3BB69-23CF-44E3-9099-C40C66FF867C}">
                  <a14:compatExt spid="_x0000_s6172"/>
                </a:ext>
                <a:ext uri="{FF2B5EF4-FFF2-40B4-BE49-F238E27FC236}">
                  <a16:creationId xmlns:a16="http://schemas.microsoft.com/office/drawing/2014/main" id="{D90AE150-258A-423B-9A82-C57CF26F2FB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89</xdr:row>
          <xdr:rowOff>70757</xdr:rowOff>
        </xdr:from>
        <xdr:to>
          <xdr:col>3</xdr:col>
          <xdr:colOff>457200</xdr:colOff>
          <xdr:row>89</xdr:row>
          <xdr:rowOff>272143</xdr:rowOff>
        </xdr:to>
        <xdr:sp macro="" textlink="">
          <xdr:nvSpPr>
            <xdr:cNvPr id="6173" name="obOddEvenColumnFirst" hidden="1">
              <a:extLst>
                <a:ext uri="{63B3BB69-23CF-44E3-9099-C40C66FF867C}">
                  <a14:compatExt spid="_x0000_s6173"/>
                </a:ext>
                <a:ext uri="{FF2B5EF4-FFF2-40B4-BE49-F238E27FC236}">
                  <a16:creationId xmlns:a16="http://schemas.microsoft.com/office/drawing/2014/main" id="{F3372BBE-D923-47F3-9EE9-E7C59F95E4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92</xdr:row>
          <xdr:rowOff>0</xdr:rowOff>
        </xdr:from>
        <xdr:to>
          <xdr:col>2</xdr:col>
          <xdr:colOff>1028700</xdr:colOff>
          <xdr:row>94</xdr:row>
          <xdr:rowOff>38100</xdr:rowOff>
        </xdr:to>
        <xdr:sp macro="" textlink="">
          <xdr:nvSpPr>
            <xdr:cNvPr id="6174" name="cbUseOddFirst" hidden="1">
              <a:extLst>
                <a:ext uri="{63B3BB69-23CF-44E3-9099-C40C66FF867C}">
                  <a14:compatExt spid="_x0000_s6174"/>
                </a:ext>
                <a:ext uri="{FF2B5EF4-FFF2-40B4-BE49-F238E27FC236}">
                  <a16:creationId xmlns:a16="http://schemas.microsoft.com/office/drawing/2014/main" id="{1325D27B-1C71-45F5-8E3A-C0876EFC111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95</xdr:row>
          <xdr:rowOff>0</xdr:rowOff>
        </xdr:from>
        <xdr:to>
          <xdr:col>2</xdr:col>
          <xdr:colOff>1028700</xdr:colOff>
          <xdr:row>97</xdr:row>
          <xdr:rowOff>38100</xdr:rowOff>
        </xdr:to>
        <xdr:sp macro="" textlink="">
          <xdr:nvSpPr>
            <xdr:cNvPr id="6175" name="cbUseEvenFirst" hidden="1">
              <a:extLst>
                <a:ext uri="{63B3BB69-23CF-44E3-9099-C40C66FF867C}">
                  <a14:compatExt spid="_x0000_s6175"/>
                </a:ext>
                <a:ext uri="{FF2B5EF4-FFF2-40B4-BE49-F238E27FC236}">
                  <a16:creationId xmlns:a16="http://schemas.microsoft.com/office/drawing/2014/main" id="{BEE00C70-1C80-44EA-B2C1-9A48ED89F6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100</xdr:row>
          <xdr:rowOff>0</xdr:rowOff>
        </xdr:from>
        <xdr:to>
          <xdr:col>2</xdr:col>
          <xdr:colOff>1028700</xdr:colOff>
          <xdr:row>102</xdr:row>
          <xdr:rowOff>38100</xdr:rowOff>
        </xdr:to>
        <xdr:sp macro="" textlink="">
          <xdr:nvSpPr>
            <xdr:cNvPr id="6176" name="cbUseOddSecond" hidden="1">
              <a:extLst>
                <a:ext uri="{63B3BB69-23CF-44E3-9099-C40C66FF867C}">
                  <a14:compatExt spid="_x0000_s6176"/>
                </a:ext>
                <a:ext uri="{FF2B5EF4-FFF2-40B4-BE49-F238E27FC236}">
                  <a16:creationId xmlns:a16="http://schemas.microsoft.com/office/drawing/2014/main" id="{EE78C526-5CD8-47B0-BD2A-3299AECE1EC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102</xdr:row>
          <xdr:rowOff>43543</xdr:rowOff>
        </xdr:from>
        <xdr:to>
          <xdr:col>2</xdr:col>
          <xdr:colOff>1028700</xdr:colOff>
          <xdr:row>105</xdr:row>
          <xdr:rowOff>38100</xdr:rowOff>
        </xdr:to>
        <xdr:sp macro="" textlink="">
          <xdr:nvSpPr>
            <xdr:cNvPr id="6177" name="cbUseEvenSecond" hidden="1">
              <a:extLst>
                <a:ext uri="{63B3BB69-23CF-44E3-9099-C40C66FF867C}">
                  <a14:compatExt spid="_x0000_s6177"/>
                </a:ext>
                <a:ext uri="{FF2B5EF4-FFF2-40B4-BE49-F238E27FC236}">
                  <a16:creationId xmlns:a16="http://schemas.microsoft.com/office/drawing/2014/main" id="{9B146974-875D-43F3-A544-98255AA0CCC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43543</xdr:rowOff>
        </xdr:from>
        <xdr:to>
          <xdr:col>12</xdr:col>
          <xdr:colOff>691243</xdr:colOff>
          <xdr:row>64</xdr:row>
          <xdr:rowOff>190500</xdr:rowOff>
        </xdr:to>
        <xdr:sp macro="" textlink="">
          <xdr:nvSpPr>
            <xdr:cNvPr id="6178" name="AddedMember2_1" hidden="1">
              <a:extLst>
                <a:ext uri="{63B3BB69-23CF-44E3-9099-C40C66FF867C}">
                  <a14:compatExt spid="_x0000_s6178"/>
                </a:ext>
                <a:ext uri="{FF2B5EF4-FFF2-40B4-BE49-F238E27FC236}">
                  <a16:creationId xmlns:a16="http://schemas.microsoft.com/office/drawing/2014/main" id="{8919E1B6-22D5-48F7-AE2C-2093A818A47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43543</xdr:rowOff>
        </xdr:from>
        <xdr:to>
          <xdr:col>13</xdr:col>
          <xdr:colOff>691243</xdr:colOff>
          <xdr:row>64</xdr:row>
          <xdr:rowOff>190500</xdr:rowOff>
        </xdr:to>
        <xdr:sp macro="" textlink="">
          <xdr:nvSpPr>
            <xdr:cNvPr id="6179" name="ChangeMember2_1" hidden="1">
              <a:extLst>
                <a:ext uri="{63B3BB69-23CF-44E3-9099-C40C66FF867C}">
                  <a14:compatExt spid="_x0000_s6179"/>
                </a:ext>
                <a:ext uri="{FF2B5EF4-FFF2-40B4-BE49-F238E27FC236}">
                  <a16:creationId xmlns:a16="http://schemas.microsoft.com/office/drawing/2014/main" id="{5D13F183-65C7-4913-AE62-348B6B69754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43543</xdr:rowOff>
        </xdr:from>
        <xdr:to>
          <xdr:col>14</xdr:col>
          <xdr:colOff>691243</xdr:colOff>
          <xdr:row>64</xdr:row>
          <xdr:rowOff>190500</xdr:rowOff>
        </xdr:to>
        <xdr:sp macro="" textlink="">
          <xdr:nvSpPr>
            <xdr:cNvPr id="6180" name="UpMember2_1" hidden="1">
              <a:extLst>
                <a:ext uri="{63B3BB69-23CF-44E3-9099-C40C66FF867C}">
                  <a14:compatExt spid="_x0000_s6180"/>
                </a:ext>
                <a:ext uri="{FF2B5EF4-FFF2-40B4-BE49-F238E27FC236}">
                  <a16:creationId xmlns:a16="http://schemas.microsoft.com/office/drawing/2014/main" id="{FC48DE2C-059D-4654-953C-49423EFD37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707571</xdr:colOff>
          <xdr:row>63</xdr:row>
          <xdr:rowOff>43543</xdr:rowOff>
        </xdr:from>
        <xdr:to>
          <xdr:col>15</xdr:col>
          <xdr:colOff>691243</xdr:colOff>
          <xdr:row>64</xdr:row>
          <xdr:rowOff>190500</xdr:rowOff>
        </xdr:to>
        <xdr:sp macro="" textlink="">
          <xdr:nvSpPr>
            <xdr:cNvPr id="6181" name="DownMember2_1" hidden="1">
              <a:extLst>
                <a:ext uri="{63B3BB69-23CF-44E3-9099-C40C66FF867C}">
                  <a14:compatExt spid="_x0000_s6181"/>
                </a:ext>
                <a:ext uri="{FF2B5EF4-FFF2-40B4-BE49-F238E27FC236}">
                  <a16:creationId xmlns:a16="http://schemas.microsoft.com/office/drawing/2014/main" id="{A0E57418-AFE8-4F1A-BE67-151A02FEA29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707571</xdr:colOff>
          <xdr:row>68</xdr:row>
          <xdr:rowOff>0</xdr:rowOff>
        </xdr:to>
        <xdr:sp macro="" textlink="">
          <xdr:nvSpPr>
            <xdr:cNvPr id="6182" name="AddedMember2_2" hidden="1">
              <a:extLst>
                <a:ext uri="{63B3BB69-23CF-44E3-9099-C40C66FF867C}">
                  <a14:compatExt spid="_x0000_s6182"/>
                </a:ext>
                <a:ext uri="{FF2B5EF4-FFF2-40B4-BE49-F238E27FC236}">
                  <a16:creationId xmlns:a16="http://schemas.microsoft.com/office/drawing/2014/main" id="{01D6B74A-0D70-4289-8DEB-306C21AA702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707571</xdr:colOff>
          <xdr:row>68</xdr:row>
          <xdr:rowOff>0</xdr:rowOff>
        </xdr:to>
        <xdr:sp macro="" textlink="">
          <xdr:nvSpPr>
            <xdr:cNvPr id="6183" name="ChangeMember2_2" hidden="1">
              <a:extLst>
                <a:ext uri="{63B3BB69-23CF-44E3-9099-C40C66FF867C}">
                  <a14:compatExt spid="_x0000_s6183"/>
                </a:ext>
                <a:ext uri="{FF2B5EF4-FFF2-40B4-BE49-F238E27FC236}">
                  <a16:creationId xmlns:a16="http://schemas.microsoft.com/office/drawing/2014/main" id="{BE0B2CEE-8066-440B-AF7B-EBE766E4D93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707571</xdr:colOff>
          <xdr:row>68</xdr:row>
          <xdr:rowOff>0</xdr:rowOff>
        </xdr:to>
        <xdr:sp macro="" textlink="">
          <xdr:nvSpPr>
            <xdr:cNvPr id="6184" name="UpMember2_2" hidden="1">
              <a:extLst>
                <a:ext uri="{63B3BB69-23CF-44E3-9099-C40C66FF867C}">
                  <a14:compatExt spid="_x0000_s6184"/>
                </a:ext>
                <a:ext uri="{FF2B5EF4-FFF2-40B4-BE49-F238E27FC236}">
                  <a16:creationId xmlns:a16="http://schemas.microsoft.com/office/drawing/2014/main" id="{D0A1A7A5-565F-4C41-B76D-D5C53A980C5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6185" name="DownMember2_2" hidden="1">
              <a:extLst>
                <a:ext uri="{63B3BB69-23CF-44E3-9099-C40C66FF867C}">
                  <a14:compatExt spid="_x0000_s6185"/>
                </a:ext>
                <a:ext uri="{FF2B5EF4-FFF2-40B4-BE49-F238E27FC236}">
                  <a16:creationId xmlns:a16="http://schemas.microsoft.com/office/drawing/2014/main" id="{2D8377D3-2370-40E7-A7A0-2293294F786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59871</xdr:rowOff>
        </xdr:from>
        <xdr:to>
          <xdr:col>12</xdr:col>
          <xdr:colOff>707571</xdr:colOff>
          <xdr:row>71</xdr:row>
          <xdr:rowOff>0</xdr:rowOff>
        </xdr:to>
        <xdr:sp macro="" textlink="">
          <xdr:nvSpPr>
            <xdr:cNvPr id="6186" name="AddedMember2_3" hidden="1">
              <a:extLst>
                <a:ext uri="{63B3BB69-23CF-44E3-9099-C40C66FF867C}">
                  <a14:compatExt spid="_x0000_s6186"/>
                </a:ext>
                <a:ext uri="{FF2B5EF4-FFF2-40B4-BE49-F238E27FC236}">
                  <a16:creationId xmlns:a16="http://schemas.microsoft.com/office/drawing/2014/main" id="{5BB82ED5-BB67-4379-BBB7-07B70F8FAC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59871</xdr:rowOff>
        </xdr:from>
        <xdr:to>
          <xdr:col>13</xdr:col>
          <xdr:colOff>707571</xdr:colOff>
          <xdr:row>71</xdr:row>
          <xdr:rowOff>0</xdr:rowOff>
        </xdr:to>
        <xdr:sp macro="" textlink="">
          <xdr:nvSpPr>
            <xdr:cNvPr id="6187" name="ChangeMember2_3" hidden="1">
              <a:extLst>
                <a:ext uri="{63B3BB69-23CF-44E3-9099-C40C66FF867C}">
                  <a14:compatExt spid="_x0000_s6187"/>
                </a:ext>
                <a:ext uri="{FF2B5EF4-FFF2-40B4-BE49-F238E27FC236}">
                  <a16:creationId xmlns:a16="http://schemas.microsoft.com/office/drawing/2014/main" id="{3A4D5B29-878F-4F07-8971-2028ADD3289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59871</xdr:rowOff>
        </xdr:from>
        <xdr:to>
          <xdr:col>14</xdr:col>
          <xdr:colOff>707571</xdr:colOff>
          <xdr:row>71</xdr:row>
          <xdr:rowOff>0</xdr:rowOff>
        </xdr:to>
        <xdr:sp macro="" textlink="">
          <xdr:nvSpPr>
            <xdr:cNvPr id="6188" name="UpMember2_3" hidden="1">
              <a:extLst>
                <a:ext uri="{63B3BB69-23CF-44E3-9099-C40C66FF867C}">
                  <a14:compatExt spid="_x0000_s6188"/>
                </a:ext>
                <a:ext uri="{FF2B5EF4-FFF2-40B4-BE49-F238E27FC236}">
                  <a16:creationId xmlns:a16="http://schemas.microsoft.com/office/drawing/2014/main" id="{ACDDD7A2-4B97-4616-A5C8-036EA5834A7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59871</xdr:rowOff>
        </xdr:from>
        <xdr:to>
          <xdr:col>16</xdr:col>
          <xdr:colOff>0</xdr:colOff>
          <xdr:row>71</xdr:row>
          <xdr:rowOff>0</xdr:rowOff>
        </xdr:to>
        <xdr:sp macro="" textlink="">
          <xdr:nvSpPr>
            <xdr:cNvPr id="6189" name="DownMember2_3" hidden="1">
              <a:extLst>
                <a:ext uri="{63B3BB69-23CF-44E3-9099-C40C66FF867C}">
                  <a14:compatExt spid="_x0000_s6189"/>
                </a:ext>
                <a:ext uri="{FF2B5EF4-FFF2-40B4-BE49-F238E27FC236}">
                  <a16:creationId xmlns:a16="http://schemas.microsoft.com/office/drawing/2014/main" id="{857CB80B-D9E1-41E9-AFEB-C6E5FB49707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59871</xdr:rowOff>
        </xdr:from>
        <xdr:to>
          <xdr:col>12</xdr:col>
          <xdr:colOff>707571</xdr:colOff>
          <xdr:row>74</xdr:row>
          <xdr:rowOff>32657</xdr:rowOff>
        </xdr:to>
        <xdr:sp macro="" textlink="">
          <xdr:nvSpPr>
            <xdr:cNvPr id="6190" name="AddedMember2_4" hidden="1">
              <a:extLst>
                <a:ext uri="{63B3BB69-23CF-44E3-9099-C40C66FF867C}">
                  <a14:compatExt spid="_x0000_s6190"/>
                </a:ext>
                <a:ext uri="{FF2B5EF4-FFF2-40B4-BE49-F238E27FC236}">
                  <a16:creationId xmlns:a16="http://schemas.microsoft.com/office/drawing/2014/main" id="{15D6D852-A250-4A10-A409-3BD25160C7E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59871</xdr:rowOff>
        </xdr:from>
        <xdr:to>
          <xdr:col>13</xdr:col>
          <xdr:colOff>707571</xdr:colOff>
          <xdr:row>74</xdr:row>
          <xdr:rowOff>32657</xdr:rowOff>
        </xdr:to>
        <xdr:sp macro="" textlink="">
          <xdr:nvSpPr>
            <xdr:cNvPr id="6191" name="ChangeMember2_4" hidden="1">
              <a:extLst>
                <a:ext uri="{63B3BB69-23CF-44E3-9099-C40C66FF867C}">
                  <a14:compatExt spid="_x0000_s6191"/>
                </a:ext>
                <a:ext uri="{FF2B5EF4-FFF2-40B4-BE49-F238E27FC236}">
                  <a16:creationId xmlns:a16="http://schemas.microsoft.com/office/drawing/2014/main" id="{E9ED292A-BC20-44B3-89B2-89B679B4405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59871</xdr:rowOff>
        </xdr:from>
        <xdr:to>
          <xdr:col>14</xdr:col>
          <xdr:colOff>707571</xdr:colOff>
          <xdr:row>74</xdr:row>
          <xdr:rowOff>32657</xdr:rowOff>
        </xdr:to>
        <xdr:sp macro="" textlink="">
          <xdr:nvSpPr>
            <xdr:cNvPr id="6192" name="UpMember2_4" hidden="1">
              <a:extLst>
                <a:ext uri="{63B3BB69-23CF-44E3-9099-C40C66FF867C}">
                  <a14:compatExt spid="_x0000_s6192"/>
                </a:ext>
                <a:ext uri="{FF2B5EF4-FFF2-40B4-BE49-F238E27FC236}">
                  <a16:creationId xmlns:a16="http://schemas.microsoft.com/office/drawing/2014/main" id="{6CFB1A57-8050-4CA1-A39A-0A7A29AE91C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59871</xdr:rowOff>
        </xdr:from>
        <xdr:to>
          <xdr:col>16</xdr:col>
          <xdr:colOff>0</xdr:colOff>
          <xdr:row>74</xdr:row>
          <xdr:rowOff>32657</xdr:rowOff>
        </xdr:to>
        <xdr:sp macro="" textlink="">
          <xdr:nvSpPr>
            <xdr:cNvPr id="6193" name="DownMember2_4" hidden="1">
              <a:extLst>
                <a:ext uri="{63B3BB69-23CF-44E3-9099-C40C66FF867C}">
                  <a14:compatExt spid="_x0000_s6193"/>
                </a:ext>
                <a:ext uri="{FF2B5EF4-FFF2-40B4-BE49-F238E27FC236}">
                  <a16:creationId xmlns:a16="http://schemas.microsoft.com/office/drawing/2014/main" id="{96BA8614-6BA4-4540-9C63-A4E57CDBDD7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707571</xdr:colOff>
          <xdr:row>77</xdr:row>
          <xdr:rowOff>32657</xdr:rowOff>
        </xdr:to>
        <xdr:sp macro="" textlink="">
          <xdr:nvSpPr>
            <xdr:cNvPr id="6194" name="AddedMember2_5" hidden="1">
              <a:extLst>
                <a:ext uri="{63B3BB69-23CF-44E3-9099-C40C66FF867C}">
                  <a14:compatExt spid="_x0000_s6194"/>
                </a:ext>
                <a:ext uri="{FF2B5EF4-FFF2-40B4-BE49-F238E27FC236}">
                  <a16:creationId xmlns:a16="http://schemas.microsoft.com/office/drawing/2014/main" id="{F012E7B8-2CDE-43EE-A841-E7A93E344CD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707571</xdr:colOff>
          <xdr:row>77</xdr:row>
          <xdr:rowOff>32657</xdr:rowOff>
        </xdr:to>
        <xdr:sp macro="" textlink="">
          <xdr:nvSpPr>
            <xdr:cNvPr id="6195" name="ChangeMember2_5" hidden="1">
              <a:extLst>
                <a:ext uri="{63B3BB69-23CF-44E3-9099-C40C66FF867C}">
                  <a14:compatExt spid="_x0000_s6195"/>
                </a:ext>
                <a:ext uri="{FF2B5EF4-FFF2-40B4-BE49-F238E27FC236}">
                  <a16:creationId xmlns:a16="http://schemas.microsoft.com/office/drawing/2014/main" id="{A58F35FC-933C-4429-8D10-53E6222807B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707571</xdr:colOff>
          <xdr:row>77</xdr:row>
          <xdr:rowOff>32657</xdr:rowOff>
        </xdr:to>
        <xdr:sp macro="" textlink="">
          <xdr:nvSpPr>
            <xdr:cNvPr id="6196" name="UpMember2_5" hidden="1">
              <a:extLst>
                <a:ext uri="{63B3BB69-23CF-44E3-9099-C40C66FF867C}">
                  <a14:compatExt spid="_x0000_s6196"/>
                </a:ext>
                <a:ext uri="{FF2B5EF4-FFF2-40B4-BE49-F238E27FC236}">
                  <a16:creationId xmlns:a16="http://schemas.microsoft.com/office/drawing/2014/main" id="{E3DE6D5C-86F5-4054-BC9C-26FB537DB27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32657</xdr:rowOff>
        </xdr:to>
        <xdr:sp macro="" textlink="">
          <xdr:nvSpPr>
            <xdr:cNvPr id="6197" name="DownMember2_5" hidden="1">
              <a:extLst>
                <a:ext uri="{63B3BB69-23CF-44E3-9099-C40C66FF867C}">
                  <a14:compatExt spid="_x0000_s6197"/>
                </a:ext>
                <a:ext uri="{FF2B5EF4-FFF2-40B4-BE49-F238E27FC236}">
                  <a16:creationId xmlns:a16="http://schemas.microsoft.com/office/drawing/2014/main" id="{9EB17C4B-4AB2-41D6-9AF8-A19F39EFB7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707571</xdr:colOff>
          <xdr:row>80</xdr:row>
          <xdr:rowOff>32657</xdr:rowOff>
        </xdr:to>
        <xdr:sp macro="" textlink="">
          <xdr:nvSpPr>
            <xdr:cNvPr id="6198" name="AddedMember2_6" hidden="1">
              <a:extLst>
                <a:ext uri="{63B3BB69-23CF-44E3-9099-C40C66FF867C}">
                  <a14:compatExt spid="_x0000_s6198"/>
                </a:ext>
                <a:ext uri="{FF2B5EF4-FFF2-40B4-BE49-F238E27FC236}">
                  <a16:creationId xmlns:a16="http://schemas.microsoft.com/office/drawing/2014/main" id="{984B7A3F-E2C6-4A9F-9943-4A6781D2C69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707571</xdr:colOff>
          <xdr:row>80</xdr:row>
          <xdr:rowOff>32657</xdr:rowOff>
        </xdr:to>
        <xdr:sp macro="" textlink="">
          <xdr:nvSpPr>
            <xdr:cNvPr id="6199" name="ChangeMember2_6" hidden="1">
              <a:extLst>
                <a:ext uri="{63B3BB69-23CF-44E3-9099-C40C66FF867C}">
                  <a14:compatExt spid="_x0000_s6199"/>
                </a:ext>
                <a:ext uri="{FF2B5EF4-FFF2-40B4-BE49-F238E27FC236}">
                  <a16:creationId xmlns:a16="http://schemas.microsoft.com/office/drawing/2014/main" id="{BCFD4F05-F967-42FC-A887-D6BD62CDBA1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707571</xdr:colOff>
          <xdr:row>80</xdr:row>
          <xdr:rowOff>32657</xdr:rowOff>
        </xdr:to>
        <xdr:sp macro="" textlink="">
          <xdr:nvSpPr>
            <xdr:cNvPr id="6200" name="UpMember2_6" hidden="1">
              <a:extLst>
                <a:ext uri="{63B3BB69-23CF-44E3-9099-C40C66FF867C}">
                  <a14:compatExt spid="_x0000_s6200"/>
                </a:ext>
                <a:ext uri="{FF2B5EF4-FFF2-40B4-BE49-F238E27FC236}">
                  <a16:creationId xmlns:a16="http://schemas.microsoft.com/office/drawing/2014/main" id="{9367999A-4500-4B43-BFCF-07344025F88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32657</xdr:rowOff>
        </xdr:to>
        <xdr:sp macro="" textlink="">
          <xdr:nvSpPr>
            <xdr:cNvPr id="6201" name="DownMember2_6" hidden="1">
              <a:extLst>
                <a:ext uri="{63B3BB69-23CF-44E3-9099-C40C66FF867C}">
                  <a14:compatExt spid="_x0000_s6201"/>
                </a:ext>
                <a:ext uri="{FF2B5EF4-FFF2-40B4-BE49-F238E27FC236}">
                  <a16:creationId xmlns:a16="http://schemas.microsoft.com/office/drawing/2014/main" id="{97AE2716-1386-4AF4-A87D-1D36F05EEDF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707571</xdr:colOff>
          <xdr:row>83</xdr:row>
          <xdr:rowOff>0</xdr:rowOff>
        </xdr:to>
        <xdr:sp macro="" textlink="">
          <xdr:nvSpPr>
            <xdr:cNvPr id="6202" name="AddedMember2_7" hidden="1">
              <a:extLst>
                <a:ext uri="{63B3BB69-23CF-44E3-9099-C40C66FF867C}">
                  <a14:compatExt spid="_x0000_s6202"/>
                </a:ext>
                <a:ext uri="{FF2B5EF4-FFF2-40B4-BE49-F238E27FC236}">
                  <a16:creationId xmlns:a16="http://schemas.microsoft.com/office/drawing/2014/main" id="{D5CCE7FB-4FC3-46BE-8A69-CA91F15FC88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707571</xdr:colOff>
          <xdr:row>83</xdr:row>
          <xdr:rowOff>0</xdr:rowOff>
        </xdr:to>
        <xdr:sp macro="" textlink="">
          <xdr:nvSpPr>
            <xdr:cNvPr id="6203" name="ChangeMember2_7" hidden="1">
              <a:extLst>
                <a:ext uri="{63B3BB69-23CF-44E3-9099-C40C66FF867C}">
                  <a14:compatExt spid="_x0000_s6203"/>
                </a:ext>
                <a:ext uri="{FF2B5EF4-FFF2-40B4-BE49-F238E27FC236}">
                  <a16:creationId xmlns:a16="http://schemas.microsoft.com/office/drawing/2014/main" id="{1400E351-FB2C-4CB5-9A1E-E02D28FEF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707571</xdr:colOff>
          <xdr:row>83</xdr:row>
          <xdr:rowOff>0</xdr:rowOff>
        </xdr:to>
        <xdr:sp macro="" textlink="">
          <xdr:nvSpPr>
            <xdr:cNvPr id="6204" name="UpMember2_7" hidden="1">
              <a:extLst>
                <a:ext uri="{63B3BB69-23CF-44E3-9099-C40C66FF867C}">
                  <a14:compatExt spid="_x0000_s6204"/>
                </a:ext>
                <a:ext uri="{FF2B5EF4-FFF2-40B4-BE49-F238E27FC236}">
                  <a16:creationId xmlns:a16="http://schemas.microsoft.com/office/drawing/2014/main" id="{8897E292-A3DC-4AA9-B923-A11ED76095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6205" name="DownMember2_7" hidden="1">
              <a:extLst>
                <a:ext uri="{63B3BB69-23CF-44E3-9099-C40C66FF867C}">
                  <a14:compatExt spid="_x0000_s6205"/>
                </a:ext>
                <a:ext uri="{FF2B5EF4-FFF2-40B4-BE49-F238E27FC236}">
                  <a16:creationId xmlns:a16="http://schemas.microsoft.com/office/drawing/2014/main" id="{D3170B1C-07B5-4128-98B8-6FCCCF14D61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59871</xdr:rowOff>
        </xdr:from>
        <xdr:to>
          <xdr:col>12</xdr:col>
          <xdr:colOff>707571</xdr:colOff>
          <xdr:row>41</xdr:row>
          <xdr:rowOff>0</xdr:rowOff>
        </xdr:to>
        <xdr:sp macro="" textlink="">
          <xdr:nvSpPr>
            <xdr:cNvPr id="6206" name="AddedMember1_1" hidden="1">
              <a:extLst>
                <a:ext uri="{63B3BB69-23CF-44E3-9099-C40C66FF867C}">
                  <a14:compatExt spid="_x0000_s6206"/>
                </a:ext>
                <a:ext uri="{FF2B5EF4-FFF2-40B4-BE49-F238E27FC236}">
                  <a16:creationId xmlns:a16="http://schemas.microsoft.com/office/drawing/2014/main" id="{FCF5E0E9-1DEC-462E-8D7C-3298A776879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59871</xdr:rowOff>
        </xdr:from>
        <xdr:to>
          <xdr:col>13</xdr:col>
          <xdr:colOff>707571</xdr:colOff>
          <xdr:row>41</xdr:row>
          <xdr:rowOff>0</xdr:rowOff>
        </xdr:to>
        <xdr:sp macro="" textlink="">
          <xdr:nvSpPr>
            <xdr:cNvPr id="6207" name="ChangeMember1_1" hidden="1">
              <a:extLst>
                <a:ext uri="{63B3BB69-23CF-44E3-9099-C40C66FF867C}">
                  <a14:compatExt spid="_x0000_s6207"/>
                </a:ext>
                <a:ext uri="{FF2B5EF4-FFF2-40B4-BE49-F238E27FC236}">
                  <a16:creationId xmlns:a16="http://schemas.microsoft.com/office/drawing/2014/main" id="{6401BD91-2D2B-4EDA-A041-9DA2217A8F3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59871</xdr:rowOff>
        </xdr:from>
        <xdr:to>
          <xdr:col>14</xdr:col>
          <xdr:colOff>707571</xdr:colOff>
          <xdr:row>41</xdr:row>
          <xdr:rowOff>0</xdr:rowOff>
        </xdr:to>
        <xdr:sp macro="" textlink="">
          <xdr:nvSpPr>
            <xdr:cNvPr id="6208" name="UpMember1_1" hidden="1">
              <a:extLst>
                <a:ext uri="{63B3BB69-23CF-44E3-9099-C40C66FF867C}">
                  <a14:compatExt spid="_x0000_s6208"/>
                </a:ext>
                <a:ext uri="{FF2B5EF4-FFF2-40B4-BE49-F238E27FC236}">
                  <a16:creationId xmlns:a16="http://schemas.microsoft.com/office/drawing/2014/main" id="{2566B255-96B9-480C-8C85-F07537A10E3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59871</xdr:rowOff>
        </xdr:from>
        <xdr:to>
          <xdr:col>16</xdr:col>
          <xdr:colOff>0</xdr:colOff>
          <xdr:row>41</xdr:row>
          <xdr:rowOff>0</xdr:rowOff>
        </xdr:to>
        <xdr:sp macro="" textlink="">
          <xdr:nvSpPr>
            <xdr:cNvPr id="6209" name="DownMember1_1" hidden="1">
              <a:extLst>
                <a:ext uri="{63B3BB69-23CF-44E3-9099-C40C66FF867C}">
                  <a14:compatExt spid="_x0000_s6209"/>
                </a:ext>
                <a:ext uri="{FF2B5EF4-FFF2-40B4-BE49-F238E27FC236}">
                  <a16:creationId xmlns:a16="http://schemas.microsoft.com/office/drawing/2014/main" id="{A7ADCCF7-0A5C-4F9E-8A70-0AE2618ED2F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707571</xdr:colOff>
          <xdr:row>44</xdr:row>
          <xdr:rowOff>32657</xdr:rowOff>
        </xdr:to>
        <xdr:sp macro="" textlink="">
          <xdr:nvSpPr>
            <xdr:cNvPr id="6210" name="AddedMember1_2" hidden="1">
              <a:extLst>
                <a:ext uri="{63B3BB69-23CF-44E3-9099-C40C66FF867C}">
                  <a14:compatExt spid="_x0000_s6210"/>
                </a:ext>
                <a:ext uri="{FF2B5EF4-FFF2-40B4-BE49-F238E27FC236}">
                  <a16:creationId xmlns:a16="http://schemas.microsoft.com/office/drawing/2014/main" id="{5281B779-07C5-49AC-A378-49F3A6926DB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707571</xdr:colOff>
          <xdr:row>44</xdr:row>
          <xdr:rowOff>32657</xdr:rowOff>
        </xdr:to>
        <xdr:sp macro="" textlink="">
          <xdr:nvSpPr>
            <xdr:cNvPr id="6211" name="ChangeMember1_2" hidden="1">
              <a:extLst>
                <a:ext uri="{63B3BB69-23CF-44E3-9099-C40C66FF867C}">
                  <a14:compatExt spid="_x0000_s6211"/>
                </a:ext>
                <a:ext uri="{FF2B5EF4-FFF2-40B4-BE49-F238E27FC236}">
                  <a16:creationId xmlns:a16="http://schemas.microsoft.com/office/drawing/2014/main" id="{616DA2B9-F704-4ED7-B98E-F55F0D9F2DB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707571</xdr:colOff>
          <xdr:row>44</xdr:row>
          <xdr:rowOff>32657</xdr:rowOff>
        </xdr:to>
        <xdr:sp macro="" textlink="">
          <xdr:nvSpPr>
            <xdr:cNvPr id="6212" name="UpMember1_2" hidden="1">
              <a:extLst>
                <a:ext uri="{63B3BB69-23CF-44E3-9099-C40C66FF867C}">
                  <a14:compatExt spid="_x0000_s6212"/>
                </a:ext>
                <a:ext uri="{FF2B5EF4-FFF2-40B4-BE49-F238E27FC236}">
                  <a16:creationId xmlns:a16="http://schemas.microsoft.com/office/drawing/2014/main" id="{422D58CC-8F50-4F13-BF87-5497E3C46EC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32657</xdr:rowOff>
        </xdr:to>
        <xdr:sp macro="" textlink="">
          <xdr:nvSpPr>
            <xdr:cNvPr id="6213" name="DownMember1_2" hidden="1">
              <a:extLst>
                <a:ext uri="{63B3BB69-23CF-44E3-9099-C40C66FF867C}">
                  <a14:compatExt spid="_x0000_s6213"/>
                </a:ext>
                <a:ext uri="{FF2B5EF4-FFF2-40B4-BE49-F238E27FC236}">
                  <a16:creationId xmlns:a16="http://schemas.microsoft.com/office/drawing/2014/main" id="{B8876D9A-E966-418A-967D-071603F2375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93558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789214</xdr:colOff>
          <xdr:row>2</xdr:row>
          <xdr:rowOff>114300</xdr:rowOff>
        </xdr:from>
        <xdr:to>
          <xdr:col>9</xdr:col>
          <xdr:colOff>1208314</xdr:colOff>
          <xdr:row>2</xdr:row>
          <xdr:rowOff>571500</xdr:rowOff>
        </xdr:to>
        <xdr:sp macro="" textlink="">
          <xdr:nvSpPr>
            <xdr:cNvPr id="3574" name="SaveData" hidden="1">
              <a:extLst>
                <a:ext uri="{63B3BB69-23CF-44E3-9099-C40C66FF867C}">
                  <a14:compatExt spid="_x0000_s3574"/>
                </a:ext>
                <a:ext uri="{FF2B5EF4-FFF2-40B4-BE49-F238E27FC236}">
                  <a16:creationId xmlns:a16="http://schemas.microsoft.com/office/drawing/2014/main" id="{00000000-0008-0000-0200-0000F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16.xml"/><Relationship Id="rId21" Type="http://schemas.openxmlformats.org/officeDocument/2006/relationships/ctrlProp" Target="../ctrlProps/ctrlProp11.xml"/><Relationship Id="rId42" Type="http://schemas.openxmlformats.org/officeDocument/2006/relationships/ctrlProp" Target="../ctrlProps/ctrlProp32.xml"/><Relationship Id="rId47" Type="http://schemas.openxmlformats.org/officeDocument/2006/relationships/ctrlProp" Target="../ctrlProps/ctrlProp37.xml"/><Relationship Id="rId63" Type="http://schemas.openxmlformats.org/officeDocument/2006/relationships/ctrlProp" Target="../ctrlProps/ctrlProp53.xml"/><Relationship Id="rId68" Type="http://schemas.openxmlformats.org/officeDocument/2006/relationships/ctrlProp" Target="../ctrlProps/ctrlProp58.xml"/><Relationship Id="rId16" Type="http://schemas.openxmlformats.org/officeDocument/2006/relationships/ctrlProp" Target="../ctrlProps/ctrlProp6.xml"/><Relationship Id="rId11" Type="http://schemas.openxmlformats.org/officeDocument/2006/relationships/ctrlProp" Target="../ctrlProps/ctrlProp1.xml"/><Relationship Id="rId24" Type="http://schemas.openxmlformats.org/officeDocument/2006/relationships/ctrlProp" Target="../ctrlProps/ctrlProp14.xml"/><Relationship Id="rId32" Type="http://schemas.openxmlformats.org/officeDocument/2006/relationships/ctrlProp" Target="../ctrlProps/ctrlProp22.xml"/><Relationship Id="rId37" Type="http://schemas.openxmlformats.org/officeDocument/2006/relationships/ctrlProp" Target="../ctrlProps/ctrlProp27.xml"/><Relationship Id="rId40" Type="http://schemas.openxmlformats.org/officeDocument/2006/relationships/ctrlProp" Target="../ctrlProps/ctrlProp30.xml"/><Relationship Id="rId45" Type="http://schemas.openxmlformats.org/officeDocument/2006/relationships/ctrlProp" Target="../ctrlProps/ctrlProp35.xml"/><Relationship Id="rId53" Type="http://schemas.openxmlformats.org/officeDocument/2006/relationships/ctrlProp" Target="../ctrlProps/ctrlProp43.xml"/><Relationship Id="rId58" Type="http://schemas.openxmlformats.org/officeDocument/2006/relationships/ctrlProp" Target="../ctrlProps/ctrlProp48.xml"/><Relationship Id="rId66" Type="http://schemas.openxmlformats.org/officeDocument/2006/relationships/ctrlProp" Target="../ctrlProps/ctrlProp56.xml"/><Relationship Id="rId74" Type="http://schemas.openxmlformats.org/officeDocument/2006/relationships/ctrlProp" Target="../ctrlProps/ctrlProp64.xml"/><Relationship Id="rId5" Type="http://schemas.openxmlformats.org/officeDocument/2006/relationships/control" Target="../activeX/activeX1.xml"/><Relationship Id="rId61" Type="http://schemas.openxmlformats.org/officeDocument/2006/relationships/ctrlProp" Target="../ctrlProps/ctrlProp51.xml"/><Relationship Id="rId19" Type="http://schemas.openxmlformats.org/officeDocument/2006/relationships/ctrlProp" Target="../ctrlProps/ctrlProp9.xml"/><Relationship Id="rId14" Type="http://schemas.openxmlformats.org/officeDocument/2006/relationships/ctrlProp" Target="../ctrlProps/ctrlProp4.xml"/><Relationship Id="rId22" Type="http://schemas.openxmlformats.org/officeDocument/2006/relationships/ctrlProp" Target="../ctrlProps/ctrlProp12.xml"/><Relationship Id="rId27" Type="http://schemas.openxmlformats.org/officeDocument/2006/relationships/ctrlProp" Target="../ctrlProps/ctrlProp17.xml"/><Relationship Id="rId30" Type="http://schemas.openxmlformats.org/officeDocument/2006/relationships/ctrlProp" Target="../ctrlProps/ctrlProp20.xml"/><Relationship Id="rId35" Type="http://schemas.openxmlformats.org/officeDocument/2006/relationships/ctrlProp" Target="../ctrlProps/ctrlProp25.xml"/><Relationship Id="rId43" Type="http://schemas.openxmlformats.org/officeDocument/2006/relationships/ctrlProp" Target="../ctrlProps/ctrlProp33.xml"/><Relationship Id="rId48" Type="http://schemas.openxmlformats.org/officeDocument/2006/relationships/ctrlProp" Target="../ctrlProps/ctrlProp38.xml"/><Relationship Id="rId56" Type="http://schemas.openxmlformats.org/officeDocument/2006/relationships/ctrlProp" Target="../ctrlProps/ctrlProp46.xml"/><Relationship Id="rId64" Type="http://schemas.openxmlformats.org/officeDocument/2006/relationships/ctrlProp" Target="../ctrlProps/ctrlProp54.xml"/><Relationship Id="rId69" Type="http://schemas.openxmlformats.org/officeDocument/2006/relationships/ctrlProp" Target="../ctrlProps/ctrlProp59.xml"/><Relationship Id="rId77"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41.xml"/><Relationship Id="rId72" Type="http://schemas.openxmlformats.org/officeDocument/2006/relationships/ctrlProp" Target="../ctrlProps/ctrlProp62.xml"/><Relationship Id="rId3" Type="http://schemas.openxmlformats.org/officeDocument/2006/relationships/drawing" Target="../drawings/drawing1.xml"/><Relationship Id="rId12" Type="http://schemas.openxmlformats.org/officeDocument/2006/relationships/ctrlProp" Target="../ctrlProps/ctrlProp2.xml"/><Relationship Id="rId17" Type="http://schemas.openxmlformats.org/officeDocument/2006/relationships/ctrlProp" Target="../ctrlProps/ctrlProp7.xml"/><Relationship Id="rId25" Type="http://schemas.openxmlformats.org/officeDocument/2006/relationships/ctrlProp" Target="../ctrlProps/ctrlProp15.xml"/><Relationship Id="rId33" Type="http://schemas.openxmlformats.org/officeDocument/2006/relationships/ctrlProp" Target="../ctrlProps/ctrlProp23.xml"/><Relationship Id="rId38" Type="http://schemas.openxmlformats.org/officeDocument/2006/relationships/ctrlProp" Target="../ctrlProps/ctrlProp28.xml"/><Relationship Id="rId46" Type="http://schemas.openxmlformats.org/officeDocument/2006/relationships/ctrlProp" Target="../ctrlProps/ctrlProp36.xml"/><Relationship Id="rId59" Type="http://schemas.openxmlformats.org/officeDocument/2006/relationships/ctrlProp" Target="../ctrlProps/ctrlProp49.xml"/><Relationship Id="rId67" Type="http://schemas.openxmlformats.org/officeDocument/2006/relationships/ctrlProp" Target="../ctrlProps/ctrlProp57.xml"/><Relationship Id="rId20" Type="http://schemas.openxmlformats.org/officeDocument/2006/relationships/ctrlProp" Target="../ctrlProps/ctrlProp10.xml"/><Relationship Id="rId41" Type="http://schemas.openxmlformats.org/officeDocument/2006/relationships/ctrlProp" Target="../ctrlProps/ctrlProp31.xml"/><Relationship Id="rId54" Type="http://schemas.openxmlformats.org/officeDocument/2006/relationships/ctrlProp" Target="../ctrlProps/ctrlProp44.xml"/><Relationship Id="rId62" Type="http://schemas.openxmlformats.org/officeDocument/2006/relationships/ctrlProp" Target="../ctrlProps/ctrlProp52.xml"/><Relationship Id="rId70" Type="http://schemas.openxmlformats.org/officeDocument/2006/relationships/ctrlProp" Target="../ctrlProps/ctrlProp60.xml"/><Relationship Id="rId75" Type="http://schemas.openxmlformats.org/officeDocument/2006/relationships/ctrlProp" Target="../ctrlProps/ctrlProp65.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5.xml"/><Relationship Id="rId23" Type="http://schemas.openxmlformats.org/officeDocument/2006/relationships/ctrlProp" Target="../ctrlProps/ctrlProp13.xml"/><Relationship Id="rId28" Type="http://schemas.openxmlformats.org/officeDocument/2006/relationships/ctrlProp" Target="../ctrlProps/ctrlProp18.xml"/><Relationship Id="rId36" Type="http://schemas.openxmlformats.org/officeDocument/2006/relationships/ctrlProp" Target="../ctrlProps/ctrlProp26.xml"/><Relationship Id="rId49" Type="http://schemas.openxmlformats.org/officeDocument/2006/relationships/ctrlProp" Target="../ctrlProps/ctrlProp39.xml"/><Relationship Id="rId57" Type="http://schemas.openxmlformats.org/officeDocument/2006/relationships/ctrlProp" Target="../ctrlProps/ctrlProp47.xml"/><Relationship Id="rId10" Type="http://schemas.openxmlformats.org/officeDocument/2006/relationships/image" Target="../media/image3.emf"/><Relationship Id="rId31" Type="http://schemas.openxmlformats.org/officeDocument/2006/relationships/ctrlProp" Target="../ctrlProps/ctrlProp21.xml"/><Relationship Id="rId44" Type="http://schemas.openxmlformats.org/officeDocument/2006/relationships/ctrlProp" Target="../ctrlProps/ctrlProp34.xml"/><Relationship Id="rId52" Type="http://schemas.openxmlformats.org/officeDocument/2006/relationships/ctrlProp" Target="../ctrlProps/ctrlProp42.xml"/><Relationship Id="rId60" Type="http://schemas.openxmlformats.org/officeDocument/2006/relationships/ctrlProp" Target="../ctrlProps/ctrlProp50.xml"/><Relationship Id="rId65" Type="http://schemas.openxmlformats.org/officeDocument/2006/relationships/ctrlProp" Target="../ctrlProps/ctrlProp55.xml"/><Relationship Id="rId73" Type="http://schemas.openxmlformats.org/officeDocument/2006/relationships/ctrlProp" Target="../ctrlProps/ctrlProp63.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trlProp" Target="../ctrlProps/ctrlProp3.xml"/><Relationship Id="rId18" Type="http://schemas.openxmlformats.org/officeDocument/2006/relationships/ctrlProp" Target="../ctrlProps/ctrlProp8.xml"/><Relationship Id="rId39" Type="http://schemas.openxmlformats.org/officeDocument/2006/relationships/ctrlProp" Target="../ctrlProps/ctrlProp29.xml"/><Relationship Id="rId34" Type="http://schemas.openxmlformats.org/officeDocument/2006/relationships/ctrlProp" Target="../ctrlProps/ctrlProp24.xml"/><Relationship Id="rId50" Type="http://schemas.openxmlformats.org/officeDocument/2006/relationships/ctrlProp" Target="../ctrlProps/ctrlProp40.xml"/><Relationship Id="rId55" Type="http://schemas.openxmlformats.org/officeDocument/2006/relationships/ctrlProp" Target="../ctrlProps/ctrlProp45.xml"/><Relationship Id="rId76" Type="http://schemas.openxmlformats.org/officeDocument/2006/relationships/ctrlProp" Target="../ctrlProps/ctrlProp66.xml"/><Relationship Id="rId7" Type="http://schemas.openxmlformats.org/officeDocument/2006/relationships/control" Target="../activeX/activeX2.xml"/><Relationship Id="rId71" Type="http://schemas.openxmlformats.org/officeDocument/2006/relationships/ctrlProp" Target="../ctrlProps/ctrlProp61.xml"/><Relationship Id="rId2" Type="http://schemas.openxmlformats.org/officeDocument/2006/relationships/customProperty" Target="../customProperty1.bin"/><Relationship Id="rId29"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control" Target="../activeX/activeX9.xml"/><Relationship Id="rId26" Type="http://schemas.openxmlformats.org/officeDocument/2006/relationships/control" Target="../activeX/activeX13.xml"/><Relationship Id="rId39" Type="http://schemas.openxmlformats.org/officeDocument/2006/relationships/image" Target="../media/image20.emf"/><Relationship Id="rId21" Type="http://schemas.openxmlformats.org/officeDocument/2006/relationships/image" Target="../media/image11.emf"/><Relationship Id="rId34" Type="http://schemas.openxmlformats.org/officeDocument/2006/relationships/control" Target="../activeX/activeX17.xml"/><Relationship Id="rId42" Type="http://schemas.openxmlformats.org/officeDocument/2006/relationships/control" Target="../activeX/activeX21.xml"/><Relationship Id="rId7" Type="http://schemas.openxmlformats.org/officeDocument/2006/relationships/image" Target="../media/image4.png"/><Relationship Id="rId2" Type="http://schemas.openxmlformats.org/officeDocument/2006/relationships/customProperty" Target="../customProperty2.bin"/><Relationship Id="rId16" Type="http://schemas.openxmlformats.org/officeDocument/2006/relationships/control" Target="../activeX/activeX8.xml"/><Relationship Id="rId29" Type="http://schemas.openxmlformats.org/officeDocument/2006/relationships/image" Target="../media/image15.emf"/><Relationship Id="rId1" Type="http://schemas.openxmlformats.org/officeDocument/2006/relationships/printerSettings" Target="../printerSettings/printerSettings2.bin"/><Relationship Id="rId6" Type="http://schemas.openxmlformats.org/officeDocument/2006/relationships/vmlDrawing" Target="../drawings/vmlDrawing2.vml"/><Relationship Id="rId11" Type="http://schemas.openxmlformats.org/officeDocument/2006/relationships/image" Target="../media/image6.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19.emf"/><Relationship Id="rId40" Type="http://schemas.openxmlformats.org/officeDocument/2006/relationships/control" Target="../activeX/activeX20.xml"/><Relationship Id="rId45" Type="http://schemas.openxmlformats.org/officeDocument/2006/relationships/image" Target="../media/image23.emf"/><Relationship Id="rId5" Type="http://schemas.openxmlformats.org/officeDocument/2006/relationships/drawing" Target="../drawings/drawing2.xml"/><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4.xml"/><Relationship Id="rId36" Type="http://schemas.openxmlformats.org/officeDocument/2006/relationships/control" Target="../activeX/activeX18.xml"/><Relationship Id="rId10" Type="http://schemas.openxmlformats.org/officeDocument/2006/relationships/control" Target="../activeX/activeX5.xml"/><Relationship Id="rId19" Type="http://schemas.openxmlformats.org/officeDocument/2006/relationships/image" Target="../media/image10.emf"/><Relationship Id="rId31" Type="http://schemas.openxmlformats.org/officeDocument/2006/relationships/image" Target="../media/image16.emf"/><Relationship Id="rId44" Type="http://schemas.openxmlformats.org/officeDocument/2006/relationships/control" Target="../activeX/activeX22.xml"/><Relationship Id="rId4" Type="http://schemas.openxmlformats.org/officeDocument/2006/relationships/customProperty" Target="../customProperty4.bin"/><Relationship Id="rId9" Type="http://schemas.openxmlformats.org/officeDocument/2006/relationships/image" Target="../media/image5.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4.emf"/><Relationship Id="rId30" Type="http://schemas.openxmlformats.org/officeDocument/2006/relationships/control" Target="../activeX/activeX15.xml"/><Relationship Id="rId35" Type="http://schemas.openxmlformats.org/officeDocument/2006/relationships/image" Target="../media/image18.emf"/><Relationship Id="rId43" Type="http://schemas.openxmlformats.org/officeDocument/2006/relationships/image" Target="../media/image22.emf"/><Relationship Id="rId8" Type="http://schemas.openxmlformats.org/officeDocument/2006/relationships/control" Target="../activeX/activeX4.xml"/><Relationship Id="rId3" Type="http://schemas.openxmlformats.org/officeDocument/2006/relationships/customProperty" Target="../customProperty3.bin"/><Relationship Id="rId12" Type="http://schemas.openxmlformats.org/officeDocument/2006/relationships/control" Target="../activeX/activeX6.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control" Target="../activeX/activeX19.xml"/><Relationship Id="rId46" Type="http://schemas.openxmlformats.org/officeDocument/2006/relationships/comments" Target="../comments2.xml"/><Relationship Id="rId20" Type="http://schemas.openxmlformats.org/officeDocument/2006/relationships/control" Target="../activeX/activeX10.xml"/><Relationship Id="rId41" Type="http://schemas.openxmlformats.org/officeDocument/2006/relationships/image" Target="../media/image2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7060C-B244-421B-BA61-D9D2968B072D}">
  <sheetPr codeName="Sheet6"/>
  <dimension ref="A1:Q107"/>
  <sheetViews>
    <sheetView showGridLines="0" zoomScale="80" zoomScaleNormal="80" workbookViewId="0">
      <selection activeCell="H17" sqref="H17"/>
    </sheetView>
  </sheetViews>
  <sheetFormatPr defaultColWidth="9.07421875" defaultRowHeight="14.6" x14ac:dyDescent="0.4"/>
  <cols>
    <col min="1" max="1" width="1.69140625" style="1" customWidth="1"/>
    <col min="2" max="2" width="12.69140625" style="1" customWidth="1"/>
    <col min="3" max="3" width="15.69140625" style="1" customWidth="1"/>
    <col min="4" max="4" width="82.07421875" style="1" customWidth="1"/>
    <col min="5" max="5" width="3.3046875" style="1" customWidth="1"/>
    <col min="6" max="6" width="14.3046875" customWidth="1"/>
    <col min="7" max="7" width="3.3046875" style="1" customWidth="1"/>
    <col min="8" max="8" width="30.69140625" style="1" customWidth="1"/>
    <col min="9" max="9" width="3.3046875" style="1" customWidth="1"/>
    <col min="10" max="10" width="14.3046875" customWidth="1"/>
    <col min="11" max="11" width="3.3046875" style="1" customWidth="1"/>
    <col min="12" max="12" width="36.69140625" style="1" customWidth="1"/>
    <col min="13" max="16" width="10.69140625" style="1" customWidth="1"/>
    <col min="17" max="17" width="90.69140625" style="1" customWidth="1"/>
    <col min="18" max="16384" width="9.07421875" style="1"/>
  </cols>
  <sheetData>
    <row r="1" spans="1:17" ht="42" customHeight="1" x14ac:dyDescent="0.35">
      <c r="A1" s="2"/>
      <c r="B1" s="50" t="s">
        <v>29</v>
      </c>
      <c r="C1" s="50"/>
      <c r="D1" s="50"/>
      <c r="E1" s="50"/>
      <c r="F1" s="50"/>
      <c r="G1" s="50"/>
      <c r="H1" s="50"/>
      <c r="I1" s="50"/>
      <c r="J1" s="50"/>
      <c r="K1" s="50"/>
      <c r="L1" s="50"/>
    </row>
    <row r="2" spans="1:17" ht="15.75" customHeight="1" x14ac:dyDescent="0.4">
      <c r="A2" s="27" t="s">
        <v>21</v>
      </c>
      <c r="B2" s="2"/>
      <c r="C2" s="2"/>
      <c r="D2" s="2"/>
      <c r="E2" s="2"/>
      <c r="G2" s="2"/>
      <c r="H2" s="2"/>
      <c r="I2" s="2"/>
      <c r="J2" s="82"/>
      <c r="K2" s="2"/>
      <c r="L2" s="2"/>
    </row>
    <row r="3" spans="1:17" ht="15.75" customHeight="1" x14ac:dyDescent="0.4">
      <c r="A3" s="2"/>
      <c r="B3" s="3" t="s">
        <v>0</v>
      </c>
      <c r="C3" s="2"/>
      <c r="D3" s="2"/>
      <c r="E3" s="2"/>
      <c r="F3" s="82"/>
      <c r="G3" s="2"/>
      <c r="H3" s="2"/>
      <c r="I3" s="2"/>
      <c r="J3" s="82"/>
      <c r="K3" s="2"/>
      <c r="L3" s="2"/>
    </row>
    <row r="4" spans="1:17" ht="18" customHeight="1" thickBot="1" x14ac:dyDescent="0.45">
      <c r="A4" s="2"/>
      <c r="B4" s="2"/>
      <c r="C4" s="2"/>
      <c r="D4" s="2"/>
      <c r="E4" s="2"/>
      <c r="F4" s="82"/>
      <c r="G4" s="2"/>
      <c r="H4" s="2"/>
      <c r="I4" s="2"/>
      <c r="J4" s="82"/>
      <c r="K4" s="2"/>
      <c r="L4" s="2"/>
    </row>
    <row r="5" spans="1:17" ht="28.4" customHeight="1" x14ac:dyDescent="0.35">
      <c r="A5" s="2"/>
      <c r="B5" s="51" t="s">
        <v>22</v>
      </c>
      <c r="C5" s="52"/>
      <c r="D5" s="52"/>
      <c r="E5" s="52"/>
      <c r="F5" s="52"/>
      <c r="G5" s="52"/>
      <c r="H5" s="52"/>
      <c r="I5" s="52"/>
      <c r="J5" s="52"/>
      <c r="K5" s="52"/>
      <c r="L5" s="53"/>
      <c r="Q5" s="15" t="s">
        <v>16</v>
      </c>
    </row>
    <row r="6" spans="1:17" ht="28.4" customHeight="1" thickBot="1" x14ac:dyDescent="0.4">
      <c r="A6" s="2"/>
      <c r="B6" s="54"/>
      <c r="C6" s="55"/>
      <c r="D6" s="55"/>
      <c r="E6" s="55"/>
      <c r="F6" s="55"/>
      <c r="G6" s="55"/>
      <c r="H6" s="55"/>
      <c r="I6" s="55"/>
      <c r="J6" s="55"/>
      <c r="K6" s="55"/>
      <c r="L6" s="56"/>
      <c r="Q6" s="16" t="s">
        <v>17</v>
      </c>
    </row>
    <row r="7" spans="1:17" ht="21.9" customHeight="1" x14ac:dyDescent="0.4">
      <c r="A7" s="2"/>
      <c r="B7" s="57" t="s">
        <v>8</v>
      </c>
      <c r="C7" s="13"/>
      <c r="D7" s="13"/>
      <c r="E7" s="13"/>
      <c r="F7" s="83"/>
      <c r="G7" s="13"/>
      <c r="H7" s="13"/>
      <c r="I7" s="13"/>
      <c r="J7" s="83"/>
      <c r="K7" s="13"/>
      <c r="L7" s="14"/>
      <c r="Q7" s="49" t="s">
        <v>30</v>
      </c>
    </row>
    <row r="8" spans="1:17" ht="18" customHeight="1" x14ac:dyDescent="0.4">
      <c r="A8" s="2"/>
      <c r="B8" s="58"/>
      <c r="C8" s="2"/>
      <c r="D8" s="2"/>
      <c r="E8" s="2"/>
      <c r="F8" s="82"/>
      <c r="G8" s="2"/>
      <c r="H8" s="2"/>
      <c r="I8" s="2"/>
      <c r="J8" s="82"/>
      <c r="K8" s="2"/>
      <c r="L8" s="10"/>
      <c r="Q8" s="49"/>
    </row>
    <row r="9" spans="1:17" ht="17.149999999999999" customHeight="1" x14ac:dyDescent="0.35">
      <c r="A9" s="2"/>
      <c r="B9" s="58"/>
      <c r="C9" s="5"/>
      <c r="D9" s="6"/>
      <c r="E9" s="59" t="s">
        <v>1</v>
      </c>
      <c r="F9" s="60"/>
      <c r="G9" s="61"/>
      <c r="H9" s="4" t="s">
        <v>2</v>
      </c>
      <c r="I9" s="59" t="s">
        <v>3</v>
      </c>
      <c r="J9" s="60"/>
      <c r="K9" s="61"/>
      <c r="L9" s="11" t="s">
        <v>2</v>
      </c>
      <c r="Q9" s="49"/>
    </row>
    <row r="10" spans="1:17" ht="5.15" customHeight="1" x14ac:dyDescent="0.4">
      <c r="A10" s="2"/>
      <c r="B10" s="58"/>
      <c r="C10" s="62"/>
      <c r="D10" s="2"/>
      <c r="E10" s="84"/>
      <c r="F10" s="85"/>
      <c r="G10" s="84"/>
      <c r="H10" s="8"/>
      <c r="I10" s="84"/>
      <c r="J10" s="85"/>
      <c r="K10" s="84"/>
      <c r="L10" s="10"/>
      <c r="Q10" s="49"/>
    </row>
    <row r="11" spans="1:17" ht="15.9" customHeight="1" x14ac:dyDescent="0.35">
      <c r="A11" s="2"/>
      <c r="B11" s="58"/>
      <c r="C11" s="63"/>
      <c r="D11" s="86" t="s">
        <v>5</v>
      </c>
      <c r="E11" s="84"/>
      <c r="F11" s="87">
        <v>10000</v>
      </c>
      <c r="G11" s="84"/>
      <c r="H11" s="29" t="s">
        <v>19</v>
      </c>
      <c r="I11" s="84"/>
      <c r="J11" s="88" t="s">
        <v>7</v>
      </c>
      <c r="K11" s="84"/>
      <c r="L11" s="12" t="s">
        <v>6</v>
      </c>
      <c r="Q11" s="49"/>
    </row>
    <row r="12" spans="1:17" ht="5.15" customHeight="1" thickBot="1" x14ac:dyDescent="0.45">
      <c r="A12" s="2"/>
      <c r="B12" s="64"/>
      <c r="C12" s="65"/>
      <c r="D12" s="30"/>
      <c r="E12" s="31"/>
      <c r="F12" s="89"/>
      <c r="G12" s="31"/>
      <c r="H12" s="32"/>
      <c r="I12" s="31"/>
      <c r="J12" s="89"/>
      <c r="K12" s="31"/>
      <c r="L12" s="33"/>
      <c r="Q12" s="49"/>
    </row>
    <row r="13" spans="1:17" ht="21.9" customHeight="1" x14ac:dyDescent="0.4">
      <c r="A13" s="2"/>
      <c r="B13" s="58" t="s">
        <v>4</v>
      </c>
      <c r="C13" s="2"/>
      <c r="D13" s="2"/>
      <c r="E13" s="2"/>
      <c r="F13" s="82"/>
      <c r="G13" s="2"/>
      <c r="H13" s="2"/>
      <c r="I13" s="2"/>
      <c r="J13" s="82"/>
      <c r="K13" s="2"/>
      <c r="L13" s="10"/>
      <c r="Q13" s="49"/>
    </row>
    <row r="14" spans="1:17" ht="18" customHeight="1" x14ac:dyDescent="0.4">
      <c r="A14" s="2"/>
      <c r="B14" s="58"/>
      <c r="C14" s="2"/>
      <c r="D14" s="2"/>
      <c r="E14" s="2"/>
      <c r="F14" s="82"/>
      <c r="G14" s="2"/>
      <c r="H14" s="2"/>
      <c r="I14" s="2"/>
      <c r="J14" s="82"/>
      <c r="K14" s="2"/>
      <c r="L14" s="10"/>
      <c r="Q14" s="49"/>
    </row>
    <row r="15" spans="1:17" ht="17.149999999999999" customHeight="1" x14ac:dyDescent="0.35">
      <c r="A15" s="2"/>
      <c r="B15" s="58"/>
      <c r="C15" s="5"/>
      <c r="D15" s="6"/>
      <c r="E15" s="59" t="s">
        <v>1</v>
      </c>
      <c r="F15" s="60"/>
      <c r="G15" s="61"/>
      <c r="H15" s="4" t="s">
        <v>2</v>
      </c>
      <c r="I15" s="59" t="s">
        <v>3</v>
      </c>
      <c r="J15" s="60"/>
      <c r="K15" s="61"/>
      <c r="L15" s="11" t="s">
        <v>2</v>
      </c>
      <c r="Q15" s="49"/>
    </row>
    <row r="16" spans="1:17" ht="5.15" customHeight="1" x14ac:dyDescent="0.4">
      <c r="A16" s="2"/>
      <c r="B16" s="58"/>
      <c r="C16" s="62"/>
      <c r="D16" s="2"/>
      <c r="E16" s="84"/>
      <c r="F16" s="85"/>
      <c r="G16" s="84"/>
      <c r="H16" s="8"/>
      <c r="I16" s="84"/>
      <c r="J16" s="85"/>
      <c r="K16" s="84"/>
      <c r="L16" s="10"/>
      <c r="Q16" s="49"/>
    </row>
    <row r="17" spans="1:17" ht="15.9" customHeight="1" x14ac:dyDescent="0.35">
      <c r="A17" s="2"/>
      <c r="B17" s="58"/>
      <c r="C17" s="63"/>
      <c r="D17" s="86" t="s">
        <v>5</v>
      </c>
      <c r="E17" s="84"/>
      <c r="F17" s="87">
        <v>10000</v>
      </c>
      <c r="G17" s="84"/>
      <c r="H17" s="29" t="s">
        <v>6</v>
      </c>
      <c r="I17" s="84"/>
      <c r="J17" s="90" t="s">
        <v>7</v>
      </c>
      <c r="K17" s="84"/>
      <c r="L17" s="12" t="s">
        <v>6</v>
      </c>
      <c r="Q17" s="49"/>
    </row>
    <row r="18" spans="1:17" ht="5.15" customHeight="1" thickBot="1" x14ac:dyDescent="0.45">
      <c r="A18" s="2"/>
      <c r="B18" s="64"/>
      <c r="C18" s="65"/>
      <c r="D18" s="30"/>
      <c r="E18" s="31"/>
      <c r="F18" s="89"/>
      <c r="G18" s="31"/>
      <c r="H18" s="32"/>
      <c r="I18" s="31"/>
      <c r="J18" s="89"/>
      <c r="K18" s="31"/>
      <c r="L18" s="33"/>
      <c r="Q18" s="49"/>
    </row>
    <row r="19" spans="1:17" ht="9" customHeight="1" x14ac:dyDescent="0.4">
      <c r="A19" s="2"/>
      <c r="B19" s="2"/>
      <c r="C19" s="2"/>
      <c r="D19" s="2"/>
      <c r="E19" s="2"/>
      <c r="F19" s="82"/>
      <c r="G19" s="2"/>
      <c r="H19" s="2"/>
      <c r="I19" s="2"/>
      <c r="J19" s="82"/>
      <c r="K19" s="2"/>
      <c r="L19" s="2"/>
      <c r="Q19" s="49"/>
    </row>
    <row r="20" spans="1:17" ht="24.65" customHeight="1" x14ac:dyDescent="0.4">
      <c r="A20" s="2"/>
      <c r="B20" s="2"/>
      <c r="C20" s="2"/>
      <c r="D20" s="2"/>
      <c r="E20" s="2"/>
      <c r="F20" s="82"/>
      <c r="G20" s="2"/>
      <c r="H20" s="2"/>
      <c r="I20" s="2"/>
      <c r="J20" s="82"/>
      <c r="K20" s="2"/>
      <c r="L20" s="2"/>
      <c r="Q20" s="17"/>
    </row>
    <row r="21" spans="1:17" ht="15" customHeight="1" thickBot="1" x14ac:dyDescent="0.45">
      <c r="A21" s="2"/>
      <c r="B21" s="2"/>
      <c r="C21" s="2"/>
      <c r="D21" s="2"/>
      <c r="E21" s="2"/>
      <c r="F21" s="82"/>
      <c r="G21" s="2"/>
      <c r="H21" s="2"/>
      <c r="I21" s="2"/>
      <c r="J21" s="82"/>
      <c r="K21" s="2"/>
      <c r="L21" s="2"/>
      <c r="Q21" s="18" t="s">
        <v>18</v>
      </c>
    </row>
    <row r="22" spans="1:17" ht="28.4" customHeight="1" x14ac:dyDescent="0.35">
      <c r="A22" s="2"/>
      <c r="B22" s="66" t="s">
        <v>9</v>
      </c>
      <c r="C22" s="67"/>
      <c r="D22" s="67"/>
      <c r="E22" s="67"/>
      <c r="F22" s="67"/>
      <c r="G22" s="67"/>
      <c r="H22" s="67"/>
      <c r="I22" s="67"/>
      <c r="J22" s="67"/>
      <c r="K22" s="67"/>
      <c r="L22" s="68"/>
      <c r="Q22" s="49" t="s">
        <v>25</v>
      </c>
    </row>
    <row r="23" spans="1:17" ht="28.4" customHeight="1" x14ac:dyDescent="0.35">
      <c r="A23" s="2"/>
      <c r="B23" s="69"/>
      <c r="C23" s="70"/>
      <c r="D23" s="70"/>
      <c r="E23" s="70"/>
      <c r="F23" s="70"/>
      <c r="G23" s="70"/>
      <c r="H23" s="70"/>
      <c r="I23" s="70"/>
      <c r="J23" s="70"/>
      <c r="K23" s="70"/>
      <c r="L23" s="71"/>
      <c r="Q23" s="49"/>
    </row>
    <row r="24" spans="1:17" ht="18" customHeight="1" x14ac:dyDescent="0.4">
      <c r="A24" s="2"/>
      <c r="B24" s="73" t="s">
        <v>4</v>
      </c>
      <c r="C24" s="2"/>
      <c r="D24" s="2"/>
      <c r="E24" s="2"/>
      <c r="F24" s="82"/>
      <c r="G24" s="2"/>
      <c r="H24" s="2"/>
      <c r="I24" s="2"/>
      <c r="J24" s="82"/>
      <c r="K24" s="2"/>
      <c r="L24" s="10"/>
      <c r="Q24" s="49"/>
    </row>
    <row r="25" spans="1:17" ht="17.149999999999999" customHeight="1" x14ac:dyDescent="0.35">
      <c r="A25" s="2"/>
      <c r="B25" s="58"/>
      <c r="C25" s="5"/>
      <c r="D25" s="6"/>
      <c r="E25" s="59" t="s">
        <v>1</v>
      </c>
      <c r="F25" s="60"/>
      <c r="G25" s="61"/>
      <c r="H25" s="4" t="s">
        <v>2</v>
      </c>
      <c r="I25" s="59" t="s">
        <v>3</v>
      </c>
      <c r="J25" s="60"/>
      <c r="K25" s="61"/>
      <c r="L25" s="11" t="s">
        <v>2</v>
      </c>
      <c r="Q25" s="49"/>
    </row>
    <row r="26" spans="1:17" ht="5.15" customHeight="1" x14ac:dyDescent="0.4">
      <c r="A26" s="2"/>
      <c r="B26" s="58"/>
      <c r="C26" s="63"/>
      <c r="D26" s="2"/>
      <c r="E26" s="84"/>
      <c r="F26" s="85"/>
      <c r="G26" s="84"/>
      <c r="H26" s="9"/>
      <c r="I26" s="84"/>
      <c r="J26" s="85"/>
      <c r="K26" s="84"/>
      <c r="L26" s="10"/>
      <c r="Q26" s="49"/>
    </row>
    <row r="27" spans="1:17" ht="15.9" customHeight="1" x14ac:dyDescent="0.35">
      <c r="A27" s="2"/>
      <c r="B27" s="58"/>
      <c r="C27" s="63"/>
      <c r="D27" s="86" t="s">
        <v>23</v>
      </c>
      <c r="E27" s="84"/>
      <c r="F27" s="87">
        <v>10000</v>
      </c>
      <c r="G27" s="84"/>
      <c r="H27" s="29" t="s">
        <v>6</v>
      </c>
      <c r="I27" s="84"/>
      <c r="J27" s="91" t="s">
        <v>7</v>
      </c>
      <c r="K27" s="84"/>
      <c r="L27" s="12" t="s">
        <v>6</v>
      </c>
      <c r="Q27" s="49"/>
    </row>
    <row r="28" spans="1:17" ht="5.15" customHeight="1" x14ac:dyDescent="0.4">
      <c r="A28" s="2"/>
      <c r="B28" s="58"/>
      <c r="C28" s="72"/>
      <c r="D28" s="46"/>
      <c r="E28" s="7"/>
      <c r="F28" s="92"/>
      <c r="G28" s="7"/>
      <c r="H28" s="6"/>
      <c r="I28" s="7"/>
      <c r="J28" s="92"/>
      <c r="K28" s="7"/>
      <c r="L28" s="47"/>
      <c r="Q28" s="49"/>
    </row>
    <row r="29" spans="1:17" ht="5.15" customHeight="1" x14ac:dyDescent="0.4">
      <c r="A29" s="2"/>
      <c r="B29" s="58"/>
      <c r="C29" s="63"/>
      <c r="D29" s="2"/>
      <c r="E29" s="84"/>
      <c r="F29" s="85"/>
      <c r="G29" s="84"/>
      <c r="H29" s="9"/>
      <c r="I29" s="84"/>
      <c r="J29" s="85"/>
      <c r="K29" s="84"/>
      <c r="L29" s="10"/>
      <c r="Q29" s="49"/>
    </row>
    <row r="30" spans="1:17" ht="15.9" customHeight="1" x14ac:dyDescent="0.4">
      <c r="A30" s="2"/>
      <c r="B30" s="58"/>
      <c r="C30" s="63"/>
      <c r="D30" s="86" t="s">
        <v>24</v>
      </c>
      <c r="E30" s="84"/>
      <c r="F30" s="93">
        <v>10000</v>
      </c>
      <c r="G30" s="84"/>
      <c r="H30" s="29" t="s">
        <v>6</v>
      </c>
      <c r="I30" s="84"/>
      <c r="J30" s="91" t="s">
        <v>7</v>
      </c>
      <c r="K30" s="84"/>
      <c r="L30" s="12" t="s">
        <v>19</v>
      </c>
      <c r="Q30" s="19"/>
    </row>
    <row r="31" spans="1:17" ht="5.15" customHeight="1" x14ac:dyDescent="0.4">
      <c r="A31" s="2"/>
      <c r="B31" s="58"/>
      <c r="C31" s="72"/>
      <c r="D31" s="46"/>
      <c r="E31" s="7"/>
      <c r="F31" s="92"/>
      <c r="G31" s="7"/>
      <c r="H31" s="6"/>
      <c r="I31" s="7"/>
      <c r="J31" s="92"/>
      <c r="K31" s="7"/>
      <c r="L31" s="47"/>
    </row>
    <row r="32" spans="1:17" ht="5.15" customHeight="1" x14ac:dyDescent="0.4">
      <c r="A32" s="2"/>
      <c r="B32" s="58"/>
      <c r="C32" s="63"/>
      <c r="D32" s="2"/>
      <c r="E32" s="84"/>
      <c r="F32" s="85"/>
      <c r="G32" s="84"/>
      <c r="H32" s="9"/>
      <c r="I32" s="84"/>
      <c r="J32" s="85"/>
      <c r="K32" s="84"/>
      <c r="L32" s="10"/>
    </row>
    <row r="33" spans="1:12" ht="15.9" customHeight="1" x14ac:dyDescent="0.35">
      <c r="A33" s="2"/>
      <c r="B33" s="58"/>
      <c r="C33" s="63"/>
      <c r="D33" s="86" t="s">
        <v>10</v>
      </c>
      <c r="E33" s="84"/>
      <c r="F33" s="87">
        <v>10000</v>
      </c>
      <c r="G33" s="84"/>
      <c r="H33" s="29" t="s">
        <v>6</v>
      </c>
      <c r="I33" s="84"/>
      <c r="J33" s="91" t="s">
        <v>7</v>
      </c>
      <c r="K33" s="84"/>
      <c r="L33" s="12" t="s">
        <v>6</v>
      </c>
    </row>
    <row r="34" spans="1:12" ht="5.15" customHeight="1" x14ac:dyDescent="0.4">
      <c r="A34" s="2"/>
      <c r="B34" s="58"/>
      <c r="C34" s="72"/>
      <c r="D34" s="46"/>
      <c r="E34" s="7"/>
      <c r="F34" s="92"/>
      <c r="G34" s="7"/>
      <c r="H34" s="6"/>
      <c r="I34" s="7"/>
      <c r="J34" s="92"/>
      <c r="K34" s="7"/>
      <c r="L34" s="47"/>
    </row>
    <row r="35" spans="1:12" ht="5.15" customHeight="1" x14ac:dyDescent="0.4">
      <c r="A35" s="2"/>
      <c r="B35" s="58"/>
      <c r="C35" s="63"/>
      <c r="D35" s="2"/>
      <c r="E35" s="84"/>
      <c r="F35" s="85"/>
      <c r="G35" s="84"/>
      <c r="H35" s="9"/>
      <c r="I35" s="84"/>
      <c r="J35" s="85"/>
      <c r="K35" s="84"/>
      <c r="L35" s="10"/>
    </row>
    <row r="36" spans="1:12" ht="15.9" customHeight="1" x14ac:dyDescent="0.35">
      <c r="A36" s="2"/>
      <c r="B36" s="58"/>
      <c r="C36" s="63"/>
      <c r="D36" s="86" t="s">
        <v>11</v>
      </c>
      <c r="E36" s="84"/>
      <c r="F36" s="94">
        <v>10000</v>
      </c>
      <c r="G36" s="84"/>
      <c r="H36" s="29" t="s">
        <v>20</v>
      </c>
      <c r="I36" s="84"/>
      <c r="J36" s="91" t="s">
        <v>7</v>
      </c>
      <c r="K36" s="84"/>
      <c r="L36" s="12" t="s">
        <v>19</v>
      </c>
    </row>
    <row r="37" spans="1:12" ht="5.15" customHeight="1" x14ac:dyDescent="0.4">
      <c r="A37" s="2"/>
      <c r="B37" s="58"/>
      <c r="C37" s="72"/>
      <c r="D37" s="46"/>
      <c r="E37" s="7"/>
      <c r="F37" s="92"/>
      <c r="G37" s="7"/>
      <c r="H37" s="6"/>
      <c r="I37" s="7"/>
      <c r="J37" s="92"/>
      <c r="K37" s="7"/>
      <c r="L37" s="47"/>
    </row>
    <row r="38" spans="1:12" ht="5.15" customHeight="1" x14ac:dyDescent="0.4">
      <c r="A38" s="2"/>
      <c r="B38" s="58"/>
      <c r="C38" s="63"/>
      <c r="D38" s="2"/>
      <c r="E38" s="84"/>
      <c r="F38" s="85"/>
      <c r="G38" s="84"/>
      <c r="H38" s="9"/>
      <c r="I38" s="84"/>
      <c r="J38" s="85"/>
      <c r="K38" s="84"/>
      <c r="L38" s="10"/>
    </row>
    <row r="39" spans="1:12" ht="15.9" customHeight="1" x14ac:dyDescent="0.4">
      <c r="A39" s="2"/>
      <c r="B39" s="58"/>
      <c r="C39" s="63"/>
      <c r="D39" s="86" t="s">
        <v>12</v>
      </c>
      <c r="E39" s="84"/>
      <c r="F39" s="85"/>
      <c r="G39" s="84"/>
      <c r="H39" s="9"/>
      <c r="I39" s="84"/>
      <c r="J39" s="85"/>
      <c r="K39" s="84"/>
      <c r="L39" s="10"/>
    </row>
    <row r="40" spans="1:12" ht="5.15" customHeight="1" x14ac:dyDescent="0.4">
      <c r="A40" s="2"/>
      <c r="B40" s="58"/>
      <c r="C40" s="45"/>
      <c r="D40" s="86"/>
      <c r="E40" s="84"/>
      <c r="F40" s="85"/>
      <c r="G40" s="84"/>
      <c r="H40" s="9"/>
      <c r="I40" s="84"/>
      <c r="J40" s="85"/>
      <c r="K40" s="84"/>
      <c r="L40" s="10"/>
    </row>
    <row r="41" spans="1:12" ht="15.9" customHeight="1" x14ac:dyDescent="0.35">
      <c r="A41" s="2"/>
      <c r="B41" s="58"/>
      <c r="C41" s="45"/>
      <c r="D41" s="95" t="s">
        <v>26</v>
      </c>
      <c r="E41" s="84"/>
      <c r="F41" s="96">
        <v>10000</v>
      </c>
      <c r="G41" s="84"/>
      <c r="H41" s="29" t="s">
        <v>27</v>
      </c>
      <c r="I41" s="84"/>
      <c r="J41" s="97" t="s">
        <v>7</v>
      </c>
      <c r="K41" s="84"/>
      <c r="L41" s="12" t="s">
        <v>27</v>
      </c>
    </row>
    <row r="42" spans="1:12" ht="5.15" customHeight="1" x14ac:dyDescent="0.4">
      <c r="A42" s="2"/>
      <c r="B42" s="58"/>
      <c r="C42" s="45"/>
      <c r="D42" s="25"/>
      <c r="E42" s="7"/>
      <c r="F42" s="92"/>
      <c r="G42" s="7"/>
      <c r="H42" s="6"/>
      <c r="I42" s="7"/>
      <c r="J42" s="92"/>
      <c r="K42" s="7"/>
      <c r="L42" s="47"/>
    </row>
    <row r="43" spans="1:12" ht="5.15" customHeight="1" x14ac:dyDescent="0.4">
      <c r="A43" s="2"/>
      <c r="B43" s="58"/>
      <c r="C43" s="45"/>
      <c r="D43" s="86"/>
      <c r="E43" s="84"/>
      <c r="F43" s="85"/>
      <c r="G43" s="84"/>
      <c r="H43" s="9"/>
      <c r="I43" s="84"/>
      <c r="J43" s="85"/>
      <c r="K43" s="84"/>
      <c r="L43" s="10"/>
    </row>
    <row r="44" spans="1:12" ht="15.9" customHeight="1" x14ac:dyDescent="0.35">
      <c r="A44" s="2"/>
      <c r="B44" s="58"/>
      <c r="C44" s="45"/>
      <c r="D44" s="98" t="s">
        <v>31</v>
      </c>
      <c r="E44" s="84"/>
      <c r="F44" s="99">
        <v>10000</v>
      </c>
      <c r="G44" s="84"/>
      <c r="H44" s="29" t="s">
        <v>32</v>
      </c>
      <c r="I44" s="84"/>
      <c r="J44" s="91" t="s">
        <v>7</v>
      </c>
      <c r="K44" s="84"/>
      <c r="L44" s="12" t="s">
        <v>19</v>
      </c>
    </row>
    <row r="45" spans="1:12" ht="5.15" customHeight="1" x14ac:dyDescent="0.4">
      <c r="A45" s="2"/>
      <c r="B45" s="58"/>
      <c r="C45" s="45"/>
      <c r="D45" s="25"/>
      <c r="E45" s="7"/>
      <c r="F45" s="92"/>
      <c r="G45" s="7"/>
      <c r="H45" s="6"/>
      <c r="I45" s="7"/>
      <c r="J45" s="92"/>
      <c r="K45" s="7"/>
      <c r="L45" s="47"/>
    </row>
    <row r="46" spans="1:12" ht="21.9" customHeight="1" x14ac:dyDescent="0.4">
      <c r="A46" s="2"/>
      <c r="B46" s="58"/>
      <c r="C46" s="45"/>
      <c r="D46" s="2"/>
      <c r="E46" s="2"/>
      <c r="F46" s="82"/>
      <c r="G46" s="2"/>
      <c r="H46" s="9"/>
      <c r="I46" s="2"/>
      <c r="J46" s="82"/>
      <c r="K46" s="2"/>
      <c r="L46" s="10"/>
    </row>
    <row r="47" spans="1:12" ht="5.15" customHeight="1" thickBot="1" x14ac:dyDescent="0.45">
      <c r="A47" s="2"/>
      <c r="B47" s="64"/>
      <c r="C47" s="48"/>
      <c r="D47" s="30"/>
      <c r="E47" s="30"/>
      <c r="F47" s="100"/>
      <c r="G47" s="30"/>
      <c r="H47" s="32"/>
      <c r="I47" s="30"/>
      <c r="J47" s="100"/>
      <c r="K47" s="30"/>
      <c r="L47" s="33"/>
    </row>
    <row r="48" spans="1:12" ht="15.9" customHeight="1" x14ac:dyDescent="0.4">
      <c r="A48" s="2"/>
      <c r="B48" s="57" t="s">
        <v>8</v>
      </c>
      <c r="C48" s="13"/>
      <c r="D48" s="13"/>
      <c r="E48" s="13"/>
      <c r="F48" s="83"/>
      <c r="G48" s="13"/>
      <c r="H48" s="13"/>
      <c r="I48" s="13"/>
      <c r="J48" s="83"/>
      <c r="K48" s="13"/>
      <c r="L48" s="14"/>
    </row>
    <row r="49" spans="1:12" ht="18" customHeight="1" x14ac:dyDescent="0.35">
      <c r="A49" s="2"/>
      <c r="B49" s="58"/>
      <c r="C49" s="5"/>
      <c r="D49" s="6"/>
      <c r="E49" s="59" t="s">
        <v>1</v>
      </c>
      <c r="F49" s="60"/>
      <c r="G49" s="61"/>
      <c r="H49" s="4" t="s">
        <v>2</v>
      </c>
      <c r="I49" s="59" t="s">
        <v>3</v>
      </c>
      <c r="J49" s="60"/>
      <c r="K49" s="61"/>
      <c r="L49" s="11" t="s">
        <v>2</v>
      </c>
    </row>
    <row r="50" spans="1:12" ht="5.15" customHeight="1" x14ac:dyDescent="0.4">
      <c r="A50" s="2"/>
      <c r="B50" s="58"/>
      <c r="C50" s="63"/>
      <c r="D50" s="2"/>
      <c r="E50" s="84"/>
      <c r="F50" s="85"/>
      <c r="G50" s="84"/>
      <c r="H50" s="9"/>
      <c r="I50" s="84"/>
      <c r="J50" s="85"/>
      <c r="K50" s="84"/>
      <c r="L50" s="10"/>
    </row>
    <row r="51" spans="1:12" ht="15.9" customHeight="1" x14ac:dyDescent="0.35">
      <c r="A51" s="2"/>
      <c r="B51" s="58"/>
      <c r="C51" s="63"/>
      <c r="D51" s="86" t="s">
        <v>23</v>
      </c>
      <c r="E51" s="84"/>
      <c r="F51" s="87">
        <v>10000</v>
      </c>
      <c r="G51" s="84"/>
      <c r="H51" s="29" t="s">
        <v>6</v>
      </c>
      <c r="I51" s="84"/>
      <c r="J51" s="91" t="s">
        <v>7</v>
      </c>
      <c r="K51" s="84"/>
      <c r="L51" s="12" t="s">
        <v>6</v>
      </c>
    </row>
    <row r="52" spans="1:12" ht="5.15" customHeight="1" x14ac:dyDescent="0.4">
      <c r="A52" s="2"/>
      <c r="B52" s="58"/>
      <c r="C52" s="72"/>
      <c r="D52" s="46"/>
      <c r="E52" s="7"/>
      <c r="F52" s="92"/>
      <c r="G52" s="7"/>
      <c r="H52" s="6"/>
      <c r="I52" s="7"/>
      <c r="J52" s="92"/>
      <c r="K52" s="7"/>
      <c r="L52" s="47"/>
    </row>
    <row r="53" spans="1:12" ht="5.15" customHeight="1" x14ac:dyDescent="0.4">
      <c r="A53" s="2"/>
      <c r="B53" s="58"/>
      <c r="C53" s="63"/>
      <c r="D53" s="2"/>
      <c r="E53" s="84"/>
      <c r="F53" s="85"/>
      <c r="G53" s="84"/>
      <c r="H53" s="9"/>
      <c r="I53" s="84"/>
      <c r="J53" s="85"/>
      <c r="K53" s="84"/>
      <c r="L53" s="10"/>
    </row>
    <row r="54" spans="1:12" ht="15.9" customHeight="1" x14ac:dyDescent="0.35">
      <c r="A54" s="2"/>
      <c r="B54" s="58"/>
      <c r="C54" s="63"/>
      <c r="D54" s="86" t="s">
        <v>24</v>
      </c>
      <c r="E54" s="84"/>
      <c r="F54" s="93">
        <v>10000</v>
      </c>
      <c r="G54" s="84"/>
      <c r="H54" s="29" t="s">
        <v>20</v>
      </c>
      <c r="I54" s="84"/>
      <c r="J54" s="91" t="s">
        <v>7</v>
      </c>
      <c r="K54" s="84"/>
      <c r="L54" s="12" t="s">
        <v>19</v>
      </c>
    </row>
    <row r="55" spans="1:12" ht="5.15" customHeight="1" x14ac:dyDescent="0.4">
      <c r="A55" s="2"/>
      <c r="B55" s="58"/>
      <c r="C55" s="72"/>
      <c r="D55" s="46"/>
      <c r="E55" s="7"/>
      <c r="F55" s="92"/>
      <c r="G55" s="7"/>
      <c r="H55" s="6"/>
      <c r="I55" s="7"/>
      <c r="J55" s="92"/>
      <c r="K55" s="7"/>
      <c r="L55" s="47"/>
    </row>
    <row r="56" spans="1:12" ht="5.15" customHeight="1" x14ac:dyDescent="0.4">
      <c r="A56" s="2"/>
      <c r="B56" s="58"/>
      <c r="C56" s="63"/>
      <c r="D56" s="2"/>
      <c r="E56" s="84"/>
      <c r="F56" s="85"/>
      <c r="G56" s="84"/>
      <c r="H56" s="9"/>
      <c r="I56" s="84"/>
      <c r="J56" s="85"/>
      <c r="K56" s="84"/>
      <c r="L56" s="10"/>
    </row>
    <row r="57" spans="1:12" ht="15.9" customHeight="1" x14ac:dyDescent="0.35">
      <c r="A57" s="2"/>
      <c r="B57" s="58"/>
      <c r="C57" s="63"/>
      <c r="D57" s="86" t="s">
        <v>10</v>
      </c>
      <c r="E57" s="84"/>
      <c r="F57" s="93">
        <v>10000</v>
      </c>
      <c r="G57" s="84"/>
      <c r="H57" s="29" t="s">
        <v>6</v>
      </c>
      <c r="I57" s="84"/>
      <c r="J57" s="91" t="s">
        <v>7</v>
      </c>
      <c r="K57" s="84"/>
      <c r="L57" s="12" t="s">
        <v>6</v>
      </c>
    </row>
    <row r="58" spans="1:12" ht="5.15" customHeight="1" x14ac:dyDescent="0.4">
      <c r="A58" s="2"/>
      <c r="B58" s="58"/>
      <c r="C58" s="72"/>
      <c r="D58" s="46"/>
      <c r="E58" s="7"/>
      <c r="F58" s="92"/>
      <c r="G58" s="7"/>
      <c r="H58" s="6"/>
      <c r="I58" s="7"/>
      <c r="J58" s="92"/>
      <c r="K58" s="7"/>
      <c r="L58" s="47"/>
    </row>
    <row r="59" spans="1:12" ht="5.15" customHeight="1" x14ac:dyDescent="0.4">
      <c r="A59" s="2"/>
      <c r="B59" s="58"/>
      <c r="C59" s="63"/>
      <c r="D59" s="2"/>
      <c r="E59" s="84"/>
      <c r="F59" s="85"/>
      <c r="G59" s="84"/>
      <c r="H59" s="9"/>
      <c r="I59" s="84"/>
      <c r="J59" s="85"/>
      <c r="K59" s="84"/>
      <c r="L59" s="10"/>
    </row>
    <row r="60" spans="1:12" ht="15.9" customHeight="1" x14ac:dyDescent="0.35">
      <c r="A60" s="2"/>
      <c r="B60" s="58"/>
      <c r="C60" s="63"/>
      <c r="D60" s="86" t="s">
        <v>11</v>
      </c>
      <c r="E60" s="84"/>
      <c r="F60" s="93">
        <v>10000</v>
      </c>
      <c r="G60" s="84"/>
      <c r="H60" s="29" t="s">
        <v>6</v>
      </c>
      <c r="I60" s="84"/>
      <c r="J60" s="91" t="s">
        <v>7</v>
      </c>
      <c r="K60" s="84"/>
      <c r="L60" s="12" t="s">
        <v>6</v>
      </c>
    </row>
    <row r="61" spans="1:12" ht="5.15" customHeight="1" x14ac:dyDescent="0.4">
      <c r="A61" s="2"/>
      <c r="B61" s="58"/>
      <c r="C61" s="72"/>
      <c r="D61" s="46"/>
      <c r="E61" s="7"/>
      <c r="F61" s="92"/>
      <c r="G61" s="7"/>
      <c r="H61" s="6"/>
      <c r="I61" s="7"/>
      <c r="J61" s="92"/>
      <c r="K61" s="7"/>
      <c r="L61" s="47"/>
    </row>
    <row r="62" spans="1:12" ht="5.15" customHeight="1" x14ac:dyDescent="0.4">
      <c r="A62" s="2"/>
      <c r="B62" s="58"/>
      <c r="C62" s="63"/>
      <c r="D62" s="2"/>
      <c r="E62" s="84"/>
      <c r="F62" s="85"/>
      <c r="G62" s="84"/>
      <c r="H62" s="9"/>
      <c r="I62" s="84"/>
      <c r="J62" s="85"/>
      <c r="K62" s="84"/>
      <c r="L62" s="10"/>
    </row>
    <row r="63" spans="1:12" ht="15.9" customHeight="1" x14ac:dyDescent="0.4">
      <c r="A63" s="2"/>
      <c r="B63" s="58"/>
      <c r="C63" s="63"/>
      <c r="D63" s="86" t="s">
        <v>12</v>
      </c>
      <c r="E63" s="84"/>
      <c r="F63" s="85"/>
      <c r="G63" s="84"/>
      <c r="H63" s="9"/>
      <c r="I63" s="84"/>
      <c r="J63" s="85"/>
      <c r="K63" s="84"/>
      <c r="L63" s="10"/>
    </row>
    <row r="64" spans="1:12" ht="5.15" customHeight="1" x14ac:dyDescent="0.4">
      <c r="A64" s="2"/>
      <c r="B64" s="58"/>
      <c r="C64" s="45"/>
      <c r="D64" s="86"/>
      <c r="E64" s="84"/>
      <c r="F64" s="85"/>
      <c r="G64" s="84"/>
      <c r="H64" s="9"/>
      <c r="I64" s="84"/>
      <c r="J64" s="85"/>
      <c r="K64" s="84"/>
      <c r="L64" s="10"/>
    </row>
    <row r="65" spans="1:12" ht="15.9" customHeight="1" x14ac:dyDescent="0.35">
      <c r="A65" s="2"/>
      <c r="B65" s="58"/>
      <c r="C65" s="45"/>
      <c r="D65" s="95" t="s">
        <v>33</v>
      </c>
      <c r="E65" s="84"/>
      <c r="F65" s="101">
        <v>10000</v>
      </c>
      <c r="G65" s="84"/>
      <c r="H65" s="29" t="s">
        <v>27</v>
      </c>
      <c r="I65" s="84"/>
      <c r="J65" s="91" t="s">
        <v>7</v>
      </c>
      <c r="K65" s="84"/>
      <c r="L65" s="12" t="s">
        <v>19</v>
      </c>
    </row>
    <row r="66" spans="1:12" ht="5.15" customHeight="1" x14ac:dyDescent="0.4">
      <c r="A66" s="2"/>
      <c r="B66" s="58"/>
      <c r="C66" s="45"/>
      <c r="D66" s="25"/>
      <c r="E66" s="7"/>
      <c r="F66" s="92"/>
      <c r="G66" s="7"/>
      <c r="H66" s="6"/>
      <c r="I66" s="7"/>
      <c r="J66" s="92"/>
      <c r="K66" s="7"/>
      <c r="L66" s="47"/>
    </row>
    <row r="67" spans="1:12" ht="5.15" customHeight="1" x14ac:dyDescent="0.4">
      <c r="A67" s="2"/>
      <c r="B67" s="58"/>
      <c r="C67" s="45"/>
      <c r="D67" s="86"/>
      <c r="E67" s="84"/>
      <c r="F67" s="85"/>
      <c r="G67" s="84"/>
      <c r="H67" s="9"/>
      <c r="I67" s="84"/>
      <c r="J67" s="85"/>
      <c r="K67" s="84"/>
      <c r="L67" s="10"/>
    </row>
    <row r="68" spans="1:12" ht="15.9" customHeight="1" x14ac:dyDescent="0.35">
      <c r="A68" s="2"/>
      <c r="B68" s="58"/>
      <c r="C68" s="45"/>
      <c r="D68" s="95" t="s">
        <v>34</v>
      </c>
      <c r="E68" s="84"/>
      <c r="F68" s="87">
        <v>10000</v>
      </c>
      <c r="G68" s="84"/>
      <c r="H68" s="29" t="s">
        <v>19</v>
      </c>
      <c r="I68" s="84"/>
      <c r="J68" s="102" t="s">
        <v>7</v>
      </c>
      <c r="K68" s="84"/>
      <c r="L68" s="12" t="s">
        <v>20</v>
      </c>
    </row>
    <row r="69" spans="1:12" ht="5.15" customHeight="1" x14ac:dyDescent="0.4">
      <c r="A69" s="2"/>
      <c r="B69" s="58"/>
      <c r="C69" s="45"/>
      <c r="D69" s="25"/>
      <c r="E69" s="7"/>
      <c r="F69" s="92"/>
      <c r="G69" s="7"/>
      <c r="H69" s="6"/>
      <c r="I69" s="7"/>
      <c r="J69" s="92"/>
      <c r="K69" s="7"/>
      <c r="L69" s="47"/>
    </row>
    <row r="70" spans="1:12" ht="5.15" customHeight="1" x14ac:dyDescent="0.4">
      <c r="A70" s="2"/>
      <c r="B70" s="58"/>
      <c r="C70" s="45"/>
      <c r="D70" s="86"/>
      <c r="E70" s="84"/>
      <c r="F70" s="85"/>
      <c r="G70" s="84"/>
      <c r="H70" s="9"/>
      <c r="I70" s="84"/>
      <c r="J70" s="85"/>
      <c r="K70" s="84"/>
      <c r="L70" s="10"/>
    </row>
    <row r="71" spans="1:12" ht="15.9" customHeight="1" x14ac:dyDescent="0.35">
      <c r="A71" s="2"/>
      <c r="B71" s="58"/>
      <c r="C71" s="45"/>
      <c r="D71" s="95" t="s">
        <v>35</v>
      </c>
      <c r="E71" s="84"/>
      <c r="F71" s="87">
        <v>10000</v>
      </c>
      <c r="G71" s="84"/>
      <c r="H71" s="29" t="s">
        <v>19</v>
      </c>
      <c r="I71" s="84"/>
      <c r="J71" s="103" t="s">
        <v>7</v>
      </c>
      <c r="K71" s="84"/>
      <c r="L71" s="12" t="s">
        <v>20</v>
      </c>
    </row>
    <row r="72" spans="1:12" ht="5.15" customHeight="1" x14ac:dyDescent="0.4">
      <c r="A72" s="2"/>
      <c r="B72" s="58"/>
      <c r="C72" s="45"/>
      <c r="D72" s="25"/>
      <c r="E72" s="7"/>
      <c r="F72" s="92"/>
      <c r="G72" s="7"/>
      <c r="H72" s="6"/>
      <c r="I72" s="7"/>
      <c r="J72" s="92"/>
      <c r="K72" s="7"/>
      <c r="L72" s="47"/>
    </row>
    <row r="73" spans="1:12" ht="5.15" customHeight="1" x14ac:dyDescent="0.4">
      <c r="A73" s="2"/>
      <c r="B73" s="58"/>
      <c r="C73" s="45"/>
      <c r="D73" s="86"/>
      <c r="E73" s="84"/>
      <c r="F73" s="85"/>
      <c r="G73" s="84"/>
      <c r="H73" s="9"/>
      <c r="I73" s="84"/>
      <c r="J73" s="85"/>
      <c r="K73" s="84"/>
      <c r="L73" s="10"/>
    </row>
    <row r="74" spans="1:12" ht="15.9" customHeight="1" x14ac:dyDescent="0.35">
      <c r="A74" s="2"/>
      <c r="B74" s="58"/>
      <c r="C74" s="45"/>
      <c r="D74" s="95" t="s">
        <v>36</v>
      </c>
      <c r="E74" s="84"/>
      <c r="F74" s="87">
        <v>10000</v>
      </c>
      <c r="G74" s="84"/>
      <c r="H74" s="29" t="s">
        <v>19</v>
      </c>
      <c r="I74" s="84"/>
      <c r="J74" s="104" t="s">
        <v>7</v>
      </c>
      <c r="K74" s="84"/>
      <c r="L74" s="12" t="s">
        <v>20</v>
      </c>
    </row>
    <row r="75" spans="1:12" ht="5.15" customHeight="1" x14ac:dyDescent="0.4">
      <c r="A75" s="2"/>
      <c r="B75" s="58"/>
      <c r="C75" s="45"/>
      <c r="D75" s="25"/>
      <c r="E75" s="7"/>
      <c r="F75" s="92"/>
      <c r="G75" s="7"/>
      <c r="H75" s="6"/>
      <c r="I75" s="7"/>
      <c r="J75" s="92"/>
      <c r="K75" s="7"/>
      <c r="L75" s="47"/>
    </row>
    <row r="76" spans="1:12" ht="5.15" customHeight="1" x14ac:dyDescent="0.4">
      <c r="A76" s="2"/>
      <c r="B76" s="58"/>
      <c r="C76" s="45"/>
      <c r="D76" s="86"/>
      <c r="E76" s="84"/>
      <c r="F76" s="85"/>
      <c r="G76" s="84"/>
      <c r="H76" s="9"/>
      <c r="I76" s="84"/>
      <c r="J76" s="85"/>
      <c r="K76" s="84"/>
      <c r="L76" s="10"/>
    </row>
    <row r="77" spans="1:12" ht="15.9" customHeight="1" x14ac:dyDescent="0.35">
      <c r="A77" s="2"/>
      <c r="B77" s="58"/>
      <c r="C77" s="45"/>
      <c r="D77" s="95" t="s">
        <v>37</v>
      </c>
      <c r="E77" s="84"/>
      <c r="F77" s="87">
        <v>10000</v>
      </c>
      <c r="G77" s="84"/>
      <c r="H77" s="29" t="s">
        <v>19</v>
      </c>
      <c r="I77" s="84"/>
      <c r="J77" s="105" t="s">
        <v>7</v>
      </c>
      <c r="K77" s="84"/>
      <c r="L77" s="12" t="s">
        <v>20</v>
      </c>
    </row>
    <row r="78" spans="1:12" ht="5.15" customHeight="1" x14ac:dyDescent="0.4">
      <c r="A78" s="2"/>
      <c r="B78" s="58"/>
      <c r="C78" s="45"/>
      <c r="D78" s="25"/>
      <c r="E78" s="7"/>
      <c r="F78" s="92"/>
      <c r="G78" s="7"/>
      <c r="H78" s="6"/>
      <c r="I78" s="7"/>
      <c r="J78" s="92"/>
      <c r="K78" s="7"/>
      <c r="L78" s="47"/>
    </row>
    <row r="79" spans="1:12" ht="5.15" customHeight="1" x14ac:dyDescent="0.4">
      <c r="A79" s="2"/>
      <c r="B79" s="58"/>
      <c r="C79" s="45"/>
      <c r="D79" s="86"/>
      <c r="E79" s="84"/>
      <c r="F79" s="85"/>
      <c r="G79" s="84"/>
      <c r="H79" s="9"/>
      <c r="I79" s="84"/>
      <c r="J79" s="85"/>
      <c r="K79" s="84"/>
      <c r="L79" s="10"/>
    </row>
    <row r="80" spans="1:12" ht="15.9" customHeight="1" x14ac:dyDescent="0.35">
      <c r="A80" s="2"/>
      <c r="B80" s="58"/>
      <c r="C80" s="45"/>
      <c r="D80" s="95" t="s">
        <v>38</v>
      </c>
      <c r="E80" s="84"/>
      <c r="F80" s="87">
        <v>10000</v>
      </c>
      <c r="G80" s="84"/>
      <c r="H80" s="29" t="s">
        <v>19</v>
      </c>
      <c r="I80" s="84"/>
      <c r="J80" s="106" t="s">
        <v>7</v>
      </c>
      <c r="K80" s="84"/>
      <c r="L80" s="12" t="s">
        <v>20</v>
      </c>
    </row>
    <row r="81" spans="1:12" ht="5.15" customHeight="1" x14ac:dyDescent="0.4">
      <c r="A81" s="2"/>
      <c r="B81" s="58"/>
      <c r="C81" s="45"/>
      <c r="D81" s="25"/>
      <c r="E81" s="7"/>
      <c r="F81" s="92"/>
      <c r="G81" s="7"/>
      <c r="H81" s="6"/>
      <c r="I81" s="7"/>
      <c r="J81" s="92"/>
      <c r="K81" s="7"/>
      <c r="L81" s="47"/>
    </row>
    <row r="82" spans="1:12" ht="5.15" customHeight="1" x14ac:dyDescent="0.4">
      <c r="A82" s="2"/>
      <c r="B82" s="58"/>
      <c r="C82" s="45"/>
      <c r="D82" s="86"/>
      <c r="E82" s="84"/>
      <c r="F82" s="85"/>
      <c r="G82" s="84"/>
      <c r="H82" s="9"/>
      <c r="I82" s="84"/>
      <c r="J82" s="85"/>
      <c r="K82" s="84"/>
      <c r="L82" s="10"/>
    </row>
    <row r="83" spans="1:12" ht="15.9" customHeight="1" x14ac:dyDescent="0.35">
      <c r="A83" s="2"/>
      <c r="B83" s="58"/>
      <c r="C83" s="45"/>
      <c r="D83" s="95" t="s">
        <v>39</v>
      </c>
      <c r="E83" s="84"/>
      <c r="F83" s="87">
        <v>10000</v>
      </c>
      <c r="G83" s="84"/>
      <c r="H83" s="29" t="s">
        <v>19</v>
      </c>
      <c r="I83" s="84"/>
      <c r="J83" s="107" t="s">
        <v>7</v>
      </c>
      <c r="K83" s="84"/>
      <c r="L83" s="12" t="s">
        <v>20</v>
      </c>
    </row>
    <row r="84" spans="1:12" ht="5.15" customHeight="1" x14ac:dyDescent="0.4">
      <c r="A84" s="2"/>
      <c r="B84" s="58"/>
      <c r="C84" s="45"/>
      <c r="D84" s="25"/>
      <c r="E84" s="7"/>
      <c r="F84" s="92"/>
      <c r="G84" s="7"/>
      <c r="H84" s="6"/>
      <c r="I84" s="7"/>
      <c r="J84" s="92"/>
      <c r="K84" s="7"/>
      <c r="L84" s="47"/>
    </row>
    <row r="85" spans="1:12" ht="21.9" customHeight="1" x14ac:dyDescent="0.4">
      <c r="A85" s="2"/>
      <c r="B85" s="58"/>
      <c r="C85" s="45"/>
      <c r="D85" s="2"/>
      <c r="E85" s="2"/>
      <c r="F85" s="82"/>
      <c r="G85" s="2"/>
      <c r="H85" s="9"/>
      <c r="I85" s="2"/>
      <c r="J85" s="82"/>
      <c r="K85" s="2"/>
      <c r="L85" s="10"/>
    </row>
    <row r="86" spans="1:12" ht="5.15" customHeight="1" thickBot="1" x14ac:dyDescent="0.45">
      <c r="A86" s="2"/>
      <c r="B86" s="64"/>
      <c r="C86" s="48"/>
      <c r="D86" s="30"/>
      <c r="E86" s="30"/>
      <c r="F86" s="100"/>
      <c r="G86" s="30"/>
      <c r="H86" s="32"/>
      <c r="I86" s="30"/>
      <c r="J86" s="100"/>
      <c r="K86" s="30"/>
      <c r="L86" s="33"/>
    </row>
    <row r="87" spans="1:12" ht="24.65" customHeight="1" x14ac:dyDescent="0.4">
      <c r="A87" s="2"/>
      <c r="B87" s="2"/>
      <c r="C87" s="2"/>
      <c r="D87" s="2"/>
      <c r="E87" s="2"/>
      <c r="F87" s="82"/>
      <c r="G87" s="2"/>
      <c r="H87" s="2"/>
      <c r="I87" s="2"/>
      <c r="J87" s="82"/>
      <c r="K87" s="2"/>
      <c r="L87" s="2"/>
    </row>
    <row r="88" spans="1:12" ht="15" thickBot="1" x14ac:dyDescent="0.45">
      <c r="A88" s="2"/>
      <c r="B88" s="2"/>
      <c r="C88" s="2"/>
      <c r="D88" s="2"/>
      <c r="E88" s="2"/>
      <c r="F88" s="82"/>
      <c r="G88" s="2"/>
      <c r="H88" s="2"/>
      <c r="I88" s="2"/>
      <c r="J88" s="82"/>
      <c r="K88" s="2"/>
      <c r="L88" s="2"/>
    </row>
    <row r="89" spans="1:12" ht="28.4" customHeight="1" x14ac:dyDescent="0.35">
      <c r="A89" s="2"/>
      <c r="B89" s="66" t="s">
        <v>13</v>
      </c>
      <c r="C89" s="67"/>
      <c r="D89" s="67"/>
      <c r="E89" s="67"/>
      <c r="F89" s="67"/>
      <c r="G89" s="67"/>
      <c r="H89" s="67"/>
      <c r="I89" s="67"/>
      <c r="J89" s="67"/>
      <c r="K89" s="67"/>
      <c r="L89" s="68"/>
    </row>
    <row r="90" spans="1:12" ht="28.4" customHeight="1" x14ac:dyDescent="0.35">
      <c r="A90" s="2"/>
      <c r="B90" s="69"/>
      <c r="C90" s="70"/>
      <c r="D90" s="70"/>
      <c r="E90" s="70"/>
      <c r="F90" s="70"/>
      <c r="G90" s="70"/>
      <c r="H90" s="70"/>
      <c r="I90" s="70"/>
      <c r="J90" s="70"/>
      <c r="K90" s="70"/>
      <c r="L90" s="71"/>
    </row>
    <row r="91" spans="1:12" ht="21.75" customHeight="1" x14ac:dyDescent="0.4">
      <c r="A91" s="2"/>
      <c r="B91" s="73" t="s">
        <v>4</v>
      </c>
      <c r="C91" s="2"/>
      <c r="D91" s="2"/>
      <c r="E91" s="2"/>
      <c r="F91" s="82"/>
      <c r="G91" s="2"/>
      <c r="H91" s="2"/>
      <c r="I91" s="2"/>
      <c r="J91" s="82"/>
      <c r="K91" s="2"/>
      <c r="L91" s="10"/>
    </row>
    <row r="92" spans="1:12" ht="18" customHeight="1" x14ac:dyDescent="0.35">
      <c r="A92" s="2"/>
      <c r="B92" s="58"/>
      <c r="C92" s="5"/>
      <c r="D92" s="6"/>
      <c r="E92" s="59" t="s">
        <v>1</v>
      </c>
      <c r="F92" s="60"/>
      <c r="G92" s="61"/>
      <c r="H92" s="4" t="s">
        <v>2</v>
      </c>
      <c r="I92" s="59" t="s">
        <v>3</v>
      </c>
      <c r="J92" s="60"/>
      <c r="K92" s="61"/>
      <c r="L92" s="11" t="s">
        <v>2</v>
      </c>
    </row>
    <row r="93" spans="1:12" ht="5.15" customHeight="1" x14ac:dyDescent="0.4">
      <c r="A93" s="2"/>
      <c r="B93" s="58"/>
      <c r="C93" s="62"/>
      <c r="D93" s="2"/>
      <c r="E93" s="84"/>
      <c r="F93" s="85"/>
      <c r="G93" s="84"/>
      <c r="H93" s="8"/>
      <c r="I93" s="84"/>
      <c r="J93" s="85"/>
      <c r="K93" s="84"/>
      <c r="L93" s="10"/>
    </row>
    <row r="94" spans="1:12" ht="15.75" customHeight="1" x14ac:dyDescent="0.35">
      <c r="A94" s="2"/>
      <c r="B94" s="58"/>
      <c r="C94" s="63"/>
      <c r="D94" s="86" t="s">
        <v>14</v>
      </c>
      <c r="E94" s="84"/>
      <c r="F94" s="108">
        <v>10000</v>
      </c>
      <c r="G94" s="84"/>
      <c r="H94" s="29" t="s">
        <v>6</v>
      </c>
      <c r="I94" s="84"/>
      <c r="J94" s="91" t="s">
        <v>7</v>
      </c>
      <c r="K94" s="84"/>
      <c r="L94" s="12" t="s">
        <v>6</v>
      </c>
    </row>
    <row r="95" spans="1:12" ht="5.15" customHeight="1" x14ac:dyDescent="0.4">
      <c r="A95" s="2"/>
      <c r="B95" s="58"/>
      <c r="C95" s="72"/>
      <c r="D95" s="46"/>
      <c r="E95" s="7"/>
      <c r="F95" s="92"/>
      <c r="G95" s="7"/>
      <c r="H95" s="6"/>
      <c r="I95" s="7"/>
      <c r="J95" s="92"/>
      <c r="K95" s="7"/>
      <c r="L95" s="47"/>
    </row>
    <row r="96" spans="1:12" ht="5.15" customHeight="1" x14ac:dyDescent="0.4">
      <c r="A96" s="2"/>
      <c r="B96" s="58"/>
      <c r="C96" s="63"/>
      <c r="D96" s="2"/>
      <c r="E96" s="84"/>
      <c r="F96" s="85"/>
      <c r="G96" s="84"/>
      <c r="H96" s="9"/>
      <c r="I96" s="84"/>
      <c r="J96" s="85"/>
      <c r="K96" s="84"/>
      <c r="L96" s="10"/>
    </row>
    <row r="97" spans="1:12" ht="15.75" customHeight="1" x14ac:dyDescent="0.35">
      <c r="A97" s="2"/>
      <c r="B97" s="58"/>
      <c r="C97" s="63"/>
      <c r="D97" s="86" t="s">
        <v>15</v>
      </c>
      <c r="E97" s="84"/>
      <c r="F97" s="108">
        <v>10000</v>
      </c>
      <c r="G97" s="84"/>
      <c r="H97" s="29" t="s">
        <v>6</v>
      </c>
      <c r="I97" s="84"/>
      <c r="J97" s="91" t="s">
        <v>7</v>
      </c>
      <c r="K97" s="84"/>
      <c r="L97" s="12" t="s">
        <v>6</v>
      </c>
    </row>
    <row r="98" spans="1:12" ht="5.15" customHeight="1" x14ac:dyDescent="0.4">
      <c r="A98" s="2"/>
      <c r="B98" s="74"/>
      <c r="C98" s="72"/>
      <c r="D98" s="46"/>
      <c r="E98" s="7"/>
      <c r="F98" s="92"/>
      <c r="G98" s="7"/>
      <c r="H98" s="6"/>
      <c r="I98" s="7"/>
      <c r="J98" s="92"/>
      <c r="K98" s="7"/>
      <c r="L98" s="47"/>
    </row>
    <row r="99" spans="1:12" ht="21.75" customHeight="1" x14ac:dyDescent="0.4">
      <c r="A99" s="2"/>
      <c r="B99" s="73" t="s">
        <v>8</v>
      </c>
      <c r="C99" s="2"/>
      <c r="D99" s="2"/>
      <c r="E99" s="2"/>
      <c r="F99" s="82"/>
      <c r="G99" s="2"/>
      <c r="H99" s="2"/>
      <c r="I99" s="2"/>
      <c r="J99" s="82"/>
      <c r="K99" s="2"/>
      <c r="L99" s="10"/>
    </row>
    <row r="100" spans="1:12" ht="18" customHeight="1" x14ac:dyDescent="0.35">
      <c r="A100" s="2"/>
      <c r="B100" s="58"/>
      <c r="C100" s="5"/>
      <c r="D100" s="6"/>
      <c r="E100" s="59" t="s">
        <v>1</v>
      </c>
      <c r="F100" s="60"/>
      <c r="G100" s="61"/>
      <c r="H100" s="4" t="s">
        <v>2</v>
      </c>
      <c r="I100" s="59" t="s">
        <v>3</v>
      </c>
      <c r="J100" s="60"/>
      <c r="K100" s="61"/>
      <c r="L100" s="11" t="s">
        <v>2</v>
      </c>
    </row>
    <row r="101" spans="1:12" ht="5.15" customHeight="1" x14ac:dyDescent="0.4">
      <c r="A101" s="2"/>
      <c r="B101" s="58"/>
      <c r="C101" s="62"/>
      <c r="D101" s="2"/>
      <c r="E101" s="84"/>
      <c r="F101" s="85"/>
      <c r="G101" s="84"/>
      <c r="H101" s="8"/>
      <c r="I101" s="84"/>
      <c r="J101" s="85"/>
      <c r="K101" s="84"/>
      <c r="L101" s="10"/>
    </row>
    <row r="102" spans="1:12" ht="15.75" customHeight="1" x14ac:dyDescent="0.35">
      <c r="A102" s="2"/>
      <c r="B102" s="58"/>
      <c r="C102" s="63"/>
      <c r="D102" s="86" t="s">
        <v>14</v>
      </c>
      <c r="E102" s="84"/>
      <c r="F102" s="108">
        <v>10000</v>
      </c>
      <c r="G102" s="84"/>
      <c r="H102" s="29" t="s">
        <v>6</v>
      </c>
      <c r="I102" s="84"/>
      <c r="J102" s="91" t="s">
        <v>7</v>
      </c>
      <c r="K102" s="84"/>
      <c r="L102" s="12" t="s">
        <v>6</v>
      </c>
    </row>
    <row r="103" spans="1:12" ht="5.15" customHeight="1" x14ac:dyDescent="0.4">
      <c r="A103" s="2"/>
      <c r="B103" s="58"/>
      <c r="C103" s="72"/>
      <c r="D103" s="46"/>
      <c r="E103" s="7"/>
      <c r="F103" s="92"/>
      <c r="G103" s="7"/>
      <c r="H103" s="6"/>
      <c r="I103" s="7"/>
      <c r="J103" s="92"/>
      <c r="K103" s="7"/>
      <c r="L103" s="47"/>
    </row>
    <row r="104" spans="1:12" ht="5.15" customHeight="1" x14ac:dyDescent="0.4">
      <c r="A104" s="2"/>
      <c r="B104" s="58"/>
      <c r="C104" s="63"/>
      <c r="D104" s="2"/>
      <c r="E104" s="84"/>
      <c r="F104" s="85"/>
      <c r="G104" s="84"/>
      <c r="H104" s="9"/>
      <c r="I104" s="84"/>
      <c r="J104" s="85"/>
      <c r="K104" s="84"/>
      <c r="L104" s="10"/>
    </row>
    <row r="105" spans="1:12" ht="15.75" customHeight="1" x14ac:dyDescent="0.35">
      <c r="A105" s="2"/>
      <c r="B105" s="58"/>
      <c r="C105" s="63"/>
      <c r="D105" s="86" t="s">
        <v>15</v>
      </c>
      <c r="E105" s="84"/>
      <c r="F105" s="108">
        <v>10000</v>
      </c>
      <c r="G105" s="84"/>
      <c r="H105" s="29" t="s">
        <v>6</v>
      </c>
      <c r="I105" s="84"/>
      <c r="J105" s="91" t="s">
        <v>7</v>
      </c>
      <c r="K105" s="84"/>
      <c r="L105" s="12" t="s">
        <v>6</v>
      </c>
    </row>
    <row r="106" spans="1:12" ht="5.15" customHeight="1" thickBot="1" x14ac:dyDescent="0.45">
      <c r="A106" s="2"/>
      <c r="B106" s="64"/>
      <c r="C106" s="65"/>
      <c r="D106" s="30"/>
      <c r="E106" s="31"/>
      <c r="F106" s="89"/>
      <c r="G106" s="31"/>
      <c r="H106" s="32"/>
      <c r="I106" s="31"/>
      <c r="J106" s="89"/>
      <c r="K106" s="31"/>
      <c r="L106" s="33"/>
    </row>
    <row r="107" spans="1:12" ht="15" customHeight="1" x14ac:dyDescent="0.4">
      <c r="A107" s="2"/>
      <c r="B107" s="2"/>
      <c r="C107" s="2"/>
      <c r="D107" s="2"/>
      <c r="E107" s="2"/>
      <c r="F107" s="82"/>
      <c r="G107" s="2"/>
      <c r="H107" s="2"/>
      <c r="I107" s="2"/>
      <c r="J107" s="82"/>
      <c r="K107" s="2"/>
      <c r="L107" s="2"/>
    </row>
  </sheetData>
  <sheetProtection algorithmName="SHA-512" hashValue="fo7ZUChFbbaMFnEaxXsyURvwdEVEDRvWBj12Ck5ndK5b/4L3oucyi6T9/CJSE/uVSlD0xMzjF+yJz96BfznFpA==" saltValue="W7H03rk8vtTsMvaZtWP0HA==" spinCount="100000" sheet="1" objects="1" scenarios="1" formatCells="0"/>
  <mergeCells count="43">
    <mergeCell ref="B99:B106"/>
    <mergeCell ref="E100:G100"/>
    <mergeCell ref="I100:K100"/>
    <mergeCell ref="C101:C103"/>
    <mergeCell ref="C104:C106"/>
    <mergeCell ref="C62:C63"/>
    <mergeCell ref="B89:L89"/>
    <mergeCell ref="B90:L90"/>
    <mergeCell ref="B91:B98"/>
    <mergeCell ref="E92:G92"/>
    <mergeCell ref="I92:K92"/>
    <mergeCell ref="C93:C95"/>
    <mergeCell ref="C96:C98"/>
    <mergeCell ref="C32:C34"/>
    <mergeCell ref="C35:C37"/>
    <mergeCell ref="C38:C39"/>
    <mergeCell ref="B48:B86"/>
    <mergeCell ref="E49:G49"/>
    <mergeCell ref="I49:K49"/>
    <mergeCell ref="C50:C52"/>
    <mergeCell ref="C53:C55"/>
    <mergeCell ref="C56:C58"/>
    <mergeCell ref="C59:C61"/>
    <mergeCell ref="I15:K15"/>
    <mergeCell ref="C16:C18"/>
    <mergeCell ref="B22:L22"/>
    <mergeCell ref="Q22:Q29"/>
    <mergeCell ref="B23:L23"/>
    <mergeCell ref="B24:B47"/>
    <mergeCell ref="E25:G25"/>
    <mergeCell ref="I25:K25"/>
    <mergeCell ref="C26:C28"/>
    <mergeCell ref="C29:C31"/>
    <mergeCell ref="B1:L1"/>
    <mergeCell ref="B5:L5"/>
    <mergeCell ref="B6:L6"/>
    <mergeCell ref="B7:B12"/>
    <mergeCell ref="Q7:Q19"/>
    <mergeCell ref="E9:G9"/>
    <mergeCell ref="I9:K9"/>
    <mergeCell ref="C10:C12"/>
    <mergeCell ref="B13:B18"/>
    <mergeCell ref="E15:G15"/>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6170" r:id="rId5" name="cbApplyOddEvenFormatting">
          <controlPr defaultSize="0" autoFill="0" autoLine="0" r:id="rId6">
            <anchor moveWithCells="1">
              <from>
                <xdr:col>7</xdr:col>
                <xdr:colOff>1676400</xdr:colOff>
                <xdr:row>88</xdr:row>
                <xdr:rowOff>70757</xdr:rowOff>
              </from>
              <to>
                <xdr:col>7</xdr:col>
                <xdr:colOff>1796143</xdr:colOff>
                <xdr:row>88</xdr:row>
                <xdr:rowOff>342900</xdr:rowOff>
              </to>
            </anchor>
          </controlPr>
        </control>
      </mc:Choice>
      <mc:Fallback>
        <control shapeId="6170" r:id="rId5" name="cbApplyOddEvenFormatting"/>
      </mc:Fallback>
    </mc:AlternateContent>
    <mc:AlternateContent xmlns:mc="http://schemas.openxmlformats.org/markup-compatibility/2006">
      <mc:Choice Requires="x14">
        <control shapeId="6154" r:id="rId7" name="cbApplyMemberFormatting">
          <controlPr defaultSize="0" autoFill="0" autoLine="0" r:id="rId8">
            <anchor moveWithCells="1">
              <from>
                <xdr:col>9</xdr:col>
                <xdr:colOff>478971</xdr:colOff>
                <xdr:row>21</xdr:row>
                <xdr:rowOff>70757</xdr:rowOff>
              </from>
              <to>
                <xdr:col>9</xdr:col>
                <xdr:colOff>604157</xdr:colOff>
                <xdr:row>21</xdr:row>
                <xdr:rowOff>342900</xdr:rowOff>
              </to>
            </anchor>
          </controlPr>
        </control>
      </mc:Choice>
      <mc:Fallback>
        <control shapeId="6154" r:id="rId7" name="cbApplyMemberFormatting"/>
      </mc:Fallback>
    </mc:AlternateContent>
    <mc:AlternateContent xmlns:mc="http://schemas.openxmlformats.org/markup-compatibility/2006">
      <mc:Choice Requires="x14">
        <control shapeId="6145" r:id="rId9" name="cbApplyLevelFormatting">
          <controlPr defaultSize="0" autoFill="0" autoLine="0" r:id="rId10">
            <anchor moveWithCells="1">
              <from>
                <xdr:col>7</xdr:col>
                <xdr:colOff>1485900</xdr:colOff>
                <xdr:row>4</xdr:row>
                <xdr:rowOff>70757</xdr:rowOff>
              </from>
              <to>
                <xdr:col>7</xdr:col>
                <xdr:colOff>1605643</xdr:colOff>
                <xdr:row>4</xdr:row>
                <xdr:rowOff>342900</xdr:rowOff>
              </to>
            </anchor>
          </controlPr>
        </control>
      </mc:Choice>
      <mc:Fallback>
        <control shapeId="6145" r:id="rId9" name="cbApplyLevelFormatting"/>
      </mc:Fallback>
    </mc:AlternateContent>
    <mc:AlternateContent xmlns:mc="http://schemas.openxmlformats.org/markup-compatibility/2006">
      <mc:Choice Requires="x14">
        <control shapeId="6146" r:id="rId11"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6147" r:id="rId12" name="obLevelRowFirst">
          <controlPr defaultSize="0" autoFill="0" autoLine="0" autoPict="0" macro="_xll.IBPXLClient.TechnicalCategory.ButtonActionInIBPClientFormattingSheet">
            <anchor moveWithCells="1">
              <from>
                <xdr:col>3</xdr:col>
                <xdr:colOff>489857</xdr:colOff>
                <xdr:row>5</xdr:row>
                <xdr:rowOff>59871</xdr:rowOff>
              </from>
              <to>
                <xdr:col>3</xdr:col>
                <xdr:colOff>2628900</xdr:colOff>
                <xdr:row>5</xdr:row>
                <xdr:rowOff>272143</xdr:rowOff>
              </to>
            </anchor>
          </controlPr>
        </control>
      </mc:Choice>
    </mc:AlternateContent>
    <mc:AlternateContent xmlns:mc="http://schemas.openxmlformats.org/markup-compatibility/2006">
      <mc:Choice Requires="x14">
        <control shapeId="6148" r:id="rId13"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457200</xdr:colOff>
                <xdr:row>5</xdr:row>
                <xdr:rowOff>272143</xdr:rowOff>
              </to>
            </anchor>
          </controlPr>
        </control>
      </mc:Choice>
    </mc:AlternateContent>
    <mc:AlternateContent xmlns:mc="http://schemas.openxmlformats.org/markup-compatibility/2006">
      <mc:Choice Requires="x14">
        <control shapeId="6149" r:id="rId14" name="Group Box 5">
          <controlPr defaultSize="0" autoPict="0">
            <anchor moveWithCells="1">
              <from>
                <xdr:col>3</xdr:col>
                <xdr:colOff>2748643</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6150" r:id="rId15" name="Group Box 6">
          <controlPr defaultSize="0" autoPict="0">
            <anchor moveWithCells="1">
              <from>
                <xdr:col>10</xdr:col>
                <xdr:colOff>212271</xdr:colOff>
                <xdr:row>12</xdr:row>
                <xdr:rowOff>0</xdr:rowOff>
              </from>
              <to>
                <xdr:col>12</xdr:col>
                <xdr:colOff>5443</xdr:colOff>
                <xdr:row>14</xdr:row>
                <xdr:rowOff>0</xdr:rowOff>
              </to>
            </anchor>
          </controlPr>
        </control>
      </mc:Choice>
    </mc:AlternateContent>
    <mc:AlternateContent xmlns:mc="http://schemas.openxmlformats.org/markup-compatibility/2006">
      <mc:Choice Requires="x14">
        <control shapeId="6151" r:id="rId16" name="cbUseDefaultLevelFirst">
          <controlPr defaultSize="0" autoFill="0" autoLine="0" autoPict="0">
            <anchor moveWithCells="1">
              <from>
                <xdr:col>2</xdr:col>
                <xdr:colOff>119743</xdr:colOff>
                <xdr:row>14</xdr:row>
                <xdr:rowOff>195943</xdr:rowOff>
              </from>
              <to>
                <xdr:col>2</xdr:col>
                <xdr:colOff>1028700</xdr:colOff>
                <xdr:row>17</xdr:row>
                <xdr:rowOff>43543</xdr:rowOff>
              </to>
            </anchor>
          </controlPr>
        </control>
      </mc:Choice>
    </mc:AlternateContent>
    <mc:AlternateContent xmlns:mc="http://schemas.openxmlformats.org/markup-compatibility/2006">
      <mc:Choice Requires="x14">
        <control shapeId="6152" r:id="rId17" name="Group Box 8">
          <controlPr defaultSize="0" autoPict="0">
            <anchor moveWithCells="1">
              <from>
                <xdr:col>10</xdr:col>
                <xdr:colOff>212271</xdr:colOff>
                <xdr:row>6</xdr:row>
                <xdr:rowOff>0</xdr:rowOff>
              </from>
              <to>
                <xdr:col>12</xdr:col>
                <xdr:colOff>5443</xdr:colOff>
                <xdr:row>8</xdr:row>
                <xdr:rowOff>0</xdr:rowOff>
              </to>
            </anchor>
          </controlPr>
        </control>
      </mc:Choice>
    </mc:AlternateContent>
    <mc:AlternateContent xmlns:mc="http://schemas.openxmlformats.org/markup-compatibility/2006">
      <mc:Choice Requires="x14">
        <control shapeId="6153" r:id="rId18" name="cbUseDefaultLevelSecond">
          <controlPr defaultSize="0" autoFill="0" autoLine="0" autoPict="0">
            <anchor moveWithCells="1">
              <from>
                <xdr:col>2</xdr:col>
                <xdr:colOff>119743</xdr:colOff>
                <xdr:row>9</xdr:row>
                <xdr:rowOff>0</xdr:rowOff>
              </from>
              <to>
                <xdr:col>2</xdr:col>
                <xdr:colOff>1028700</xdr:colOff>
                <xdr:row>11</xdr:row>
                <xdr:rowOff>43543</xdr:rowOff>
              </to>
            </anchor>
          </controlPr>
        </control>
      </mc:Choice>
    </mc:AlternateContent>
    <mc:AlternateContent xmlns:mc="http://schemas.openxmlformats.org/markup-compatibility/2006">
      <mc:Choice Requires="x14">
        <control shapeId="6155" r:id="rId19" name="Group Box 11">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6156" r:id="rId20" name="obMemberRowFirst">
          <controlPr defaultSize="0" autoFill="0" autoLine="0" autoPict="0" macro="_xll.IBPXLClient.TechnicalCategory.ButtonActionInIBPClientFormattingSheet">
            <anchor moveWithCells="1">
              <from>
                <xdr:col>3</xdr:col>
                <xdr:colOff>489857</xdr:colOff>
                <xdr:row>22</xdr:row>
                <xdr:rowOff>59871</xdr:rowOff>
              </from>
              <to>
                <xdr:col>3</xdr:col>
                <xdr:colOff>2628900</xdr:colOff>
                <xdr:row>22</xdr:row>
                <xdr:rowOff>272143</xdr:rowOff>
              </to>
            </anchor>
          </controlPr>
        </control>
      </mc:Choice>
    </mc:AlternateContent>
    <mc:AlternateContent xmlns:mc="http://schemas.openxmlformats.org/markup-compatibility/2006">
      <mc:Choice Requires="x14">
        <control shapeId="6157" r:id="rId21"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457200</xdr:colOff>
                <xdr:row>22</xdr:row>
                <xdr:rowOff>272143</xdr:rowOff>
              </to>
            </anchor>
          </controlPr>
        </control>
      </mc:Choice>
    </mc:AlternateContent>
    <mc:AlternateContent xmlns:mc="http://schemas.openxmlformats.org/markup-compatibility/2006">
      <mc:Choice Requires="x14">
        <control shapeId="6158" r:id="rId22" name="cbApplyCalculatedMemberFirst">
          <controlPr defaultSize="0" autoFill="0" autoLine="0" autoPict="0">
            <anchor moveWithCells="1">
              <from>
                <xdr:col>2</xdr:col>
                <xdr:colOff>119743</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6159" r:id="rId23" name="cbApplyImputableMemberFirst">
          <controlPr defaultSize="0" autoFill="0" autoLine="0" autoPict="0">
            <anchor moveWithCells="1">
              <from>
                <xdr:col>2</xdr:col>
                <xdr:colOff>119743</xdr:colOff>
                <xdr:row>28</xdr:row>
                <xdr:rowOff>0</xdr:rowOff>
              </from>
              <to>
                <xdr:col>2</xdr:col>
                <xdr:colOff>1028700</xdr:colOff>
                <xdr:row>30</xdr:row>
                <xdr:rowOff>43543</xdr:rowOff>
              </to>
            </anchor>
          </controlPr>
        </control>
      </mc:Choice>
    </mc:AlternateContent>
    <mc:AlternateContent xmlns:mc="http://schemas.openxmlformats.org/markup-compatibility/2006">
      <mc:Choice Requires="x14">
        <control shapeId="6160" r:id="rId24" name="cbApplyLocalMemberFirst">
          <controlPr defaultSize="0" autoFill="0" autoLine="0" autoPict="0">
            <anchor moveWithCells="1">
              <from>
                <xdr:col>2</xdr:col>
                <xdr:colOff>119743</xdr:colOff>
                <xdr:row>31</xdr:row>
                <xdr:rowOff>0</xdr:rowOff>
              </from>
              <to>
                <xdr:col>2</xdr:col>
                <xdr:colOff>1028700</xdr:colOff>
                <xdr:row>33</xdr:row>
                <xdr:rowOff>43543</xdr:rowOff>
              </to>
            </anchor>
          </controlPr>
        </control>
      </mc:Choice>
    </mc:AlternateContent>
    <mc:AlternateContent xmlns:mc="http://schemas.openxmlformats.org/markup-compatibility/2006">
      <mc:Choice Requires="x14">
        <control shapeId="6161" r:id="rId25" name="cbApplyChangedMemberFirst">
          <controlPr defaultSize="0" autoFill="0" autoLine="0" autoPict="0">
            <anchor moveWithCells="1">
              <from>
                <xdr:col>2</xdr:col>
                <xdr:colOff>119743</xdr:colOff>
                <xdr:row>34</xdr:row>
                <xdr:rowOff>0</xdr:rowOff>
              </from>
              <to>
                <xdr:col>2</xdr:col>
                <xdr:colOff>1028700</xdr:colOff>
                <xdr:row>36</xdr:row>
                <xdr:rowOff>43543</xdr:rowOff>
              </to>
            </anchor>
          </controlPr>
        </control>
      </mc:Choice>
    </mc:AlternateContent>
    <mc:AlternateContent xmlns:mc="http://schemas.openxmlformats.org/markup-compatibility/2006">
      <mc:Choice Requires="x14">
        <control shapeId="6162" r:id="rId26" name="cbApplySpecificMemberFirst">
          <controlPr defaultSize="0" autoFill="0" autoLine="0" autoPict="0">
            <anchor moveWithCells="1">
              <from>
                <xdr:col>2</xdr:col>
                <xdr:colOff>119743</xdr:colOff>
                <xdr:row>37</xdr:row>
                <xdr:rowOff>43543</xdr:rowOff>
              </from>
              <to>
                <xdr:col>2</xdr:col>
                <xdr:colOff>1028700</xdr:colOff>
                <xdr:row>39</xdr:row>
                <xdr:rowOff>0</xdr:rowOff>
              </to>
            </anchor>
          </controlPr>
        </control>
      </mc:Choice>
    </mc:AlternateContent>
    <mc:AlternateContent xmlns:mc="http://schemas.openxmlformats.org/markup-compatibility/2006">
      <mc:Choice Requires="x14">
        <control shapeId="6163" r:id="rId27" name="AddMemberFirst">
          <controlPr defaultSize="0" print="0" autoFill="0" autoPict="0" macro="_xll.IBPXLClient.TechnicalCategory.ButtonActionInIBPClientFormattingSheet">
            <anchor moveWithCells="1" sizeWithCells="1">
              <from>
                <xdr:col>3</xdr:col>
                <xdr:colOff>59871</xdr:colOff>
                <xdr:row>45</xdr:row>
                <xdr:rowOff>21771</xdr:rowOff>
              </from>
              <to>
                <xdr:col>3</xdr:col>
                <xdr:colOff>4288971</xdr:colOff>
                <xdr:row>45</xdr:row>
                <xdr:rowOff>266700</xdr:rowOff>
              </to>
            </anchor>
          </controlPr>
        </control>
      </mc:Choice>
    </mc:AlternateContent>
    <mc:AlternateContent xmlns:mc="http://schemas.openxmlformats.org/markup-compatibility/2006">
      <mc:Choice Requires="x14">
        <control shapeId="6164" r:id="rId28" name="cbApplyCalculatedMemberSecond">
          <controlPr defaultSize="0" autoFill="0" autoLine="0" autoPict="0">
            <anchor moveWithCells="1">
              <from>
                <xdr:col>2</xdr:col>
                <xdr:colOff>119743</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6165" r:id="rId29" name="cbApplyImputableMemberSecond">
          <controlPr defaultSize="0" autoFill="0" autoLine="0" autoPict="0">
            <anchor moveWithCells="1">
              <from>
                <xdr:col>2</xdr:col>
                <xdr:colOff>119743</xdr:colOff>
                <xdr:row>52</xdr:row>
                <xdr:rowOff>0</xdr:rowOff>
              </from>
              <to>
                <xdr:col>2</xdr:col>
                <xdr:colOff>1028700</xdr:colOff>
                <xdr:row>54</xdr:row>
                <xdr:rowOff>43543</xdr:rowOff>
              </to>
            </anchor>
          </controlPr>
        </control>
      </mc:Choice>
    </mc:AlternateContent>
    <mc:AlternateContent xmlns:mc="http://schemas.openxmlformats.org/markup-compatibility/2006">
      <mc:Choice Requires="x14">
        <control shapeId="6166" r:id="rId30" name="cbApplyLocalMemberSecond">
          <controlPr defaultSize="0" autoFill="0" autoLine="0" autoPict="0">
            <anchor moveWithCells="1">
              <from>
                <xdr:col>2</xdr:col>
                <xdr:colOff>119743</xdr:colOff>
                <xdr:row>55</xdr:row>
                <xdr:rowOff>0</xdr:rowOff>
              </from>
              <to>
                <xdr:col>2</xdr:col>
                <xdr:colOff>1028700</xdr:colOff>
                <xdr:row>57</xdr:row>
                <xdr:rowOff>43543</xdr:rowOff>
              </to>
            </anchor>
          </controlPr>
        </control>
      </mc:Choice>
    </mc:AlternateContent>
    <mc:AlternateContent xmlns:mc="http://schemas.openxmlformats.org/markup-compatibility/2006">
      <mc:Choice Requires="x14">
        <control shapeId="6167" r:id="rId31" name="cbApplyChangedMemberSecond">
          <controlPr defaultSize="0" autoFill="0" autoLine="0" autoPict="0">
            <anchor moveWithCells="1">
              <from>
                <xdr:col>2</xdr:col>
                <xdr:colOff>119743</xdr:colOff>
                <xdr:row>58</xdr:row>
                <xdr:rowOff>0</xdr:rowOff>
              </from>
              <to>
                <xdr:col>2</xdr:col>
                <xdr:colOff>1028700</xdr:colOff>
                <xdr:row>60</xdr:row>
                <xdr:rowOff>43543</xdr:rowOff>
              </to>
            </anchor>
          </controlPr>
        </control>
      </mc:Choice>
    </mc:AlternateContent>
    <mc:AlternateContent xmlns:mc="http://schemas.openxmlformats.org/markup-compatibility/2006">
      <mc:Choice Requires="x14">
        <control shapeId="6168" r:id="rId32" name="cbApplySpecificMemberSecond">
          <controlPr defaultSize="0" autoFill="0" autoLine="0" autoPict="0">
            <anchor moveWithCells="1">
              <from>
                <xdr:col>2</xdr:col>
                <xdr:colOff>119743</xdr:colOff>
                <xdr:row>61</xdr:row>
                <xdr:rowOff>43543</xdr:rowOff>
              </from>
              <to>
                <xdr:col>2</xdr:col>
                <xdr:colOff>1028700</xdr:colOff>
                <xdr:row>63</xdr:row>
                <xdr:rowOff>0</xdr:rowOff>
              </to>
            </anchor>
          </controlPr>
        </control>
      </mc:Choice>
    </mc:AlternateContent>
    <mc:AlternateContent xmlns:mc="http://schemas.openxmlformats.org/markup-compatibility/2006">
      <mc:Choice Requires="x14">
        <control shapeId="6169" r:id="rId33" name="AddMemberSecond">
          <controlPr defaultSize="0" print="0" autoFill="0" autoPict="0" macro="_xll.IBPXLClient.TechnicalCategory.ButtonActionInIBPClientFormattingSheet">
            <anchor moveWithCells="1" sizeWithCells="1">
              <from>
                <xdr:col>3</xdr:col>
                <xdr:colOff>59871</xdr:colOff>
                <xdr:row>84</xdr:row>
                <xdr:rowOff>21771</xdr:rowOff>
              </from>
              <to>
                <xdr:col>3</xdr:col>
                <xdr:colOff>4288971</xdr:colOff>
                <xdr:row>84</xdr:row>
                <xdr:rowOff>266700</xdr:rowOff>
              </to>
            </anchor>
          </controlPr>
        </control>
      </mc:Choice>
    </mc:AlternateContent>
    <mc:AlternateContent xmlns:mc="http://schemas.openxmlformats.org/markup-compatibility/2006">
      <mc:Choice Requires="x14">
        <control shapeId="6171" r:id="rId34" name="Group Box 27">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6172" r:id="rId35" name="obOddEvenRowFirst">
          <controlPr defaultSize="0" autoFill="0" autoLine="0" autoPict="0" macro="_xll.IBPXLClient.TechnicalCategory.ButtonActionInIBPClientFormattingSheet">
            <anchor moveWithCells="1">
              <from>
                <xdr:col>3</xdr:col>
                <xdr:colOff>489857</xdr:colOff>
                <xdr:row>89</xdr:row>
                <xdr:rowOff>70757</xdr:rowOff>
              </from>
              <to>
                <xdr:col>3</xdr:col>
                <xdr:colOff>2628900</xdr:colOff>
                <xdr:row>89</xdr:row>
                <xdr:rowOff>272143</xdr:rowOff>
              </to>
            </anchor>
          </controlPr>
        </control>
      </mc:Choice>
    </mc:AlternateContent>
    <mc:AlternateContent xmlns:mc="http://schemas.openxmlformats.org/markup-compatibility/2006">
      <mc:Choice Requires="x14">
        <control shapeId="6173" r:id="rId36" name="obOddEvenColumnFirst">
          <controlPr defaultSize="0" autoFill="0" autoLine="0" autoPict="0" macro="_xll.IBPXLClient.TechnicalCategory.ButtonActionInIBPClientFormattingSheet">
            <anchor moveWithCells="1">
              <from>
                <xdr:col>1</xdr:col>
                <xdr:colOff>212271</xdr:colOff>
                <xdr:row>89</xdr:row>
                <xdr:rowOff>70757</xdr:rowOff>
              </from>
              <to>
                <xdr:col>3</xdr:col>
                <xdr:colOff>457200</xdr:colOff>
                <xdr:row>89</xdr:row>
                <xdr:rowOff>272143</xdr:rowOff>
              </to>
            </anchor>
          </controlPr>
        </control>
      </mc:Choice>
    </mc:AlternateContent>
    <mc:AlternateContent xmlns:mc="http://schemas.openxmlformats.org/markup-compatibility/2006">
      <mc:Choice Requires="x14">
        <control shapeId="6174" r:id="rId37" name="cbUseOddFirst">
          <controlPr defaultSize="0" autoFill="0" autoLine="0" autoPict="0">
            <anchor moveWithCells="1">
              <from>
                <xdr:col>2</xdr:col>
                <xdr:colOff>119743</xdr:colOff>
                <xdr:row>92</xdr:row>
                <xdr:rowOff>0</xdr:rowOff>
              </from>
              <to>
                <xdr:col>2</xdr:col>
                <xdr:colOff>1028700</xdr:colOff>
                <xdr:row>94</xdr:row>
                <xdr:rowOff>43543</xdr:rowOff>
              </to>
            </anchor>
          </controlPr>
        </control>
      </mc:Choice>
    </mc:AlternateContent>
    <mc:AlternateContent xmlns:mc="http://schemas.openxmlformats.org/markup-compatibility/2006">
      <mc:Choice Requires="x14">
        <control shapeId="6175" r:id="rId38" name="cbUseEvenFirst">
          <controlPr defaultSize="0" autoFill="0" autoLine="0" autoPict="0">
            <anchor moveWithCells="1">
              <from>
                <xdr:col>2</xdr:col>
                <xdr:colOff>119743</xdr:colOff>
                <xdr:row>95</xdr:row>
                <xdr:rowOff>0</xdr:rowOff>
              </from>
              <to>
                <xdr:col>2</xdr:col>
                <xdr:colOff>1028700</xdr:colOff>
                <xdr:row>97</xdr:row>
                <xdr:rowOff>43543</xdr:rowOff>
              </to>
            </anchor>
          </controlPr>
        </control>
      </mc:Choice>
    </mc:AlternateContent>
    <mc:AlternateContent xmlns:mc="http://schemas.openxmlformats.org/markup-compatibility/2006">
      <mc:Choice Requires="x14">
        <control shapeId="6176" r:id="rId39" name="cbUseOddSecond">
          <controlPr defaultSize="0" autoFill="0" autoLine="0" autoPict="0">
            <anchor moveWithCells="1">
              <from>
                <xdr:col>2</xdr:col>
                <xdr:colOff>119743</xdr:colOff>
                <xdr:row>100</xdr:row>
                <xdr:rowOff>0</xdr:rowOff>
              </from>
              <to>
                <xdr:col>2</xdr:col>
                <xdr:colOff>1028700</xdr:colOff>
                <xdr:row>102</xdr:row>
                <xdr:rowOff>43543</xdr:rowOff>
              </to>
            </anchor>
          </controlPr>
        </control>
      </mc:Choice>
    </mc:AlternateContent>
    <mc:AlternateContent xmlns:mc="http://schemas.openxmlformats.org/markup-compatibility/2006">
      <mc:Choice Requires="x14">
        <control shapeId="6177" r:id="rId40" name="cbUseEvenSecond">
          <controlPr defaultSize="0" autoFill="0" autoLine="0" autoPict="0">
            <anchor moveWithCells="1">
              <from>
                <xdr:col>2</xdr:col>
                <xdr:colOff>119743</xdr:colOff>
                <xdr:row>102</xdr:row>
                <xdr:rowOff>43543</xdr:rowOff>
              </from>
              <to>
                <xdr:col>2</xdr:col>
                <xdr:colOff>1028700</xdr:colOff>
                <xdr:row>105</xdr:row>
                <xdr:rowOff>43543</xdr:rowOff>
              </to>
            </anchor>
          </controlPr>
        </control>
      </mc:Choice>
    </mc:AlternateContent>
    <mc:AlternateContent xmlns:mc="http://schemas.openxmlformats.org/markup-compatibility/2006">
      <mc:Choice Requires="x14">
        <control shapeId="6178" r:id="rId41" name="AddedMember2_1">
          <controlPr defaultSize="0" print="0" autoFill="0" autoPict="0" macro="_xll.IBPXLClient.TechnicalCategory.ButtonActionInIBPClientFormattingSheet">
            <anchor moveWithCells="1">
              <from>
                <xdr:col>11</xdr:col>
                <xdr:colOff>2438400</xdr:colOff>
                <xdr:row>63</xdr:row>
                <xdr:rowOff>43543</xdr:rowOff>
              </from>
              <to>
                <xdr:col>12</xdr:col>
                <xdr:colOff>696686</xdr:colOff>
                <xdr:row>64</xdr:row>
                <xdr:rowOff>190500</xdr:rowOff>
              </to>
            </anchor>
          </controlPr>
        </control>
      </mc:Choice>
    </mc:AlternateContent>
    <mc:AlternateContent xmlns:mc="http://schemas.openxmlformats.org/markup-compatibility/2006">
      <mc:Choice Requires="x14">
        <control shapeId="6179" r:id="rId42" name="ChangeMember2_1">
          <controlPr defaultSize="0" print="0" autoFill="0" autoPict="0" macro="_xll.IBPXLClient.TechnicalCategory.ButtonActionInIBPClientFormattingSheet">
            <anchor moveWithCells="1">
              <from>
                <xdr:col>13</xdr:col>
                <xdr:colOff>0</xdr:colOff>
                <xdr:row>63</xdr:row>
                <xdr:rowOff>43543</xdr:rowOff>
              </from>
              <to>
                <xdr:col>13</xdr:col>
                <xdr:colOff>696686</xdr:colOff>
                <xdr:row>64</xdr:row>
                <xdr:rowOff>190500</xdr:rowOff>
              </to>
            </anchor>
          </controlPr>
        </control>
      </mc:Choice>
    </mc:AlternateContent>
    <mc:AlternateContent xmlns:mc="http://schemas.openxmlformats.org/markup-compatibility/2006">
      <mc:Choice Requires="x14">
        <control shapeId="6180" r:id="rId43" name="UpMember2_1">
          <controlPr defaultSize="0" print="0" autoFill="0" autoPict="0" macro="_xll.IBPXLClient.TechnicalCategory.ButtonActionInIBPClientFormattingSheet">
            <anchor moveWithCells="1">
              <from>
                <xdr:col>14</xdr:col>
                <xdr:colOff>0</xdr:colOff>
                <xdr:row>63</xdr:row>
                <xdr:rowOff>43543</xdr:rowOff>
              </from>
              <to>
                <xdr:col>14</xdr:col>
                <xdr:colOff>696686</xdr:colOff>
                <xdr:row>64</xdr:row>
                <xdr:rowOff>190500</xdr:rowOff>
              </to>
            </anchor>
          </controlPr>
        </control>
      </mc:Choice>
    </mc:AlternateContent>
    <mc:AlternateContent xmlns:mc="http://schemas.openxmlformats.org/markup-compatibility/2006">
      <mc:Choice Requires="x14">
        <control shapeId="6181" r:id="rId44" name="DownMember2_1">
          <controlPr defaultSize="0" print="0" autoFill="0" autoPict="0" macro="_xll.IBPXLClient.TechnicalCategory.ButtonActionInIBPClientFormattingSheet">
            <anchor moveWithCells="1">
              <from>
                <xdr:col>14</xdr:col>
                <xdr:colOff>707571</xdr:colOff>
                <xdr:row>63</xdr:row>
                <xdr:rowOff>43543</xdr:rowOff>
              </from>
              <to>
                <xdr:col>15</xdr:col>
                <xdr:colOff>696686</xdr:colOff>
                <xdr:row>64</xdr:row>
                <xdr:rowOff>190500</xdr:rowOff>
              </to>
            </anchor>
          </controlPr>
        </control>
      </mc:Choice>
    </mc:AlternateContent>
    <mc:AlternateContent xmlns:mc="http://schemas.openxmlformats.org/markup-compatibility/2006">
      <mc:Choice Requires="x14">
        <control shapeId="6182" r:id="rId45" name="AddedMember2_2">
          <controlPr defaultSize="0" print="0" autoFill="0" autoPict="0" macro="_xll.IBPXLClient.TechnicalCategory.ButtonActionInIBPClientFormattingSheet">
            <anchor moveWithCells="1">
              <from>
                <xdr:col>12</xdr:col>
                <xdr:colOff>0</xdr:colOff>
                <xdr:row>67</xdr:row>
                <xdr:rowOff>0</xdr:rowOff>
              </from>
              <to>
                <xdr:col>12</xdr:col>
                <xdr:colOff>707571</xdr:colOff>
                <xdr:row>68</xdr:row>
                <xdr:rowOff>0</xdr:rowOff>
              </to>
            </anchor>
          </controlPr>
        </control>
      </mc:Choice>
    </mc:AlternateContent>
    <mc:AlternateContent xmlns:mc="http://schemas.openxmlformats.org/markup-compatibility/2006">
      <mc:Choice Requires="x14">
        <control shapeId="6183" r:id="rId46"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707571</xdr:colOff>
                <xdr:row>68</xdr:row>
                <xdr:rowOff>0</xdr:rowOff>
              </to>
            </anchor>
          </controlPr>
        </control>
      </mc:Choice>
    </mc:AlternateContent>
    <mc:AlternateContent xmlns:mc="http://schemas.openxmlformats.org/markup-compatibility/2006">
      <mc:Choice Requires="x14">
        <control shapeId="6184" r:id="rId47" name="UpMember2_2">
          <controlPr defaultSize="0" print="0" autoFill="0" autoPict="0" macro="_xll.IBPXLClient.TechnicalCategory.ButtonActionInIBPClientFormattingSheet">
            <anchor moveWithCells="1">
              <from>
                <xdr:col>14</xdr:col>
                <xdr:colOff>0</xdr:colOff>
                <xdr:row>67</xdr:row>
                <xdr:rowOff>0</xdr:rowOff>
              </from>
              <to>
                <xdr:col>14</xdr:col>
                <xdr:colOff>707571</xdr:colOff>
                <xdr:row>68</xdr:row>
                <xdr:rowOff>0</xdr:rowOff>
              </to>
            </anchor>
          </controlPr>
        </control>
      </mc:Choice>
    </mc:AlternateContent>
    <mc:AlternateContent xmlns:mc="http://schemas.openxmlformats.org/markup-compatibility/2006">
      <mc:Choice Requires="x14">
        <control shapeId="6185" r:id="rId48"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6186" r:id="rId49" name="AddedMember2_3">
          <controlPr defaultSize="0" print="0" autoFill="0" autoPict="0" macro="_xll.IBPXLClient.TechnicalCategory.ButtonActionInIBPClientFormattingSheet">
            <anchor moveWithCells="1">
              <from>
                <xdr:col>12</xdr:col>
                <xdr:colOff>0</xdr:colOff>
                <xdr:row>69</xdr:row>
                <xdr:rowOff>59871</xdr:rowOff>
              </from>
              <to>
                <xdr:col>12</xdr:col>
                <xdr:colOff>707571</xdr:colOff>
                <xdr:row>71</xdr:row>
                <xdr:rowOff>0</xdr:rowOff>
              </to>
            </anchor>
          </controlPr>
        </control>
      </mc:Choice>
    </mc:AlternateContent>
    <mc:AlternateContent xmlns:mc="http://schemas.openxmlformats.org/markup-compatibility/2006">
      <mc:Choice Requires="x14">
        <control shapeId="6187" r:id="rId50" name="ChangeMember2_3">
          <controlPr defaultSize="0" print="0" autoFill="0" autoPict="0" macro="_xll.IBPXLClient.TechnicalCategory.ButtonActionInIBPClientFormattingSheet">
            <anchor moveWithCells="1">
              <from>
                <xdr:col>12</xdr:col>
                <xdr:colOff>723900</xdr:colOff>
                <xdr:row>69</xdr:row>
                <xdr:rowOff>59871</xdr:rowOff>
              </from>
              <to>
                <xdr:col>13</xdr:col>
                <xdr:colOff>707571</xdr:colOff>
                <xdr:row>71</xdr:row>
                <xdr:rowOff>0</xdr:rowOff>
              </to>
            </anchor>
          </controlPr>
        </control>
      </mc:Choice>
    </mc:AlternateContent>
    <mc:AlternateContent xmlns:mc="http://schemas.openxmlformats.org/markup-compatibility/2006">
      <mc:Choice Requires="x14">
        <control shapeId="6188" r:id="rId51" name="UpMember2_3">
          <controlPr defaultSize="0" print="0" autoFill="0" autoPict="0" macro="_xll.IBPXLClient.TechnicalCategory.ButtonActionInIBPClientFormattingSheet">
            <anchor moveWithCells="1">
              <from>
                <xdr:col>14</xdr:col>
                <xdr:colOff>0</xdr:colOff>
                <xdr:row>69</xdr:row>
                <xdr:rowOff>59871</xdr:rowOff>
              </from>
              <to>
                <xdr:col>14</xdr:col>
                <xdr:colOff>707571</xdr:colOff>
                <xdr:row>71</xdr:row>
                <xdr:rowOff>0</xdr:rowOff>
              </to>
            </anchor>
          </controlPr>
        </control>
      </mc:Choice>
    </mc:AlternateContent>
    <mc:AlternateContent xmlns:mc="http://schemas.openxmlformats.org/markup-compatibility/2006">
      <mc:Choice Requires="x14">
        <control shapeId="6189" r:id="rId52" name="DownMember2_3">
          <controlPr defaultSize="0" print="0" autoFill="0" autoPict="0" macro="_xll.IBPXLClient.TechnicalCategory.ButtonActionInIBPClientFormattingSheet">
            <anchor moveWithCells="1">
              <from>
                <xdr:col>15</xdr:col>
                <xdr:colOff>0</xdr:colOff>
                <xdr:row>69</xdr:row>
                <xdr:rowOff>59871</xdr:rowOff>
              </from>
              <to>
                <xdr:col>16</xdr:col>
                <xdr:colOff>0</xdr:colOff>
                <xdr:row>71</xdr:row>
                <xdr:rowOff>0</xdr:rowOff>
              </to>
            </anchor>
          </controlPr>
        </control>
      </mc:Choice>
    </mc:AlternateContent>
    <mc:AlternateContent xmlns:mc="http://schemas.openxmlformats.org/markup-compatibility/2006">
      <mc:Choice Requires="x14">
        <control shapeId="6190" r:id="rId53" name="AddedMember2_4">
          <controlPr defaultSize="0" print="0" autoFill="0" autoPict="0" macro="_xll.IBPXLClient.TechnicalCategory.ButtonActionInIBPClientFormattingSheet">
            <anchor moveWithCells="1">
              <from>
                <xdr:col>12</xdr:col>
                <xdr:colOff>0</xdr:colOff>
                <xdr:row>72</xdr:row>
                <xdr:rowOff>59871</xdr:rowOff>
              </from>
              <to>
                <xdr:col>12</xdr:col>
                <xdr:colOff>707571</xdr:colOff>
                <xdr:row>74</xdr:row>
                <xdr:rowOff>32657</xdr:rowOff>
              </to>
            </anchor>
          </controlPr>
        </control>
      </mc:Choice>
    </mc:AlternateContent>
    <mc:AlternateContent xmlns:mc="http://schemas.openxmlformats.org/markup-compatibility/2006">
      <mc:Choice Requires="x14">
        <control shapeId="6191" r:id="rId54" name="ChangeMember2_4">
          <controlPr defaultSize="0" print="0" autoFill="0" autoPict="0" macro="_xll.IBPXLClient.TechnicalCategory.ButtonActionInIBPClientFormattingSheet">
            <anchor moveWithCells="1">
              <from>
                <xdr:col>12</xdr:col>
                <xdr:colOff>723900</xdr:colOff>
                <xdr:row>72</xdr:row>
                <xdr:rowOff>59871</xdr:rowOff>
              </from>
              <to>
                <xdr:col>13</xdr:col>
                <xdr:colOff>707571</xdr:colOff>
                <xdr:row>74</xdr:row>
                <xdr:rowOff>32657</xdr:rowOff>
              </to>
            </anchor>
          </controlPr>
        </control>
      </mc:Choice>
    </mc:AlternateContent>
    <mc:AlternateContent xmlns:mc="http://schemas.openxmlformats.org/markup-compatibility/2006">
      <mc:Choice Requires="x14">
        <control shapeId="6192" r:id="rId55" name="UpMember2_4">
          <controlPr defaultSize="0" print="0" autoFill="0" autoPict="0" macro="_xll.IBPXLClient.TechnicalCategory.ButtonActionInIBPClientFormattingSheet">
            <anchor moveWithCells="1">
              <from>
                <xdr:col>14</xdr:col>
                <xdr:colOff>0</xdr:colOff>
                <xdr:row>72</xdr:row>
                <xdr:rowOff>59871</xdr:rowOff>
              </from>
              <to>
                <xdr:col>14</xdr:col>
                <xdr:colOff>707571</xdr:colOff>
                <xdr:row>74</xdr:row>
                <xdr:rowOff>32657</xdr:rowOff>
              </to>
            </anchor>
          </controlPr>
        </control>
      </mc:Choice>
    </mc:AlternateContent>
    <mc:AlternateContent xmlns:mc="http://schemas.openxmlformats.org/markup-compatibility/2006">
      <mc:Choice Requires="x14">
        <control shapeId="6193" r:id="rId56" name="DownMember2_4">
          <controlPr defaultSize="0" print="0" autoFill="0" autoPict="0" macro="_xll.IBPXLClient.TechnicalCategory.ButtonActionInIBPClientFormattingSheet">
            <anchor moveWithCells="1">
              <from>
                <xdr:col>15</xdr:col>
                <xdr:colOff>0</xdr:colOff>
                <xdr:row>72</xdr:row>
                <xdr:rowOff>59871</xdr:rowOff>
              </from>
              <to>
                <xdr:col>16</xdr:col>
                <xdr:colOff>0</xdr:colOff>
                <xdr:row>74</xdr:row>
                <xdr:rowOff>32657</xdr:rowOff>
              </to>
            </anchor>
          </controlPr>
        </control>
      </mc:Choice>
    </mc:AlternateContent>
    <mc:AlternateContent xmlns:mc="http://schemas.openxmlformats.org/markup-compatibility/2006">
      <mc:Choice Requires="x14">
        <control shapeId="6194" r:id="rId57" name="AddedMember2_5">
          <controlPr defaultSize="0" print="0" autoFill="0" autoPict="0" macro="_xll.IBPXLClient.TechnicalCategory.ButtonActionInIBPClientFormattingSheet">
            <anchor moveWithCells="1">
              <from>
                <xdr:col>12</xdr:col>
                <xdr:colOff>0</xdr:colOff>
                <xdr:row>76</xdr:row>
                <xdr:rowOff>0</xdr:rowOff>
              </from>
              <to>
                <xdr:col>12</xdr:col>
                <xdr:colOff>707571</xdr:colOff>
                <xdr:row>77</xdr:row>
                <xdr:rowOff>32657</xdr:rowOff>
              </to>
            </anchor>
          </controlPr>
        </control>
      </mc:Choice>
    </mc:AlternateContent>
    <mc:AlternateContent xmlns:mc="http://schemas.openxmlformats.org/markup-compatibility/2006">
      <mc:Choice Requires="x14">
        <control shapeId="6195" r:id="rId58"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707571</xdr:colOff>
                <xdr:row>77</xdr:row>
                <xdr:rowOff>32657</xdr:rowOff>
              </to>
            </anchor>
          </controlPr>
        </control>
      </mc:Choice>
    </mc:AlternateContent>
    <mc:AlternateContent xmlns:mc="http://schemas.openxmlformats.org/markup-compatibility/2006">
      <mc:Choice Requires="x14">
        <control shapeId="6196" r:id="rId59" name="UpMember2_5">
          <controlPr defaultSize="0" print="0" autoFill="0" autoPict="0" macro="_xll.IBPXLClient.TechnicalCategory.ButtonActionInIBPClientFormattingSheet">
            <anchor moveWithCells="1">
              <from>
                <xdr:col>14</xdr:col>
                <xdr:colOff>0</xdr:colOff>
                <xdr:row>76</xdr:row>
                <xdr:rowOff>0</xdr:rowOff>
              </from>
              <to>
                <xdr:col>14</xdr:col>
                <xdr:colOff>707571</xdr:colOff>
                <xdr:row>77</xdr:row>
                <xdr:rowOff>32657</xdr:rowOff>
              </to>
            </anchor>
          </controlPr>
        </control>
      </mc:Choice>
    </mc:AlternateContent>
    <mc:AlternateContent xmlns:mc="http://schemas.openxmlformats.org/markup-compatibility/2006">
      <mc:Choice Requires="x14">
        <control shapeId="6197" r:id="rId60"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32657</xdr:rowOff>
              </to>
            </anchor>
          </controlPr>
        </control>
      </mc:Choice>
    </mc:AlternateContent>
    <mc:AlternateContent xmlns:mc="http://schemas.openxmlformats.org/markup-compatibility/2006">
      <mc:Choice Requires="x14">
        <control shapeId="6198" r:id="rId61" name="AddedMember2_6">
          <controlPr defaultSize="0" print="0" autoFill="0" autoPict="0" macro="_xll.IBPXLClient.TechnicalCategory.ButtonActionInIBPClientFormattingSheet">
            <anchor moveWithCells="1">
              <from>
                <xdr:col>12</xdr:col>
                <xdr:colOff>0</xdr:colOff>
                <xdr:row>79</xdr:row>
                <xdr:rowOff>0</xdr:rowOff>
              </from>
              <to>
                <xdr:col>12</xdr:col>
                <xdr:colOff>707571</xdr:colOff>
                <xdr:row>80</xdr:row>
                <xdr:rowOff>32657</xdr:rowOff>
              </to>
            </anchor>
          </controlPr>
        </control>
      </mc:Choice>
    </mc:AlternateContent>
    <mc:AlternateContent xmlns:mc="http://schemas.openxmlformats.org/markup-compatibility/2006">
      <mc:Choice Requires="x14">
        <control shapeId="6199" r:id="rId62"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707571</xdr:colOff>
                <xdr:row>80</xdr:row>
                <xdr:rowOff>32657</xdr:rowOff>
              </to>
            </anchor>
          </controlPr>
        </control>
      </mc:Choice>
    </mc:AlternateContent>
    <mc:AlternateContent xmlns:mc="http://schemas.openxmlformats.org/markup-compatibility/2006">
      <mc:Choice Requires="x14">
        <control shapeId="6200" r:id="rId63" name="UpMember2_6">
          <controlPr defaultSize="0" print="0" autoFill="0" autoPict="0" macro="_xll.IBPXLClient.TechnicalCategory.ButtonActionInIBPClientFormattingSheet">
            <anchor moveWithCells="1">
              <from>
                <xdr:col>14</xdr:col>
                <xdr:colOff>0</xdr:colOff>
                <xdr:row>79</xdr:row>
                <xdr:rowOff>0</xdr:rowOff>
              </from>
              <to>
                <xdr:col>14</xdr:col>
                <xdr:colOff>707571</xdr:colOff>
                <xdr:row>80</xdr:row>
                <xdr:rowOff>32657</xdr:rowOff>
              </to>
            </anchor>
          </controlPr>
        </control>
      </mc:Choice>
    </mc:AlternateContent>
    <mc:AlternateContent xmlns:mc="http://schemas.openxmlformats.org/markup-compatibility/2006">
      <mc:Choice Requires="x14">
        <control shapeId="6201" r:id="rId64"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32657</xdr:rowOff>
              </to>
            </anchor>
          </controlPr>
        </control>
      </mc:Choice>
    </mc:AlternateContent>
    <mc:AlternateContent xmlns:mc="http://schemas.openxmlformats.org/markup-compatibility/2006">
      <mc:Choice Requires="x14">
        <control shapeId="6202" r:id="rId65" name="AddedMember2_7">
          <controlPr defaultSize="0" print="0" autoFill="0" autoPict="0" macro="_xll.IBPXLClient.TechnicalCategory.ButtonActionInIBPClientFormattingSheet">
            <anchor moveWithCells="1">
              <from>
                <xdr:col>12</xdr:col>
                <xdr:colOff>0</xdr:colOff>
                <xdr:row>82</xdr:row>
                <xdr:rowOff>0</xdr:rowOff>
              </from>
              <to>
                <xdr:col>12</xdr:col>
                <xdr:colOff>707571</xdr:colOff>
                <xdr:row>83</xdr:row>
                <xdr:rowOff>0</xdr:rowOff>
              </to>
            </anchor>
          </controlPr>
        </control>
      </mc:Choice>
    </mc:AlternateContent>
    <mc:AlternateContent xmlns:mc="http://schemas.openxmlformats.org/markup-compatibility/2006">
      <mc:Choice Requires="x14">
        <control shapeId="6203" r:id="rId66"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707571</xdr:colOff>
                <xdr:row>83</xdr:row>
                <xdr:rowOff>0</xdr:rowOff>
              </to>
            </anchor>
          </controlPr>
        </control>
      </mc:Choice>
    </mc:AlternateContent>
    <mc:AlternateContent xmlns:mc="http://schemas.openxmlformats.org/markup-compatibility/2006">
      <mc:Choice Requires="x14">
        <control shapeId="6204" r:id="rId67" name="UpMember2_7">
          <controlPr defaultSize="0" print="0" autoFill="0" autoPict="0" macro="_xll.IBPXLClient.TechnicalCategory.ButtonActionInIBPClientFormattingSheet">
            <anchor moveWithCells="1">
              <from>
                <xdr:col>14</xdr:col>
                <xdr:colOff>0</xdr:colOff>
                <xdr:row>82</xdr:row>
                <xdr:rowOff>0</xdr:rowOff>
              </from>
              <to>
                <xdr:col>14</xdr:col>
                <xdr:colOff>707571</xdr:colOff>
                <xdr:row>83</xdr:row>
                <xdr:rowOff>0</xdr:rowOff>
              </to>
            </anchor>
          </controlPr>
        </control>
      </mc:Choice>
    </mc:AlternateContent>
    <mc:AlternateContent xmlns:mc="http://schemas.openxmlformats.org/markup-compatibility/2006">
      <mc:Choice Requires="x14">
        <control shapeId="6205" r:id="rId68"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6206" r:id="rId69" name="AddedMember1_1">
          <controlPr defaultSize="0" print="0" autoFill="0" autoPict="0" macro="_xll.IBPXLClient.TechnicalCategory.ButtonActionInIBPClientFormattingSheet">
            <anchor moveWithCells="1">
              <from>
                <xdr:col>12</xdr:col>
                <xdr:colOff>0</xdr:colOff>
                <xdr:row>39</xdr:row>
                <xdr:rowOff>59871</xdr:rowOff>
              </from>
              <to>
                <xdr:col>12</xdr:col>
                <xdr:colOff>707571</xdr:colOff>
                <xdr:row>41</xdr:row>
                <xdr:rowOff>0</xdr:rowOff>
              </to>
            </anchor>
          </controlPr>
        </control>
      </mc:Choice>
    </mc:AlternateContent>
    <mc:AlternateContent xmlns:mc="http://schemas.openxmlformats.org/markup-compatibility/2006">
      <mc:Choice Requires="x14">
        <control shapeId="6207" r:id="rId70" name="ChangeMember1_1">
          <controlPr defaultSize="0" print="0" autoFill="0" autoPict="0" macro="_xll.IBPXLClient.TechnicalCategory.ButtonActionInIBPClientFormattingSheet">
            <anchor moveWithCells="1">
              <from>
                <xdr:col>12</xdr:col>
                <xdr:colOff>723900</xdr:colOff>
                <xdr:row>39</xdr:row>
                <xdr:rowOff>59871</xdr:rowOff>
              </from>
              <to>
                <xdr:col>13</xdr:col>
                <xdr:colOff>707571</xdr:colOff>
                <xdr:row>41</xdr:row>
                <xdr:rowOff>0</xdr:rowOff>
              </to>
            </anchor>
          </controlPr>
        </control>
      </mc:Choice>
    </mc:AlternateContent>
    <mc:AlternateContent xmlns:mc="http://schemas.openxmlformats.org/markup-compatibility/2006">
      <mc:Choice Requires="x14">
        <control shapeId="6208" r:id="rId71" name="UpMember1_1">
          <controlPr defaultSize="0" print="0" autoFill="0" autoPict="0" macro="_xll.IBPXLClient.TechnicalCategory.ButtonActionInIBPClientFormattingSheet">
            <anchor moveWithCells="1">
              <from>
                <xdr:col>14</xdr:col>
                <xdr:colOff>0</xdr:colOff>
                <xdr:row>39</xdr:row>
                <xdr:rowOff>59871</xdr:rowOff>
              </from>
              <to>
                <xdr:col>14</xdr:col>
                <xdr:colOff>707571</xdr:colOff>
                <xdr:row>41</xdr:row>
                <xdr:rowOff>0</xdr:rowOff>
              </to>
            </anchor>
          </controlPr>
        </control>
      </mc:Choice>
    </mc:AlternateContent>
    <mc:AlternateContent xmlns:mc="http://schemas.openxmlformats.org/markup-compatibility/2006">
      <mc:Choice Requires="x14">
        <control shapeId="6209" r:id="rId72" name="DownMember1_1">
          <controlPr defaultSize="0" print="0" autoFill="0" autoPict="0" macro="_xll.IBPXLClient.TechnicalCategory.ButtonActionInIBPClientFormattingSheet">
            <anchor moveWithCells="1">
              <from>
                <xdr:col>15</xdr:col>
                <xdr:colOff>0</xdr:colOff>
                <xdr:row>39</xdr:row>
                <xdr:rowOff>59871</xdr:rowOff>
              </from>
              <to>
                <xdr:col>16</xdr:col>
                <xdr:colOff>0</xdr:colOff>
                <xdr:row>41</xdr:row>
                <xdr:rowOff>0</xdr:rowOff>
              </to>
            </anchor>
          </controlPr>
        </control>
      </mc:Choice>
    </mc:AlternateContent>
    <mc:AlternateContent xmlns:mc="http://schemas.openxmlformats.org/markup-compatibility/2006">
      <mc:Choice Requires="x14">
        <control shapeId="6210" r:id="rId73" name="AddedMember1_2">
          <controlPr defaultSize="0" print="0" autoFill="0" autoPict="0" macro="_xll.IBPXLClient.TechnicalCategory.ButtonActionInIBPClientFormattingSheet">
            <anchor moveWithCells="1">
              <from>
                <xdr:col>12</xdr:col>
                <xdr:colOff>0</xdr:colOff>
                <xdr:row>43</xdr:row>
                <xdr:rowOff>0</xdr:rowOff>
              </from>
              <to>
                <xdr:col>12</xdr:col>
                <xdr:colOff>707571</xdr:colOff>
                <xdr:row>44</xdr:row>
                <xdr:rowOff>32657</xdr:rowOff>
              </to>
            </anchor>
          </controlPr>
        </control>
      </mc:Choice>
    </mc:AlternateContent>
    <mc:AlternateContent xmlns:mc="http://schemas.openxmlformats.org/markup-compatibility/2006">
      <mc:Choice Requires="x14">
        <control shapeId="6211" r:id="rId74"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707571</xdr:colOff>
                <xdr:row>44</xdr:row>
                <xdr:rowOff>32657</xdr:rowOff>
              </to>
            </anchor>
          </controlPr>
        </control>
      </mc:Choice>
    </mc:AlternateContent>
    <mc:AlternateContent xmlns:mc="http://schemas.openxmlformats.org/markup-compatibility/2006">
      <mc:Choice Requires="x14">
        <control shapeId="6212" r:id="rId75" name="UpMember1_2">
          <controlPr defaultSize="0" print="0" autoFill="0" autoPict="0" macro="_xll.IBPXLClient.TechnicalCategory.ButtonActionInIBPClientFormattingSheet">
            <anchor moveWithCells="1">
              <from>
                <xdr:col>14</xdr:col>
                <xdr:colOff>0</xdr:colOff>
                <xdr:row>43</xdr:row>
                <xdr:rowOff>0</xdr:rowOff>
              </from>
              <to>
                <xdr:col>14</xdr:col>
                <xdr:colOff>707571</xdr:colOff>
                <xdr:row>44</xdr:row>
                <xdr:rowOff>32657</xdr:rowOff>
              </to>
            </anchor>
          </controlPr>
        </control>
      </mc:Choice>
    </mc:AlternateContent>
    <mc:AlternateContent xmlns:mc="http://schemas.openxmlformats.org/markup-compatibility/2006">
      <mc:Choice Requires="x14">
        <control shapeId="6213" r:id="rId76"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32657</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8"/>
  <sheetViews>
    <sheetView showGridLines="0" tabSelected="1" zoomScaleNormal="100" workbookViewId="0">
      <pane xSplit="10" ySplit="6" topLeftCell="K7" activePane="bottomRight" state="frozen"/>
      <selection activeCell="Y9" sqref="Y9"/>
      <selection pane="topRight" activeCell="Y9" sqref="Y9"/>
      <selection pane="bottomLeft" activeCell="Y9" sqref="Y9"/>
      <selection pane="bottomRight" activeCell="K7" sqref="K7"/>
    </sheetView>
  </sheetViews>
  <sheetFormatPr defaultRowHeight="14.6" x14ac:dyDescent="0.4"/>
  <cols>
    <col min="1" max="6" width="1.3828125" bestFit="1" customWidth="1"/>
    <col min="7" max="7" width="10.15234375" bestFit="1" customWidth="1"/>
    <col min="8" max="8" width="11.84375" bestFit="1" customWidth="1"/>
    <col min="9" max="9" width="12.3828125" bestFit="1" customWidth="1"/>
    <col min="10" max="10" width="33.61328125" bestFit="1" customWidth="1"/>
    <col min="11" max="11" width="8.53515625" bestFit="1" customWidth="1"/>
    <col min="12" max="12" width="9.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84375" bestFit="1" customWidth="1"/>
    <col min="24" max="25" width="9.69140625" bestFit="1" customWidth="1"/>
    <col min="26" max="26" width="9" bestFit="1" customWidth="1"/>
    <col min="27" max="27" width="9.69140625" bestFit="1" customWidth="1"/>
    <col min="28" max="28" width="9" bestFit="1" customWidth="1"/>
    <col min="29" max="29" width="8.3828125" bestFit="1" customWidth="1"/>
    <col min="30" max="30" width="9.5351562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2" customFormat="1" ht="28.3" x14ac:dyDescent="0.4">
      <c r="A1" s="76" t="s">
        <v>28</v>
      </c>
      <c r="B1" s="77"/>
      <c r="C1" s="77"/>
      <c r="D1" s="77"/>
      <c r="E1" s="77"/>
      <c r="F1" s="77"/>
      <c r="G1" s="77"/>
      <c r="H1" s="77"/>
      <c r="I1" s="77"/>
      <c r="J1" s="77"/>
      <c r="K1" s="78" t="str">
        <f>" "&amp;IFERROR(IF(SOP_Favorite_Name&lt;&gt;" ",SOP_Favorite_Name,IF(SOP_Template_Name&lt;&gt;" ",SOP_Template_Name,"Ad Hoc Planning View")),"Offline")</f>
        <v xml:space="preserve"> Save Data</v>
      </c>
      <c r="L1" s="78"/>
      <c r="M1" s="78"/>
      <c r="N1" s="78"/>
      <c r="O1" s="78"/>
      <c r="P1" s="78"/>
      <c r="Q1" s="79" t="str">
        <f>"User: "&amp;_xll.EPMUser()&amp;"   |    Planning Area: "&amp;IFERROR(SOP_Planning_Area,"Offline")&amp;"
"&amp;"Template: "&amp;IFERROR(SOP_Template_Name,"none")</f>
        <v>User: #Error, no current connection.   |    Planning Area: SAP6
Template: template name</v>
      </c>
      <c r="R1" s="79"/>
      <c r="S1" s="79"/>
      <c r="T1" s="79"/>
      <c r="U1" s="79"/>
      <c r="V1" s="79"/>
      <c r="W1" s="36"/>
      <c r="X1" s="37"/>
      <c r="Y1" s="37"/>
      <c r="Z1" s="37"/>
      <c r="AA1" s="37"/>
      <c r="AB1" s="37"/>
      <c r="AC1" s="37"/>
      <c r="AD1" s="37"/>
      <c r="AE1" s="38"/>
      <c r="AF1" s="38"/>
      <c r="AG1" s="38"/>
      <c r="AH1" s="38"/>
      <c r="AI1" s="38"/>
      <c r="AJ1" s="38"/>
      <c r="AK1" s="38"/>
      <c r="AL1" s="39"/>
      <c r="AM1" s="39"/>
      <c r="AN1" s="39"/>
      <c r="AO1" s="39"/>
      <c r="AP1" s="39"/>
      <c r="AQ1" s="39"/>
      <c r="AR1" s="39"/>
      <c r="AS1" s="39"/>
      <c r="AT1" s="39"/>
      <c r="AU1" s="39"/>
      <c r="AV1" s="39"/>
      <c r="AW1" s="39"/>
      <c r="AX1" s="39"/>
      <c r="AY1" s="39"/>
      <c r="AZ1" s="39"/>
      <c r="BA1" s="39"/>
      <c r="BB1" s="39"/>
      <c r="BC1" s="39"/>
      <c r="BD1" s="39"/>
      <c r="BE1" s="39"/>
      <c r="BF1" s="39"/>
      <c r="BG1" s="39"/>
      <c r="BH1" s="39"/>
      <c r="BI1" s="39"/>
      <c r="BJ1" s="39"/>
      <c r="BK1" s="39"/>
      <c r="BL1" s="39"/>
      <c r="BM1" s="39"/>
      <c r="BN1" s="39"/>
      <c r="BO1" s="39"/>
      <c r="BP1" s="39"/>
      <c r="BQ1" s="39"/>
      <c r="BR1" s="40"/>
      <c r="BS1" s="40"/>
      <c r="BT1" s="40"/>
      <c r="BU1" s="40"/>
      <c r="BV1" s="40"/>
      <c r="BW1" s="40"/>
      <c r="BX1" s="40"/>
      <c r="BY1" s="40"/>
      <c r="BZ1" s="40"/>
      <c r="CA1" s="40"/>
      <c r="CB1" s="40"/>
      <c r="CC1" s="40"/>
      <c r="CD1" s="40"/>
    </row>
    <row r="2" spans="1:82" s="22" customFormat="1" ht="60" customHeight="1" x14ac:dyDescent="0.4">
      <c r="A2" s="80"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(2 criteria):
Product ID = HT_001
Location ID = HD_DC_CA_E
</v>
      </c>
      <c r="B2" s="80"/>
      <c r="C2" s="80"/>
      <c r="D2" s="80"/>
      <c r="E2" s="80"/>
      <c r="F2" s="80"/>
      <c r="G2" s="80"/>
      <c r="H2" s="80"/>
      <c r="I2" s="80"/>
      <c r="J2" s="80"/>
      <c r="K2" s="81" t="str">
        <f>"  Last Refresh: "&amp;IFERROR(YEAR(SOP_Refresh_Timestamp)&amp;"-"&amp;TEXT(SOP_Refresh_Timestamp,"MMM")&amp;"-"&amp;DAY(SOP_Refresh_Timestamp)&amp;"   "&amp;TEXT(SOP_Refresh_Timestamp,"HH:MM:SS"),"Offline")</f>
        <v xml:space="preserve">  Last Refresh: 2022-Feb-23   19:03:38</v>
      </c>
      <c r="L2" s="81"/>
      <c r="M2" s="81"/>
      <c r="N2" s="81"/>
      <c r="O2" s="81"/>
      <c r="P2" s="81"/>
      <c r="Q2" s="81"/>
      <c r="R2" s="81"/>
      <c r="S2" s="81"/>
      <c r="T2" s="81"/>
      <c r="U2" s="81"/>
      <c r="V2" s="81"/>
      <c r="W2" s="36"/>
      <c r="X2" s="37"/>
      <c r="Y2" s="37"/>
      <c r="Z2" s="37"/>
      <c r="AA2" s="37"/>
      <c r="AB2" s="37"/>
      <c r="AC2" s="37"/>
      <c r="AD2" s="37"/>
      <c r="AE2" s="38"/>
      <c r="AF2" s="38"/>
      <c r="AG2" s="38"/>
      <c r="AH2" s="38"/>
      <c r="AI2" s="38"/>
      <c r="AJ2" s="38"/>
      <c r="AK2" s="38"/>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c r="BL2" s="39"/>
      <c r="BM2" s="39"/>
      <c r="BN2" s="39"/>
      <c r="BO2" s="39"/>
      <c r="BP2" s="39"/>
      <c r="BQ2" s="39"/>
      <c r="BR2" s="40"/>
      <c r="BS2" s="40"/>
      <c r="BT2" s="40"/>
      <c r="BU2" s="40"/>
      <c r="BV2" s="40"/>
      <c r="BW2" s="40"/>
      <c r="BX2" s="40"/>
      <c r="BY2" s="40"/>
      <c r="BZ2" s="40"/>
      <c r="CA2" s="40"/>
      <c r="CB2" s="40"/>
      <c r="CC2" s="40"/>
      <c r="CD2" s="40"/>
    </row>
    <row r="3" spans="1:82" s="21" customFormat="1" ht="60" customHeight="1" x14ac:dyDescent="0.4">
      <c r="A3" s="75"/>
      <c r="B3" s="75"/>
      <c r="C3" s="75"/>
      <c r="D3" s="75"/>
      <c r="E3" s="75"/>
      <c r="F3" s="75"/>
      <c r="G3" s="75"/>
      <c r="H3" s="75"/>
      <c r="I3" s="75"/>
      <c r="J3" s="75"/>
      <c r="K3" s="41"/>
      <c r="L3" s="41"/>
      <c r="M3" s="41"/>
      <c r="N3" s="41"/>
      <c r="O3" s="41"/>
      <c r="P3" s="41"/>
      <c r="Q3" s="41"/>
      <c r="R3" s="41"/>
      <c r="S3" s="41"/>
      <c r="T3" s="41"/>
      <c r="U3" s="41"/>
      <c r="V3" s="41"/>
      <c r="W3" s="41"/>
      <c r="X3" s="41"/>
      <c r="Y3" s="41"/>
      <c r="Z3" s="41"/>
      <c r="AA3" s="41"/>
      <c r="AB3" s="41"/>
      <c r="AC3" s="41"/>
      <c r="AD3" s="41"/>
      <c r="AE3" s="41"/>
      <c r="AF3" s="41"/>
      <c r="AG3" s="41"/>
      <c r="AH3" s="41"/>
      <c r="AI3" s="41"/>
      <c r="AJ3" s="41"/>
      <c r="AK3" s="41"/>
      <c r="AL3" s="41"/>
      <c r="AM3" s="41"/>
      <c r="AN3" s="41"/>
      <c r="AO3" s="41"/>
      <c r="AP3" s="41"/>
      <c r="AQ3" s="41"/>
      <c r="AR3" s="41"/>
      <c r="AS3" s="41"/>
      <c r="AT3" s="41"/>
      <c r="AU3" s="41"/>
      <c r="AV3" s="41"/>
      <c r="AW3" s="41"/>
      <c r="AX3" s="41"/>
      <c r="AY3" s="41"/>
      <c r="AZ3" s="41"/>
      <c r="BA3" s="41"/>
      <c r="BB3" s="41"/>
      <c r="BC3" s="41"/>
      <c r="BD3" s="41"/>
      <c r="BE3" s="41"/>
      <c r="BF3" s="41"/>
      <c r="BG3" s="41"/>
      <c r="BH3" s="41"/>
      <c r="BI3" s="41"/>
      <c r="BJ3" s="41"/>
      <c r="BK3" s="41"/>
      <c r="BL3" s="41"/>
      <c r="BM3" s="41"/>
      <c r="BN3" s="41"/>
      <c r="BO3" s="41"/>
      <c r="BP3" s="41"/>
      <c r="BQ3" s="41"/>
      <c r="BR3" s="41"/>
      <c r="BS3" s="41"/>
      <c r="BT3" s="41"/>
      <c r="BU3" s="41"/>
      <c r="BV3" s="41"/>
      <c r="BW3" s="41"/>
      <c r="BX3" s="41"/>
      <c r="BY3" s="41"/>
      <c r="BZ3" s="41"/>
      <c r="CA3" s="41"/>
      <c r="CB3" s="41"/>
      <c r="CC3" s="41"/>
      <c r="CD3" s="41"/>
    </row>
    <row r="4" spans="1:82" s="21" customFormat="1" hidden="1" x14ac:dyDescent="0.4">
      <c r="A4" s="44"/>
      <c r="B4" s="44"/>
      <c r="C4" s="44"/>
      <c r="D4" s="44"/>
      <c r="E4" s="44"/>
      <c r="F4" s="44"/>
      <c r="G4" s="44"/>
      <c r="H4" s="44"/>
      <c r="I4" s="44"/>
      <c r="J4" s="44"/>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41"/>
      <c r="BS4" s="41"/>
      <c r="BT4" s="41"/>
      <c r="BU4" s="41"/>
      <c r="BV4" s="41"/>
      <c r="BW4" s="41"/>
      <c r="BX4" s="41"/>
      <c r="BY4" s="41"/>
      <c r="BZ4" s="41"/>
      <c r="CA4" s="41"/>
      <c r="CB4" s="41"/>
      <c r="CC4" s="41"/>
      <c r="CD4" s="41"/>
    </row>
    <row r="5" spans="1:82" s="21" customFormat="1" hidden="1" x14ac:dyDescent="0.4">
      <c r="A5" s="44"/>
      <c r="B5" s="44"/>
      <c r="C5" s="44"/>
      <c r="D5" s="44"/>
      <c r="E5" s="44"/>
      <c r="F5" s="44"/>
      <c r="G5" s="44"/>
      <c r="H5" s="44"/>
      <c r="I5" s="44"/>
      <c r="J5" s="44"/>
      <c r="K5" s="42"/>
      <c r="L5" s="42"/>
      <c r="M5" s="42"/>
      <c r="N5" s="42"/>
      <c r="O5" s="42"/>
      <c r="P5" s="42"/>
      <c r="Q5" s="42"/>
      <c r="R5" s="42"/>
      <c r="S5" s="42"/>
      <c r="T5" s="42"/>
      <c r="U5" s="42"/>
      <c r="V5" s="42"/>
      <c r="W5" s="42"/>
      <c r="X5" s="42"/>
      <c r="Y5" s="42"/>
      <c r="Z5" s="42"/>
      <c r="AA5" s="42"/>
      <c r="AB5" s="42"/>
      <c r="AC5" s="42"/>
      <c r="AD5" s="42"/>
      <c r="AE5" s="42"/>
      <c r="AF5" s="42"/>
      <c r="AG5" s="42"/>
      <c r="AH5" s="42"/>
      <c r="AI5" s="42"/>
      <c r="AJ5" s="42"/>
      <c r="AK5" s="42"/>
      <c r="AL5" s="42"/>
      <c r="AM5" s="42"/>
      <c r="AN5" s="42"/>
      <c r="AO5" s="42"/>
      <c r="AP5" s="42"/>
      <c r="AQ5" s="42"/>
      <c r="AR5" s="42"/>
      <c r="AS5" s="42"/>
      <c r="AT5" s="42"/>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c r="BU5" s="42"/>
      <c r="BV5" s="42"/>
      <c r="BW5" s="42"/>
      <c r="BX5" s="42"/>
      <c r="BY5" s="42"/>
      <c r="BZ5" s="42"/>
      <c r="CA5" s="42"/>
      <c r="CB5" s="42"/>
      <c r="CC5" s="42"/>
      <c r="CD5" s="42"/>
    </row>
    <row r="6" spans="1:82" s="23" customFormat="1" x14ac:dyDescent="0.4">
      <c r="A6" s="43" t="str">
        <f>SOP_Heading10</f>
        <v xml:space="preserve"> </v>
      </c>
      <c r="B6" s="43" t="str">
        <f>SOP_Heading9</f>
        <v xml:space="preserve"> </v>
      </c>
      <c r="C6" s="43" t="str">
        <f>SOP_Heading8</f>
        <v xml:space="preserve"> </v>
      </c>
      <c r="D6" s="43" t="str">
        <f>SOP_Heading7</f>
        <v xml:space="preserve"> </v>
      </c>
      <c r="E6" s="43" t="str">
        <f>SOP_Heading6</f>
        <v xml:space="preserve"> </v>
      </c>
      <c r="F6" s="43" t="str">
        <f>SOP_Heading5</f>
        <v xml:space="preserve"> </v>
      </c>
      <c r="G6" s="43" t="str">
        <f>SOP_Heading4</f>
        <v xml:space="preserve"> </v>
      </c>
      <c r="H6" s="43" t="str">
        <f>SOP_Heading3</f>
        <v>Product ID</v>
      </c>
      <c r="I6" s="43" t="str">
        <f>SOP_Heading2</f>
        <v>Location ID</v>
      </c>
      <c r="J6" s="43" t="str">
        <f>SOP_Heading1</f>
        <v>Key Figure</v>
      </c>
      <c r="K6" s="26" t="str">
        <f xml:space="preserve"> _xll.EPMOlapMemberO("[PERIODID3].[].[70613]","","JAN 2021","","000")</f>
        <v>JAN 2021</v>
      </c>
      <c r="L6" s="26" t="str">
        <f xml:space="preserve"> _xll.EPMOlapMemberO("[PERIODID3].[].[70614]","","FEB 2021","","000")</f>
        <v>FEB 2021</v>
      </c>
      <c r="M6" s="26" t="str">
        <f xml:space="preserve"> _xll.EPMOlapMemberO("[PERIODID3].[].[70615]","","MAR 2021","","000")</f>
        <v>MAR 2021</v>
      </c>
      <c r="N6" s="26" t="str">
        <f xml:space="preserve"> _xll.EPMOlapMemberO("[PERIODID3].[].[70616]","","APR 2021","","000")</f>
        <v>APR 2021</v>
      </c>
      <c r="O6" s="26" t="str">
        <f xml:space="preserve"> _xll.EPMOlapMemberO("[PERIODID3].[].[70617]","","MAY 2021","","000")</f>
        <v>MAY 2021</v>
      </c>
      <c r="P6" s="26" t="str">
        <f xml:space="preserve"> _xll.EPMOlapMemberO("[PERIODID3].[].[70618]","","JUN 2021","","000")</f>
        <v>JUN 2021</v>
      </c>
      <c r="Q6" s="26" t="str">
        <f xml:space="preserve"> _xll.EPMOlapMemberO("[PERIODID3].[].[70619]","","JUL 2021","","000")</f>
        <v>JUL 2021</v>
      </c>
      <c r="R6" s="26" t="str">
        <f xml:space="preserve"> _xll.EPMOlapMemberO("[PERIODID3].[].[70620]","","AUG 2021","","000")</f>
        <v>AUG 2021</v>
      </c>
      <c r="S6" s="26" t="str">
        <f xml:space="preserve"> _xll.EPMOlapMemberO("[PERIODID3].[].[70621]","","SEP 2021","","000")</f>
        <v>SEP 2021</v>
      </c>
      <c r="T6" s="26" t="str">
        <f xml:space="preserve"> _xll.EPMOlapMemberO("[PERIODID3].[].[70622]","","OCT 2021","","000")</f>
        <v>OCT 2021</v>
      </c>
      <c r="U6" s="26" t="str">
        <f xml:space="preserve"> _xll.EPMOlapMemberO("[PERIODID3].[].[70623]","","NOV 2021","","000")</f>
        <v>NOV 2021</v>
      </c>
      <c r="V6" s="26" t="str">
        <f xml:space="preserve"> _xll.EPMOlapMemberO("[PERIODID3].[].[70624]","","DEC 2021","","000")</f>
        <v>DEC 2021</v>
      </c>
      <c r="W6"/>
      <c r="X6"/>
      <c r="Y6"/>
      <c r="Z6"/>
      <c r="AA6"/>
      <c r="AB6"/>
      <c r="AC6"/>
      <c r="AD6"/>
      <c r="AE6"/>
      <c r="AF6"/>
      <c r="AG6"/>
      <c r="AH6"/>
      <c r="AI6" s="42"/>
      <c r="AJ6" s="42"/>
      <c r="AK6" s="42"/>
      <c r="AL6" s="42"/>
      <c r="AM6" s="42"/>
      <c r="AN6" s="42"/>
      <c r="AO6" s="42"/>
      <c r="AP6" s="42"/>
      <c r="AQ6" s="42"/>
      <c r="AR6" s="42"/>
      <c r="AS6" s="42"/>
      <c r="AT6" s="42"/>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c r="BU6" s="42"/>
      <c r="BV6" s="42"/>
      <c r="BW6" s="42"/>
      <c r="BX6" s="42"/>
      <c r="BY6" s="42"/>
      <c r="BZ6" s="42"/>
      <c r="CA6" s="42"/>
      <c r="CB6" s="42"/>
      <c r="CC6" s="42"/>
      <c r="CD6" s="42"/>
    </row>
    <row r="7" spans="1:82" x14ac:dyDescent="0.4">
      <c r="A7" s="42"/>
      <c r="B7" s="42"/>
      <c r="C7" s="42"/>
      <c r="D7" s="42"/>
      <c r="E7" s="42"/>
      <c r="F7" s="42"/>
      <c r="H7" s="20" t="str">
        <f xml:space="preserve"> _xll.EPMOlapMemberO("[PRDID].[].[HT_001]","","HT_001","","000")</f>
        <v>HT_001</v>
      </c>
      <c r="I7" s="20" t="str">
        <f xml:space="preserve"> _xll.EPMOlapMemberO("[LOCID].[].[HD_DC_CA_E]","","HD_DC_CA_E","","000")</f>
        <v>HD_DC_CA_E</v>
      </c>
      <c r="J7" s="20" t="str">
        <f xml:space="preserve"> _xll.EPMOlapMemberO("[KEY_FIGURES].[].[CONSENSUSDEMAND]","","Consensus Demand without Promotion","","000")</f>
        <v>Consensus Demand without Promotion</v>
      </c>
      <c r="K7" s="28">
        <v>100</v>
      </c>
      <c r="L7" s="35">
        <v>1651.5</v>
      </c>
      <c r="M7" s="28">
        <v>9000</v>
      </c>
      <c r="N7" s="28">
        <v>1000</v>
      </c>
      <c r="O7" s="34">
        <v>6944</v>
      </c>
      <c r="P7" s="34">
        <v>100</v>
      </c>
      <c r="Q7" s="34">
        <v>125</v>
      </c>
      <c r="R7" s="34">
        <v>100</v>
      </c>
      <c r="S7" s="35">
        <v>100</v>
      </c>
      <c r="T7" s="35">
        <v>100</v>
      </c>
      <c r="U7" s="35">
        <v>300</v>
      </c>
      <c r="V7" s="28">
        <v>5000</v>
      </c>
      <c r="AI7" s="42"/>
      <c r="AJ7" s="42"/>
      <c r="AK7" s="42"/>
      <c r="AL7" s="42"/>
      <c r="AM7" s="42"/>
      <c r="AN7" s="42"/>
      <c r="AO7" s="42"/>
      <c r="AP7" s="42"/>
      <c r="AQ7" s="42"/>
      <c r="AR7" s="42"/>
      <c r="AS7" s="42"/>
      <c r="AT7" s="42"/>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c r="BU7" s="42"/>
      <c r="BV7" s="42"/>
      <c r="BW7" s="42"/>
      <c r="BX7" s="42"/>
      <c r="BY7" s="42"/>
      <c r="BZ7" s="42"/>
      <c r="CA7" s="42"/>
      <c r="CB7" s="42"/>
      <c r="CC7" s="42"/>
      <c r="CD7" s="42"/>
    </row>
    <row r="8" spans="1:82" x14ac:dyDescent="0.4">
      <c r="A8" s="42"/>
      <c r="B8" s="42"/>
      <c r="C8" s="42"/>
      <c r="D8" s="42"/>
      <c r="E8" s="42"/>
      <c r="F8" s="42"/>
      <c r="H8" s="20"/>
      <c r="I8" s="20"/>
      <c r="J8" s="20" t="str">
        <f xml:space="preserve"> _xll.EPMOlapMemberO("[KEY_FIGURES].[].[DEMANDPLANNINGQTY]","","Demand Planning Qty","","000")</f>
        <v>Demand Planning Qty</v>
      </c>
      <c r="K8" s="24">
        <v>0</v>
      </c>
      <c r="L8" s="24">
        <v>0</v>
      </c>
      <c r="M8" s="24">
        <v>343</v>
      </c>
      <c r="N8" s="24">
        <v>0</v>
      </c>
      <c r="O8" s="24">
        <v>0</v>
      </c>
      <c r="P8" s="24"/>
      <c r="Q8" s="24"/>
      <c r="R8" s="24"/>
      <c r="S8" s="24">
        <v>0</v>
      </c>
      <c r="T8" s="24">
        <v>0</v>
      </c>
      <c r="U8" s="24">
        <v>0</v>
      </c>
      <c r="V8" s="24">
        <v>13.5</v>
      </c>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row>
    <row r="9" spans="1:82" x14ac:dyDescent="0.4">
      <c r="A9" s="42"/>
      <c r="B9" s="42"/>
      <c r="C9" s="42"/>
      <c r="D9" s="42"/>
      <c r="E9" s="42"/>
      <c r="F9" s="42"/>
      <c r="H9" s="20"/>
      <c r="I9" s="20"/>
      <c r="J9" s="20" t="str">
        <f xml:space="preserve"> _xll.EPMOlapMemberO("[KEY_FIGURES].[].[FINALCONSENSUSDEMAND]","","Consensus Demand","","000")</f>
        <v>Consensus Demand</v>
      </c>
      <c r="K9" s="24">
        <v>100</v>
      </c>
      <c r="L9" s="24">
        <v>17316.5</v>
      </c>
      <c r="M9" s="24">
        <v>9000</v>
      </c>
      <c r="N9" s="24">
        <v>1000</v>
      </c>
      <c r="O9" s="24">
        <v>6944</v>
      </c>
      <c r="P9" s="24">
        <v>100</v>
      </c>
      <c r="Q9" s="24">
        <v>125</v>
      </c>
      <c r="R9" s="24">
        <v>100</v>
      </c>
      <c r="S9" s="24">
        <v>100</v>
      </c>
      <c r="T9" s="24">
        <v>100</v>
      </c>
      <c r="U9" s="24">
        <v>300</v>
      </c>
      <c r="V9" s="24">
        <v>5000</v>
      </c>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2"/>
      <c r="CA9" s="42"/>
      <c r="CB9" s="42"/>
      <c r="CC9" s="42"/>
      <c r="CD9" s="42"/>
    </row>
    <row r="10" spans="1:82" x14ac:dyDescent="0.4">
      <c r="A10" s="42"/>
      <c r="B10" s="42"/>
      <c r="C10" s="42"/>
      <c r="D10" s="42"/>
      <c r="E10" s="42"/>
      <c r="F10" s="42"/>
      <c r="H10" s="20"/>
      <c r="I10" s="20"/>
      <c r="J10" s="20" t="str">
        <f xml:space="preserve"> _xll.EPMOlapMemberO("[KEY_FIGURES].[].[ADJDELIVQTY]","","Delivered Qty Adjusted","","000")</f>
        <v>Delivered Qty Adjusted</v>
      </c>
      <c r="K10" s="28">
        <v>2325</v>
      </c>
      <c r="L10" s="28">
        <v>2100</v>
      </c>
      <c r="M10" s="28">
        <v>2325</v>
      </c>
      <c r="N10" s="28">
        <v>1710</v>
      </c>
      <c r="O10" s="28">
        <v>1479</v>
      </c>
      <c r="P10" s="28">
        <v>1437</v>
      </c>
      <c r="Q10" s="28">
        <v>43242</v>
      </c>
      <c r="R10" s="28">
        <v>45</v>
      </c>
      <c r="S10" s="28">
        <v>0</v>
      </c>
      <c r="T10" s="28">
        <v>0</v>
      </c>
      <c r="U10" s="28">
        <v>100000</v>
      </c>
      <c r="V10" s="28">
        <v>0</v>
      </c>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c r="BT10" s="42"/>
      <c r="BU10" s="42"/>
      <c r="BV10" s="42"/>
      <c r="BW10" s="42"/>
      <c r="BX10" s="42"/>
      <c r="BY10" s="42"/>
      <c r="BZ10" s="42"/>
      <c r="CA10" s="42"/>
      <c r="CB10" s="42"/>
      <c r="CC10" s="42"/>
      <c r="CD10" s="42"/>
    </row>
    <row r="11" spans="1:82" x14ac:dyDescent="0.4">
      <c r="A11" s="42"/>
      <c r="B11" s="42"/>
      <c r="C11" s="42"/>
      <c r="D11" s="42"/>
      <c r="E11" s="42"/>
      <c r="F11" s="42"/>
      <c r="H11" s="20"/>
      <c r="I11" s="20"/>
      <c r="J11" s="20" t="str">
        <f xml:space="preserve"> _xll.EPMOlapMemberO("[KEY_FIGURES].[].[ACTUALSREV]","","Actuals Revenue","","000")</f>
        <v>Actuals Revenue</v>
      </c>
      <c r="K11" s="28"/>
      <c r="L11" s="28"/>
      <c r="M11" s="28"/>
      <c r="N11" s="28"/>
      <c r="O11" s="28"/>
      <c r="P11" s="28"/>
      <c r="Q11" s="28"/>
      <c r="R11" s="28"/>
      <c r="S11" s="28"/>
      <c r="T11" s="28"/>
      <c r="U11" s="28"/>
      <c r="V11" s="28"/>
      <c r="AI11" s="42"/>
      <c r="AJ11" s="42"/>
      <c r="AK11" s="42"/>
      <c r="AL11" s="42"/>
      <c r="AM11" s="42"/>
      <c r="AN11" s="42"/>
      <c r="AO11" s="42"/>
      <c r="AP11" s="42"/>
      <c r="AQ11" s="42"/>
      <c r="AR11" s="42"/>
      <c r="AS11" s="42"/>
      <c r="AT11" s="42"/>
      <c r="AU11" s="42"/>
      <c r="AV11" s="42"/>
      <c r="AW11" s="42"/>
      <c r="AX11" s="42"/>
      <c r="AY11" s="42"/>
      <c r="AZ11" s="42"/>
      <c r="BA11" s="42"/>
      <c r="BB11" s="42"/>
      <c r="BC11" s="42"/>
      <c r="BD11" s="42"/>
      <c r="BE11" s="42"/>
      <c r="BF11" s="42"/>
      <c r="BG11" s="42"/>
      <c r="BH11" s="42"/>
      <c r="BI11" s="42"/>
      <c r="BJ11" s="42"/>
      <c r="BK11" s="42"/>
      <c r="BL11" s="42"/>
      <c r="BM11" s="42"/>
      <c r="BN11" s="42"/>
      <c r="BO11" s="42"/>
      <c r="BP11" s="42"/>
      <c r="BQ11" s="42"/>
      <c r="BR11" s="42"/>
      <c r="BS11" s="42"/>
      <c r="BT11" s="42"/>
      <c r="BU11" s="42"/>
      <c r="BV11" s="42"/>
      <c r="BW11" s="42"/>
      <c r="BX11" s="42"/>
      <c r="BY11" s="42"/>
      <c r="BZ11" s="42"/>
      <c r="CA11" s="42"/>
      <c r="CB11" s="42"/>
      <c r="CC11" s="42"/>
      <c r="CD11" s="42"/>
    </row>
    <row r="12" spans="1:82" x14ac:dyDescent="0.4">
      <c r="A12" s="42"/>
      <c r="B12" s="42"/>
      <c r="C12" s="42"/>
      <c r="D12" s="42"/>
      <c r="E12" s="42"/>
      <c r="F12" s="42"/>
      <c r="H12" s="20"/>
      <c r="I12" s="20"/>
      <c r="J12" s="20" t="str">
        <f xml:space="preserve"> _xll.EPMOlapMemberO("[KEY_FIGURES].[].[CONFQTY]","","Confirmed Qty","","000")</f>
        <v>Confirmed Qty</v>
      </c>
      <c r="K12" s="24"/>
      <c r="L12" s="24"/>
      <c r="M12" s="24"/>
      <c r="N12" s="24"/>
      <c r="O12" s="24"/>
      <c r="P12" s="24"/>
      <c r="Q12" s="24"/>
      <c r="R12" s="24"/>
      <c r="S12" s="24"/>
      <c r="T12" s="24"/>
      <c r="U12" s="24"/>
      <c r="V12" s="24"/>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2"/>
      <c r="BV12" s="42"/>
      <c r="BW12" s="42"/>
      <c r="BX12" s="42"/>
      <c r="BY12" s="42"/>
      <c r="BZ12" s="42"/>
      <c r="CA12" s="42"/>
      <c r="CB12" s="42"/>
      <c r="CC12" s="42"/>
      <c r="CD12" s="42"/>
    </row>
    <row r="13" spans="1:82" x14ac:dyDescent="0.4">
      <c r="A13" s="42"/>
      <c r="B13" s="42"/>
      <c r="C13" s="42"/>
      <c r="D13" s="42"/>
      <c r="E13" s="42"/>
      <c r="F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row>
    <row r="14" spans="1:82" x14ac:dyDescent="0.4">
      <c r="A14" s="42"/>
      <c r="B14" s="42"/>
      <c r="C14" s="42"/>
      <c r="D14" s="42"/>
      <c r="E14" s="42"/>
      <c r="F14" s="42"/>
      <c r="AI14" s="42"/>
      <c r="AJ14" s="42"/>
      <c r="AK14" s="42"/>
      <c r="AL14" s="42"/>
      <c r="AM14" s="42"/>
      <c r="AN14" s="42"/>
      <c r="AO14" s="42"/>
      <c r="AP14" s="42"/>
      <c r="AQ14" s="42"/>
      <c r="AR14" s="42"/>
      <c r="AS14" s="42"/>
      <c r="AT14" s="42"/>
      <c r="AU14" s="42"/>
      <c r="AV14" s="42"/>
      <c r="AW14" s="42"/>
      <c r="AX14" s="42"/>
      <c r="AY14" s="42"/>
      <c r="AZ14" s="42"/>
      <c r="BA14" s="42"/>
      <c r="BB14" s="42"/>
      <c r="BC14" s="42"/>
      <c r="BD14" s="42"/>
      <c r="BE14" s="42"/>
      <c r="BF14" s="42"/>
      <c r="BG14" s="42"/>
      <c r="BH14" s="42"/>
      <c r="BI14" s="42"/>
      <c r="BJ14" s="42"/>
      <c r="BK14" s="42"/>
      <c r="BL14" s="42"/>
      <c r="BM14" s="42"/>
      <c r="BN14" s="42"/>
      <c r="BO14" s="42"/>
      <c r="BP14" s="42"/>
      <c r="BQ14" s="42"/>
      <c r="BR14" s="42"/>
      <c r="BS14" s="42"/>
      <c r="BT14" s="42"/>
      <c r="BU14" s="42"/>
      <c r="BV14" s="42"/>
      <c r="BW14" s="42"/>
      <c r="BX14" s="42"/>
      <c r="BY14" s="42"/>
      <c r="BZ14" s="42"/>
      <c r="CA14" s="42"/>
      <c r="CB14" s="42"/>
      <c r="CC14" s="42"/>
      <c r="CD14" s="42"/>
    </row>
    <row r="15" spans="1:82" x14ac:dyDescent="0.4">
      <c r="A15" s="42"/>
      <c r="B15" s="42"/>
      <c r="C15" s="42"/>
      <c r="D15" s="42"/>
      <c r="E15" s="42"/>
      <c r="F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42"/>
      <c r="BY15" s="42"/>
      <c r="BZ15" s="42"/>
      <c r="CA15" s="42"/>
      <c r="CB15" s="42"/>
      <c r="CC15" s="42"/>
      <c r="CD15" s="42"/>
    </row>
    <row r="16" spans="1:82" x14ac:dyDescent="0.4">
      <c r="A16" s="42"/>
      <c r="B16" s="42"/>
      <c r="C16" s="42"/>
      <c r="D16" s="42"/>
      <c r="E16" s="42"/>
      <c r="F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c r="BJ16" s="42"/>
      <c r="BK16" s="42"/>
      <c r="BL16" s="42"/>
      <c r="BM16" s="42"/>
      <c r="BN16" s="42"/>
      <c r="BO16" s="42"/>
      <c r="BP16" s="42"/>
      <c r="BQ16" s="42"/>
      <c r="BR16" s="42"/>
      <c r="BS16" s="42"/>
      <c r="BT16" s="42"/>
      <c r="BU16" s="42"/>
      <c r="BV16" s="42"/>
      <c r="BW16" s="42"/>
      <c r="BX16" s="42"/>
      <c r="BY16" s="42"/>
      <c r="BZ16" s="42"/>
      <c r="CA16" s="42"/>
      <c r="CB16" s="42"/>
      <c r="CC16" s="42"/>
      <c r="CD16" s="42"/>
    </row>
    <row r="17" spans="1:82" x14ac:dyDescent="0.4">
      <c r="A17" s="42"/>
      <c r="B17" s="42"/>
      <c r="C17" s="42"/>
      <c r="D17" s="42"/>
      <c r="E17" s="42"/>
      <c r="F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2"/>
      <c r="BS17" s="42"/>
      <c r="BT17" s="42"/>
      <c r="BU17" s="42"/>
      <c r="BV17" s="42"/>
      <c r="BW17" s="42"/>
      <c r="BX17" s="42"/>
      <c r="BY17" s="42"/>
      <c r="BZ17" s="42"/>
      <c r="CA17" s="42"/>
      <c r="CB17" s="42"/>
      <c r="CC17" s="42"/>
      <c r="CD17" s="42"/>
    </row>
    <row r="18" spans="1:82" x14ac:dyDescent="0.4">
      <c r="A18" s="42"/>
      <c r="B18" s="42"/>
      <c r="C18" s="42"/>
      <c r="D18" s="42"/>
      <c r="E18" s="42"/>
      <c r="F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c r="BJ18" s="42"/>
      <c r="BK18" s="42"/>
      <c r="BL18" s="42"/>
      <c r="BM18" s="42"/>
      <c r="BN18" s="42"/>
      <c r="BO18" s="42"/>
      <c r="BP18" s="42"/>
      <c r="BQ18" s="42"/>
      <c r="BR18" s="42"/>
      <c r="BS18" s="42"/>
      <c r="BT18" s="42"/>
      <c r="BU18" s="42"/>
      <c r="BV18" s="42"/>
      <c r="BW18" s="42"/>
      <c r="BX18" s="42"/>
      <c r="BY18" s="42"/>
      <c r="BZ18" s="42"/>
      <c r="CA18" s="42"/>
      <c r="CB18" s="42"/>
      <c r="CC18" s="42"/>
      <c r="CD18" s="42"/>
    </row>
    <row r="19" spans="1:82" x14ac:dyDescent="0.4">
      <c r="A19" s="42"/>
      <c r="B19" s="42"/>
      <c r="C19" s="42"/>
      <c r="D19" s="42"/>
      <c r="E19" s="42"/>
      <c r="F19" s="42"/>
      <c r="AI19" s="42"/>
      <c r="AJ19" s="42"/>
      <c r="AK19" s="42"/>
      <c r="AL19" s="42"/>
      <c r="AM19" s="42"/>
      <c r="AN19" s="42"/>
      <c r="AO19" s="42"/>
      <c r="AP19" s="42"/>
      <c r="AQ19" s="42"/>
      <c r="AR19" s="42"/>
      <c r="AS19" s="42"/>
      <c r="AT19" s="42"/>
      <c r="AU19" s="42"/>
      <c r="AV19" s="42"/>
      <c r="AW19" s="42"/>
      <c r="AX19" s="42"/>
      <c r="AY19" s="42"/>
      <c r="AZ19" s="42"/>
      <c r="BA19" s="42"/>
      <c r="BB19" s="42"/>
      <c r="BC19" s="42"/>
      <c r="BD19" s="42"/>
      <c r="BE19" s="42"/>
      <c r="BF19" s="42"/>
      <c r="BG19" s="42"/>
      <c r="BH19" s="42"/>
      <c r="BI19" s="42"/>
      <c r="BJ19" s="42"/>
      <c r="BK19" s="42"/>
      <c r="BL19" s="42"/>
      <c r="BM19" s="42"/>
      <c r="BN19" s="42"/>
      <c r="BO19" s="42"/>
      <c r="BP19" s="42"/>
      <c r="BQ19" s="42"/>
      <c r="BR19" s="42"/>
      <c r="BS19" s="42"/>
      <c r="BT19" s="42"/>
      <c r="BU19" s="42"/>
      <c r="BV19" s="42"/>
      <c r="BW19" s="42"/>
      <c r="BX19" s="42"/>
      <c r="BY19" s="42"/>
      <c r="BZ19" s="42"/>
      <c r="CA19" s="42"/>
      <c r="CB19" s="42"/>
      <c r="CC19" s="42"/>
      <c r="CD19" s="42"/>
    </row>
    <row r="20" spans="1:82" x14ac:dyDescent="0.4">
      <c r="A20" s="42"/>
      <c r="B20" s="42"/>
      <c r="C20" s="42"/>
      <c r="D20" s="42"/>
      <c r="E20" s="42"/>
      <c r="F20" s="42"/>
      <c r="AI20" s="42"/>
      <c r="AJ20" s="42"/>
      <c r="AK20" s="42"/>
      <c r="AL20" s="42"/>
      <c r="AM20" s="42"/>
      <c r="AN20" s="42"/>
      <c r="AO20" s="42"/>
      <c r="AP20" s="42"/>
      <c r="AQ20" s="42"/>
      <c r="AR20" s="42"/>
      <c r="AS20" s="42"/>
      <c r="AT20" s="42"/>
      <c r="AU20" s="42"/>
      <c r="AV20" s="42"/>
      <c r="AW20" s="42"/>
      <c r="AX20" s="42"/>
      <c r="AY20" s="42"/>
      <c r="AZ20" s="42"/>
      <c r="BA20" s="42"/>
      <c r="BB20" s="42"/>
      <c r="BC20" s="42"/>
      <c r="BD20" s="42"/>
      <c r="BE20" s="42"/>
      <c r="BF20" s="42"/>
      <c r="BG20" s="42"/>
      <c r="BH20" s="42"/>
      <c r="BI20" s="42"/>
      <c r="BJ20" s="42"/>
      <c r="BK20" s="42"/>
      <c r="BL20" s="42"/>
      <c r="BM20" s="42"/>
      <c r="BN20" s="42"/>
      <c r="BO20" s="42"/>
      <c r="BP20" s="42"/>
      <c r="BQ20" s="42"/>
      <c r="BR20" s="42"/>
      <c r="BS20" s="42"/>
      <c r="BT20" s="42"/>
      <c r="BU20" s="42"/>
      <c r="BV20" s="42"/>
      <c r="BW20" s="42"/>
      <c r="BX20" s="42"/>
      <c r="BY20" s="42"/>
      <c r="BZ20" s="42"/>
      <c r="CA20" s="42"/>
      <c r="CB20" s="42"/>
      <c r="CC20" s="42"/>
      <c r="CD20" s="42"/>
    </row>
    <row r="21" spans="1:82" x14ac:dyDescent="0.4">
      <c r="A21" s="42"/>
      <c r="B21" s="42"/>
      <c r="C21" s="42"/>
      <c r="D21" s="42"/>
      <c r="E21" s="42"/>
      <c r="F21" s="42"/>
      <c r="AI21" s="42"/>
      <c r="AJ21" s="42"/>
      <c r="AK21" s="42"/>
      <c r="AL21" s="42"/>
      <c r="AM21" s="42"/>
      <c r="AN21" s="42"/>
      <c r="AO21" s="42"/>
      <c r="AP21" s="42"/>
      <c r="AQ21" s="42"/>
      <c r="AR21" s="42"/>
      <c r="AS21" s="42"/>
      <c r="AT21" s="42"/>
      <c r="AU21" s="42"/>
      <c r="AV21" s="42"/>
      <c r="AW21" s="42"/>
      <c r="AX21" s="42"/>
      <c r="AY21" s="42"/>
      <c r="AZ21" s="42"/>
      <c r="BA21" s="42"/>
      <c r="BB21" s="42"/>
      <c r="BC21" s="42"/>
      <c r="BD21" s="42"/>
      <c r="BE21" s="42"/>
      <c r="BF21" s="42"/>
      <c r="BG21" s="42"/>
      <c r="BH21" s="42"/>
      <c r="BI21" s="42"/>
      <c r="BJ21" s="42"/>
      <c r="BK21" s="42"/>
      <c r="BL21" s="42"/>
      <c r="BM21" s="42"/>
      <c r="BN21" s="42"/>
      <c r="BO21" s="42"/>
      <c r="BP21" s="42"/>
      <c r="BQ21" s="42"/>
      <c r="BR21" s="42"/>
      <c r="BS21" s="42"/>
      <c r="BT21" s="42"/>
      <c r="BU21" s="42"/>
      <c r="BV21" s="42"/>
      <c r="BW21" s="42"/>
      <c r="BX21" s="42"/>
      <c r="BY21" s="42"/>
      <c r="BZ21" s="42"/>
      <c r="CA21" s="42"/>
      <c r="CB21" s="42"/>
      <c r="CC21" s="42"/>
      <c r="CD21" s="42"/>
    </row>
    <row r="22" spans="1:82" x14ac:dyDescent="0.4">
      <c r="A22" s="42"/>
      <c r="B22" s="42"/>
      <c r="C22" s="42"/>
      <c r="D22" s="42"/>
      <c r="E22" s="42"/>
      <c r="F22" s="42"/>
      <c r="AI22" s="42"/>
      <c r="AJ22" s="42"/>
      <c r="AK22" s="42"/>
      <c r="AL22" s="42"/>
      <c r="AM22" s="42"/>
      <c r="AN22" s="42"/>
      <c r="AO22" s="42"/>
      <c r="AP22" s="42"/>
      <c r="AQ22" s="42"/>
      <c r="AR22" s="42"/>
      <c r="AS22" s="42"/>
      <c r="AT22" s="42"/>
      <c r="AU22" s="42"/>
      <c r="AV22" s="42"/>
      <c r="AW22" s="42"/>
      <c r="AX22" s="42"/>
      <c r="AY22" s="42"/>
      <c r="AZ22" s="42"/>
      <c r="BA22" s="42"/>
      <c r="BB22" s="42"/>
      <c r="BC22" s="42"/>
      <c r="BD22" s="42"/>
      <c r="BE22" s="42"/>
      <c r="BF22" s="42"/>
      <c r="BG22" s="42"/>
      <c r="BH22" s="42"/>
      <c r="BI22" s="42"/>
      <c r="BJ22" s="42"/>
      <c r="BK22" s="42"/>
      <c r="BL22" s="42"/>
      <c r="BM22" s="42"/>
      <c r="BN22" s="42"/>
      <c r="BO22" s="42"/>
      <c r="BP22" s="42"/>
      <c r="BQ22" s="42"/>
      <c r="BR22" s="42"/>
      <c r="BS22" s="42"/>
      <c r="BT22" s="42"/>
      <c r="BU22" s="42"/>
      <c r="BV22" s="42"/>
      <c r="BW22" s="42"/>
      <c r="BX22" s="42"/>
      <c r="BY22" s="42"/>
      <c r="BZ22" s="42"/>
      <c r="CA22" s="42"/>
      <c r="CB22" s="42"/>
      <c r="CC22" s="42"/>
      <c r="CD22" s="42"/>
    </row>
    <row r="23" spans="1:82" x14ac:dyDescent="0.4">
      <c r="A23" s="42"/>
      <c r="B23" s="42"/>
      <c r="C23" s="42"/>
      <c r="D23" s="42"/>
      <c r="E23" s="42"/>
      <c r="F23" s="42"/>
      <c r="AI23" s="42"/>
      <c r="AJ23" s="42"/>
      <c r="AK23" s="42"/>
      <c r="AL23" s="42"/>
      <c r="AM23" s="42"/>
      <c r="AN23" s="42"/>
      <c r="AO23" s="42"/>
      <c r="AP23" s="42"/>
      <c r="AQ23" s="42"/>
      <c r="AR23" s="42"/>
      <c r="AS23" s="42"/>
      <c r="AT23" s="42"/>
      <c r="AU23" s="42"/>
      <c r="AV23" s="42"/>
      <c r="AW23" s="42"/>
      <c r="AX23" s="42"/>
      <c r="AY23" s="42"/>
      <c r="AZ23" s="42"/>
      <c r="BA23" s="42"/>
      <c r="BB23" s="42"/>
      <c r="BC23" s="42"/>
      <c r="BD23" s="42"/>
      <c r="BE23" s="42"/>
      <c r="BF23" s="42"/>
      <c r="BG23" s="42"/>
      <c r="BH23" s="42"/>
      <c r="BI23" s="42"/>
      <c r="BJ23" s="42"/>
      <c r="BK23" s="42"/>
      <c r="BL23" s="42"/>
      <c r="BM23" s="42"/>
      <c r="BN23" s="42"/>
      <c r="BO23" s="42"/>
      <c r="BP23" s="42"/>
      <c r="BQ23" s="42"/>
      <c r="BR23" s="42"/>
      <c r="BS23" s="42"/>
      <c r="BT23" s="42"/>
      <c r="BU23" s="42"/>
      <c r="BV23" s="42"/>
      <c r="BW23" s="42"/>
      <c r="BX23" s="42"/>
      <c r="BY23" s="42"/>
      <c r="BZ23" s="42"/>
      <c r="CA23" s="42"/>
      <c r="CB23" s="42"/>
      <c r="CC23" s="42"/>
      <c r="CD23" s="42"/>
    </row>
    <row r="24" spans="1:82" x14ac:dyDescent="0.4">
      <c r="A24" s="42"/>
      <c r="B24" s="42"/>
      <c r="C24" s="42"/>
      <c r="D24" s="42"/>
      <c r="E24" s="42"/>
      <c r="F24" s="42"/>
      <c r="AI24" s="42"/>
      <c r="AJ24" s="42"/>
      <c r="AK24" s="42"/>
      <c r="AL24" s="42"/>
      <c r="AM24" s="42"/>
      <c r="AN24" s="42"/>
      <c r="AO24" s="42"/>
      <c r="AP24" s="42"/>
      <c r="AQ24" s="42"/>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42"/>
      <c r="BS24" s="42"/>
      <c r="BT24" s="42"/>
      <c r="BU24" s="42"/>
      <c r="BV24" s="42"/>
      <c r="BW24" s="42"/>
      <c r="BX24" s="42"/>
      <c r="BY24" s="42"/>
      <c r="BZ24" s="42"/>
      <c r="CA24" s="42"/>
      <c r="CB24" s="42"/>
      <c r="CC24" s="42"/>
      <c r="CD24" s="42"/>
    </row>
    <row r="25" spans="1:82" x14ac:dyDescent="0.4">
      <c r="A25" s="42"/>
      <c r="B25" s="42"/>
      <c r="C25" s="42"/>
      <c r="D25" s="42"/>
      <c r="E25" s="42"/>
      <c r="F25" s="42"/>
      <c r="AI25" s="42"/>
      <c r="AJ25" s="42"/>
      <c r="AK25" s="42"/>
      <c r="AL25" s="42"/>
      <c r="AM25" s="42"/>
      <c r="AN25" s="42"/>
      <c r="AO25" s="42"/>
      <c r="AP25" s="42"/>
      <c r="AQ25" s="42"/>
      <c r="AR25" s="42"/>
      <c r="AS25" s="42"/>
      <c r="AT25" s="42"/>
      <c r="AU25" s="42"/>
      <c r="AV25" s="42"/>
      <c r="AW25" s="42"/>
      <c r="AX25" s="42"/>
      <c r="AY25" s="42"/>
      <c r="AZ25" s="42"/>
      <c r="BA25" s="42"/>
      <c r="BB25" s="42"/>
      <c r="BC25" s="42"/>
      <c r="BD25" s="42"/>
      <c r="BE25" s="42"/>
      <c r="BF25" s="42"/>
      <c r="BG25" s="42"/>
      <c r="BH25" s="42"/>
      <c r="BI25" s="42"/>
      <c r="BJ25" s="42"/>
      <c r="BK25" s="42"/>
      <c r="BL25" s="42"/>
      <c r="BM25" s="42"/>
      <c r="BN25" s="42"/>
      <c r="BO25" s="42"/>
      <c r="BP25" s="42"/>
      <c r="BQ25" s="42"/>
      <c r="BR25" s="42"/>
      <c r="BS25" s="42"/>
      <c r="BT25" s="42"/>
      <c r="BU25" s="42"/>
      <c r="BV25" s="42"/>
      <c r="BW25" s="42"/>
      <c r="BX25" s="42"/>
      <c r="BY25" s="42"/>
      <c r="BZ25" s="42"/>
      <c r="CA25" s="42"/>
      <c r="CB25" s="42"/>
      <c r="CC25" s="42"/>
      <c r="CD25" s="42"/>
    </row>
    <row r="26" spans="1:82" x14ac:dyDescent="0.4">
      <c r="A26" s="42"/>
      <c r="B26" s="42"/>
      <c r="C26" s="42"/>
      <c r="D26" s="42"/>
      <c r="E26" s="42"/>
      <c r="F26" s="42"/>
      <c r="AI26" s="42"/>
      <c r="AJ26" s="42"/>
      <c r="AK26" s="42"/>
      <c r="AL26" s="42"/>
      <c r="AM26" s="42"/>
      <c r="AN26" s="42"/>
      <c r="AO26" s="42"/>
      <c r="AP26" s="42"/>
      <c r="AQ26" s="42"/>
      <c r="AR26" s="42"/>
      <c r="AS26" s="42"/>
      <c r="AT26" s="42"/>
      <c r="AU26" s="42"/>
      <c r="AV26" s="42"/>
      <c r="AW26" s="42"/>
      <c r="AX26" s="42"/>
      <c r="AY26" s="42"/>
      <c r="AZ26" s="42"/>
      <c r="BA26" s="42"/>
      <c r="BB26" s="42"/>
      <c r="BC26" s="42"/>
      <c r="BD26" s="42"/>
      <c r="BE26" s="42"/>
      <c r="BF26" s="42"/>
      <c r="BG26" s="42"/>
      <c r="BH26" s="42"/>
      <c r="BI26" s="42"/>
      <c r="BJ26" s="42"/>
      <c r="BK26" s="42"/>
      <c r="BL26" s="42"/>
      <c r="BM26" s="42"/>
      <c r="BN26" s="42"/>
      <c r="BO26" s="42"/>
      <c r="BP26" s="42"/>
      <c r="BQ26" s="42"/>
      <c r="BR26" s="42"/>
      <c r="BS26" s="42"/>
      <c r="BT26" s="42"/>
      <c r="BU26" s="42"/>
      <c r="BV26" s="42"/>
      <c r="BW26" s="42"/>
      <c r="BX26" s="42"/>
      <c r="BY26" s="42"/>
      <c r="BZ26" s="42"/>
      <c r="CA26" s="42"/>
      <c r="CB26" s="42"/>
      <c r="CC26" s="42"/>
      <c r="CD26" s="42"/>
    </row>
    <row r="27" spans="1:82" x14ac:dyDescent="0.4">
      <c r="A27" s="42"/>
      <c r="B27" s="42"/>
      <c r="C27" s="42"/>
      <c r="D27" s="42"/>
      <c r="E27" s="42"/>
      <c r="F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c r="BJ27" s="42"/>
      <c r="BK27" s="42"/>
      <c r="BL27" s="42"/>
      <c r="BM27" s="42"/>
      <c r="BN27" s="42"/>
      <c r="BO27" s="42"/>
      <c r="BP27" s="42"/>
      <c r="BQ27" s="42"/>
      <c r="BR27" s="42"/>
      <c r="BS27" s="42"/>
      <c r="BT27" s="42"/>
      <c r="BU27" s="42"/>
      <c r="BV27" s="42"/>
      <c r="BW27" s="42"/>
      <c r="BX27" s="42"/>
      <c r="BY27" s="42"/>
      <c r="BZ27" s="42"/>
      <c r="CA27" s="42"/>
      <c r="CB27" s="42"/>
      <c r="CC27" s="42"/>
      <c r="CD27" s="42"/>
    </row>
    <row r="28" spans="1:82" x14ac:dyDescent="0.4">
      <c r="A28" s="42"/>
      <c r="B28" s="42"/>
      <c r="C28" s="42"/>
      <c r="D28" s="42"/>
      <c r="E28" s="42"/>
      <c r="F28" s="42"/>
      <c r="AI28" s="42"/>
      <c r="AJ28" s="42"/>
      <c r="AK28" s="42"/>
      <c r="AL28" s="42"/>
      <c r="AM28" s="42"/>
      <c r="AN28" s="42"/>
      <c r="AO28" s="42"/>
      <c r="AP28" s="42"/>
      <c r="AQ28" s="42"/>
      <c r="AR28" s="42"/>
      <c r="AS28" s="42"/>
      <c r="AT28" s="42"/>
      <c r="AU28" s="42"/>
      <c r="AV28" s="42"/>
      <c r="AW28" s="42"/>
      <c r="AX28" s="42"/>
      <c r="AY28" s="42"/>
      <c r="AZ28" s="42"/>
      <c r="BA28" s="42"/>
      <c r="BB28" s="42"/>
      <c r="BC28" s="42"/>
      <c r="BD28" s="42"/>
      <c r="BE28" s="42"/>
      <c r="BF28" s="42"/>
      <c r="BG28" s="42"/>
      <c r="BH28" s="42"/>
      <c r="BI28" s="42"/>
      <c r="BJ28" s="42"/>
      <c r="BK28" s="42"/>
      <c r="BL28" s="42"/>
      <c r="BM28" s="42"/>
      <c r="BN28" s="42"/>
      <c r="BO28" s="42"/>
      <c r="BP28" s="42"/>
      <c r="BQ28" s="42"/>
      <c r="BR28" s="42"/>
      <c r="BS28" s="42"/>
      <c r="BT28" s="42"/>
      <c r="BU28" s="42"/>
      <c r="BV28" s="42"/>
      <c r="BW28" s="42"/>
      <c r="BX28" s="42"/>
      <c r="BY28" s="42"/>
      <c r="BZ28" s="42"/>
      <c r="CA28" s="42"/>
      <c r="CB28" s="42"/>
      <c r="CC28" s="42"/>
      <c r="CD28" s="42"/>
    </row>
    <row r="29" spans="1:82" x14ac:dyDescent="0.4">
      <c r="A29" s="42"/>
      <c r="B29" s="42"/>
      <c r="C29" s="42"/>
      <c r="D29" s="42"/>
      <c r="E29" s="42"/>
      <c r="F29" s="42"/>
      <c r="AI29" s="42"/>
      <c r="AJ29" s="42"/>
      <c r="AK29" s="42"/>
      <c r="AL29" s="42"/>
      <c r="AM29" s="42"/>
      <c r="AN29" s="42"/>
      <c r="AO29" s="42"/>
      <c r="AP29" s="42"/>
      <c r="AQ29" s="42"/>
      <c r="AR29" s="42"/>
      <c r="AS29" s="42"/>
      <c r="AT29" s="42"/>
      <c r="AU29" s="42"/>
      <c r="AV29" s="42"/>
      <c r="AW29" s="42"/>
      <c r="AX29" s="42"/>
      <c r="AY29" s="42"/>
      <c r="AZ29" s="42"/>
      <c r="BA29" s="42"/>
      <c r="BB29" s="42"/>
      <c r="BC29" s="42"/>
      <c r="BD29" s="42"/>
      <c r="BE29" s="42"/>
      <c r="BF29" s="42"/>
      <c r="BG29" s="42"/>
      <c r="BH29" s="42"/>
      <c r="BI29" s="42"/>
      <c r="BJ29" s="42"/>
      <c r="BK29" s="42"/>
      <c r="BL29" s="42"/>
      <c r="BM29" s="42"/>
      <c r="BN29" s="42"/>
      <c r="BO29" s="42"/>
      <c r="BP29" s="42"/>
      <c r="BQ29" s="42"/>
      <c r="BR29" s="42"/>
      <c r="BS29" s="42"/>
      <c r="BT29" s="42"/>
      <c r="BU29" s="42"/>
      <c r="BV29" s="42"/>
      <c r="BW29" s="42"/>
      <c r="BX29" s="42"/>
      <c r="BY29" s="42"/>
      <c r="BZ29" s="42"/>
      <c r="CA29" s="42"/>
      <c r="CB29" s="42"/>
      <c r="CC29" s="42"/>
      <c r="CD29" s="42"/>
    </row>
    <row r="30" spans="1:82" x14ac:dyDescent="0.4">
      <c r="A30" s="42"/>
      <c r="B30" s="42"/>
      <c r="C30" s="42"/>
      <c r="D30" s="42"/>
      <c r="E30" s="42"/>
      <c r="F30" s="42"/>
      <c r="AI30" s="42"/>
      <c r="AJ30" s="42"/>
      <c r="AK30" s="42"/>
      <c r="AL30" s="42"/>
      <c r="AM30" s="42"/>
      <c r="AN30" s="42"/>
      <c r="AO30" s="42"/>
      <c r="AP30" s="42"/>
      <c r="AQ30" s="42"/>
      <c r="AR30" s="42"/>
      <c r="AS30" s="42"/>
      <c r="AT30" s="42"/>
      <c r="AU30" s="42"/>
      <c r="AV30" s="42"/>
      <c r="AW30" s="42"/>
      <c r="AX30" s="42"/>
      <c r="AY30" s="42"/>
      <c r="AZ30" s="42"/>
      <c r="BA30" s="42"/>
      <c r="BB30" s="42"/>
      <c r="BC30" s="42"/>
      <c r="BD30" s="42"/>
      <c r="BE30" s="42"/>
      <c r="BF30" s="42"/>
      <c r="BG30" s="42"/>
      <c r="BH30" s="42"/>
      <c r="BI30" s="42"/>
      <c r="BJ30" s="42"/>
      <c r="BK30" s="42"/>
      <c r="BL30" s="42"/>
      <c r="BM30" s="42"/>
      <c r="BN30" s="42"/>
      <c r="BO30" s="42"/>
      <c r="BP30" s="42"/>
      <c r="BQ30" s="42"/>
      <c r="BR30" s="42"/>
      <c r="BS30" s="42"/>
      <c r="BT30" s="42"/>
      <c r="BU30" s="42"/>
      <c r="BV30" s="42"/>
      <c r="BW30" s="42"/>
      <c r="BX30" s="42"/>
      <c r="BY30" s="42"/>
      <c r="BZ30" s="42"/>
      <c r="CA30" s="42"/>
      <c r="CB30" s="42"/>
      <c r="CC30" s="42"/>
      <c r="CD30" s="42"/>
    </row>
    <row r="31" spans="1:82" x14ac:dyDescent="0.4">
      <c r="A31" s="42"/>
      <c r="B31" s="42"/>
      <c r="C31" s="42"/>
      <c r="D31" s="42"/>
      <c r="E31" s="42"/>
      <c r="F31" s="42"/>
      <c r="AI31" s="42"/>
      <c r="AJ31" s="42"/>
      <c r="AK31" s="42"/>
      <c r="AL31" s="42"/>
      <c r="AM31" s="42"/>
      <c r="AN31" s="42"/>
      <c r="AO31" s="42"/>
      <c r="AP31" s="42"/>
      <c r="AQ31" s="42"/>
      <c r="AR31" s="42"/>
      <c r="AS31" s="42"/>
      <c r="AT31" s="42"/>
      <c r="AU31" s="42"/>
      <c r="AV31" s="42"/>
      <c r="AW31" s="42"/>
      <c r="AX31" s="42"/>
      <c r="AY31" s="42"/>
      <c r="AZ31" s="42"/>
      <c r="BA31" s="42"/>
      <c r="BB31" s="42"/>
      <c r="BC31" s="42"/>
      <c r="BD31" s="42"/>
      <c r="BE31" s="42"/>
      <c r="BF31" s="42"/>
      <c r="BG31" s="42"/>
      <c r="BH31" s="42"/>
      <c r="BI31" s="42"/>
      <c r="BJ31" s="42"/>
      <c r="BK31" s="42"/>
      <c r="BL31" s="42"/>
      <c r="BM31" s="42"/>
      <c r="BN31" s="42"/>
      <c r="BO31" s="42"/>
      <c r="BP31" s="42"/>
      <c r="BQ31" s="42"/>
      <c r="BR31" s="42"/>
      <c r="BS31" s="42"/>
      <c r="BT31" s="42"/>
      <c r="BU31" s="42"/>
      <c r="BV31" s="42"/>
      <c r="BW31" s="42"/>
      <c r="BX31" s="42"/>
      <c r="BY31" s="42"/>
      <c r="BZ31" s="42"/>
      <c r="CA31" s="42"/>
      <c r="CB31" s="42"/>
      <c r="CC31" s="42"/>
      <c r="CD31" s="42"/>
    </row>
    <row r="32" spans="1:82" x14ac:dyDescent="0.4">
      <c r="A32" s="42"/>
      <c r="B32" s="42"/>
      <c r="C32" s="42"/>
      <c r="D32" s="42"/>
      <c r="E32" s="42"/>
      <c r="F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c r="BJ32" s="42"/>
      <c r="BK32" s="42"/>
      <c r="BL32" s="42"/>
      <c r="BM32" s="42"/>
      <c r="BN32" s="42"/>
      <c r="BO32" s="42"/>
      <c r="BP32" s="42"/>
      <c r="BQ32" s="42"/>
      <c r="BR32" s="42"/>
      <c r="BS32" s="42"/>
      <c r="BT32" s="42"/>
      <c r="BU32" s="42"/>
      <c r="BV32" s="42"/>
      <c r="BW32" s="42"/>
      <c r="BX32" s="42"/>
      <c r="BY32" s="42"/>
      <c r="BZ32" s="42"/>
      <c r="CA32" s="42"/>
      <c r="CB32" s="42"/>
      <c r="CC32" s="42"/>
      <c r="CD32" s="42"/>
    </row>
    <row r="33" spans="1:82" x14ac:dyDescent="0.4">
      <c r="A33" s="42"/>
      <c r="B33" s="42"/>
      <c r="C33" s="42"/>
      <c r="D33" s="42"/>
      <c r="E33" s="42"/>
      <c r="F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c r="BJ33" s="42"/>
      <c r="BK33" s="42"/>
      <c r="BL33" s="42"/>
      <c r="BM33" s="42"/>
      <c r="BN33" s="42"/>
      <c r="BO33" s="42"/>
      <c r="BP33" s="42"/>
      <c r="BQ33" s="42"/>
      <c r="BR33" s="42"/>
      <c r="BS33" s="42"/>
      <c r="BT33" s="42"/>
      <c r="BU33" s="42"/>
      <c r="BV33" s="42"/>
      <c r="BW33" s="42"/>
      <c r="BX33" s="42"/>
      <c r="BY33" s="42"/>
      <c r="BZ33" s="42"/>
      <c r="CA33" s="42"/>
      <c r="CB33" s="42"/>
      <c r="CC33" s="42"/>
      <c r="CD33" s="42"/>
    </row>
    <row r="34" spans="1:82" x14ac:dyDescent="0.4">
      <c r="A34" s="42"/>
      <c r="B34" s="42"/>
      <c r="C34" s="42"/>
      <c r="D34" s="42"/>
      <c r="E34" s="42"/>
      <c r="F34" s="42"/>
      <c r="AI34" s="42"/>
      <c r="AJ34" s="42"/>
      <c r="AK34" s="42"/>
      <c r="AL34" s="42"/>
      <c r="AM34" s="42"/>
      <c r="AN34" s="42"/>
      <c r="AO34" s="42"/>
      <c r="AP34" s="42"/>
      <c r="AQ34" s="42"/>
      <c r="AR34" s="42"/>
      <c r="AS34" s="42"/>
      <c r="AT34" s="42"/>
      <c r="AU34" s="42"/>
      <c r="AV34" s="42"/>
      <c r="AW34" s="42"/>
      <c r="AX34" s="42"/>
      <c r="AY34" s="42"/>
      <c r="AZ34" s="42"/>
      <c r="BA34" s="42"/>
      <c r="BB34" s="42"/>
      <c r="BC34" s="42"/>
      <c r="BD34" s="42"/>
      <c r="BE34" s="42"/>
      <c r="BF34" s="42"/>
      <c r="BG34" s="42"/>
      <c r="BH34" s="42"/>
      <c r="BI34" s="42"/>
      <c r="BJ34" s="42"/>
      <c r="BK34" s="42"/>
      <c r="BL34" s="42"/>
      <c r="BM34" s="42"/>
      <c r="BN34" s="42"/>
      <c r="BO34" s="42"/>
      <c r="BP34" s="42"/>
      <c r="BQ34" s="42"/>
      <c r="BR34" s="42"/>
      <c r="BS34" s="42"/>
      <c r="BT34" s="42"/>
      <c r="BU34" s="42"/>
      <c r="BV34" s="42"/>
      <c r="BW34" s="42"/>
      <c r="BX34" s="42"/>
      <c r="BY34" s="42"/>
      <c r="BZ34" s="42"/>
      <c r="CA34" s="42"/>
      <c r="CB34" s="42"/>
      <c r="CC34" s="42"/>
      <c r="CD34" s="42"/>
    </row>
    <row r="35" spans="1:82" x14ac:dyDescent="0.4">
      <c r="A35" s="42"/>
      <c r="B35" s="42"/>
      <c r="C35" s="42"/>
      <c r="D35" s="42"/>
      <c r="E35" s="42"/>
      <c r="F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c r="BX35" s="42"/>
      <c r="BY35" s="42"/>
      <c r="BZ35" s="42"/>
      <c r="CA35" s="42"/>
      <c r="CB35" s="42"/>
      <c r="CC35" s="42"/>
      <c r="CD35" s="42"/>
    </row>
    <row r="36" spans="1:82" x14ac:dyDescent="0.4">
      <c r="A36" s="42"/>
      <c r="B36" s="42"/>
      <c r="C36" s="42"/>
      <c r="D36" s="42"/>
      <c r="E36" s="42"/>
      <c r="F36" s="42"/>
      <c r="AI36" s="42"/>
      <c r="AJ36" s="42"/>
      <c r="AK36" s="42"/>
      <c r="AL36" s="42"/>
      <c r="AM36" s="42"/>
      <c r="AN36" s="42"/>
      <c r="AO36" s="42"/>
      <c r="AP36" s="42"/>
      <c r="AQ36" s="42"/>
      <c r="AR36" s="42"/>
      <c r="AS36" s="42"/>
      <c r="AT36" s="42"/>
      <c r="AU36" s="42"/>
      <c r="AV36" s="42"/>
      <c r="AW36" s="42"/>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c r="BX36" s="42"/>
      <c r="BY36" s="42"/>
      <c r="BZ36" s="42"/>
      <c r="CA36" s="42"/>
      <c r="CB36" s="42"/>
      <c r="CC36" s="42"/>
      <c r="CD36" s="42"/>
    </row>
    <row r="37" spans="1:82" x14ac:dyDescent="0.4">
      <c r="A37" s="42"/>
      <c r="B37" s="42"/>
      <c r="C37" s="42"/>
      <c r="D37" s="42"/>
      <c r="E37" s="42"/>
      <c r="F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c r="BX37" s="42"/>
      <c r="BY37" s="42"/>
      <c r="BZ37" s="42"/>
      <c r="CA37" s="42"/>
      <c r="CB37" s="42"/>
      <c r="CC37" s="42"/>
      <c r="CD37" s="42"/>
    </row>
    <row r="38" spans="1:82" x14ac:dyDescent="0.4">
      <c r="A38" s="42"/>
      <c r="B38" s="42"/>
      <c r="C38" s="42"/>
      <c r="D38" s="42"/>
      <c r="E38" s="42"/>
      <c r="F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c r="BX38" s="42"/>
      <c r="BY38" s="42"/>
      <c r="BZ38" s="42"/>
      <c r="CA38" s="42"/>
      <c r="CB38" s="42"/>
      <c r="CC38" s="42"/>
      <c r="CD38" s="42"/>
    </row>
  </sheetData>
  <sheetProtection autoFilter="0"/>
  <autoFilter ref="H6:V6" xr:uid="{A5DF8368-E06E-4DEE-BD48-61FF9E8E4959}"/>
  <mergeCells count="6">
    <mergeCell ref="A3:J3"/>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134" r:id="rId8" name="ReportSubmitControl_1tb1">
          <controlPr defaultSize="0" autoLine="0" autoPict="0" r:id="rId9">
            <anchor moveWithCells="1" sizeWithCells="1">
              <from>
                <xdr:col>0</xdr:col>
                <xdr:colOff>0</xdr:colOff>
                <xdr:row>0</xdr:row>
                <xdr:rowOff>0</xdr:rowOff>
              </from>
              <to>
                <xdr:col>6</xdr:col>
                <xdr:colOff>97971</xdr:colOff>
                <xdr:row>0</xdr:row>
                <xdr:rowOff>0</xdr:rowOff>
              </to>
            </anchor>
          </controlPr>
        </control>
      </mc:Choice>
      <mc:Fallback>
        <control shapeId="3134" r:id="rId8" name="ReportSubmitControl_1tb1"/>
      </mc:Fallback>
    </mc:AlternateContent>
    <mc:AlternateContent xmlns:mc="http://schemas.openxmlformats.org/markup-compatibility/2006">
      <mc:Choice Requires="x14">
        <control shapeId="3133" r:id="rId10" name="ReportSubmitManagerControltb1">
          <controlPr defaultSize="0" autoLine="0" autoPict="0" r:id="rId11">
            <anchor moveWithCells="1" sizeWithCells="1">
              <from>
                <xdr:col>0</xdr:col>
                <xdr:colOff>0</xdr:colOff>
                <xdr:row>0</xdr:row>
                <xdr:rowOff>0</xdr:rowOff>
              </from>
              <to>
                <xdr:col>6</xdr:col>
                <xdr:colOff>97971</xdr:colOff>
                <xdr:row>0</xdr:row>
                <xdr:rowOff>0</xdr:rowOff>
              </to>
            </anchor>
          </controlPr>
        </control>
      </mc:Choice>
      <mc:Fallback>
        <control shapeId="3133" r:id="rId10" name="ReportSubmitManagerControltb1"/>
      </mc:Fallback>
    </mc:AlternateContent>
    <mc:AlternateContent xmlns:mc="http://schemas.openxmlformats.org/markup-compatibility/2006">
      <mc:Choice Requires="x14">
        <control shapeId="3132" r:id="rId12" name="MultipleReportManagerInfotb1">
          <controlPr defaultSize="0" autoLine="0" autoPict="0" r:id="rId13">
            <anchor moveWithCells="1" sizeWithCells="1">
              <from>
                <xdr:col>0</xdr:col>
                <xdr:colOff>0</xdr:colOff>
                <xdr:row>0</xdr:row>
                <xdr:rowOff>0</xdr:rowOff>
              </from>
              <to>
                <xdr:col>6</xdr:col>
                <xdr:colOff>97971</xdr:colOff>
                <xdr:row>0</xdr:row>
                <xdr:rowOff>0</xdr:rowOff>
              </to>
            </anchor>
          </controlPr>
        </control>
      </mc:Choice>
      <mc:Fallback>
        <control shapeId="3132" r:id="rId12" name="MultipleReportManagerInfotb1"/>
      </mc:Fallback>
    </mc:AlternateContent>
    <mc:AlternateContent xmlns:mc="http://schemas.openxmlformats.org/markup-compatibility/2006">
      <mc:Choice Requires="x14">
        <control shapeId="3131" r:id="rId14" name="ConnectionDescriptorsInfotb1">
          <controlPr defaultSize="0" autoLine="0" autoPict="0" r:id="rId15">
            <anchor moveWithCells="1" sizeWithCells="1">
              <from>
                <xdr:col>0</xdr:col>
                <xdr:colOff>0</xdr:colOff>
                <xdr:row>0</xdr:row>
                <xdr:rowOff>0</xdr:rowOff>
              </from>
              <to>
                <xdr:col>6</xdr:col>
                <xdr:colOff>97971</xdr:colOff>
                <xdr:row>0</xdr:row>
                <xdr:rowOff>0</xdr:rowOff>
              </to>
            </anchor>
          </controlPr>
        </control>
      </mc:Choice>
      <mc:Fallback>
        <control shapeId="3131" r:id="rId14" name="ConnectionDescriptorsInfotb1"/>
      </mc:Fallback>
    </mc:AlternateContent>
    <mc:AlternateContent xmlns:mc="http://schemas.openxmlformats.org/markup-compatibility/2006">
      <mc:Choice Requires="x14">
        <control shapeId="3130" r:id="rId16" name="AnalyzerDynReport000tb1">
          <controlPr defaultSize="0" autoLine="0" autoPict="0" r:id="rId17">
            <anchor moveWithCells="1" sizeWithCells="1">
              <from>
                <xdr:col>0</xdr:col>
                <xdr:colOff>0</xdr:colOff>
                <xdr:row>0</xdr:row>
                <xdr:rowOff>0</xdr:rowOff>
              </from>
              <to>
                <xdr:col>6</xdr:col>
                <xdr:colOff>97971</xdr:colOff>
                <xdr:row>0</xdr:row>
                <xdr:rowOff>0</xdr:rowOff>
              </to>
            </anchor>
          </controlPr>
        </control>
      </mc:Choice>
      <mc:Fallback>
        <control shapeId="3130" r:id="rId16" name="AnalyzerDynReport000tb1"/>
      </mc:Fallback>
    </mc:AlternateContent>
    <mc:AlternateContent xmlns:mc="http://schemas.openxmlformats.org/markup-compatibility/2006">
      <mc:Choice Requires="x14">
        <control shapeId="3119" r:id="rId18" name="TextBox2">
          <controlPr defaultSize="0" disabled="1" autoLine="0" r:id="rId19">
            <anchor>
              <from>
                <xdr:col>8</xdr:col>
                <xdr:colOff>631371</xdr:colOff>
                <xdr:row>2</xdr:row>
                <xdr:rowOff>152400</xdr:rowOff>
              </from>
              <to>
                <xdr:col>8</xdr:col>
                <xdr:colOff>636814</xdr:colOff>
                <xdr:row>2</xdr:row>
                <xdr:rowOff>157843</xdr:rowOff>
              </to>
            </anchor>
          </controlPr>
        </control>
      </mc:Choice>
      <mc:Fallback>
        <control shapeId="3119" r:id="rId18" name="TextBox2"/>
      </mc:Fallback>
    </mc:AlternateContent>
    <mc:AlternateContent xmlns:mc="http://schemas.openxmlformats.org/markup-compatibility/2006">
      <mc:Choice Requires="x14">
        <control shapeId="3115" r:id="rId20" name="TextBox1">
          <controlPr defaultSize="0" disabled="1" autoLine="0" r:id="rId21">
            <anchor>
              <from>
                <xdr:col>0</xdr:col>
                <xdr:colOff>38100</xdr:colOff>
                <xdr:row>2</xdr:row>
                <xdr:rowOff>152400</xdr:rowOff>
              </from>
              <to>
                <xdr:col>0</xdr:col>
                <xdr:colOff>43543</xdr:colOff>
                <xdr:row>2</xdr:row>
                <xdr:rowOff>157843</xdr:rowOff>
              </to>
            </anchor>
          </controlPr>
        </control>
      </mc:Choice>
      <mc:Fallback>
        <control shapeId="3115" r:id="rId20" name="TextBox1"/>
      </mc:Fallback>
    </mc:AlternateContent>
    <mc:AlternateContent xmlns:mc="http://schemas.openxmlformats.org/markup-compatibility/2006">
      <mc:Choice Requires="x14">
        <control shapeId="3093" r:id="rId22" name="FPMExcelClientSheetOptionstb1">
          <controlPr defaultSize="0" autoLine="0" r:id="rId23">
            <anchor moveWithCells="1" sizeWithCells="1">
              <from>
                <xdr:col>0</xdr:col>
                <xdr:colOff>0</xdr:colOff>
                <xdr:row>0</xdr:row>
                <xdr:rowOff>0</xdr:rowOff>
              </from>
              <to>
                <xdr:col>0</xdr:col>
                <xdr:colOff>0</xdr:colOff>
                <xdr:row>0</xdr:row>
                <xdr:rowOff>0</xdr:rowOff>
              </to>
            </anchor>
          </controlPr>
        </control>
      </mc:Choice>
      <mc:Fallback>
        <control shapeId="3093" r:id="rId22" name="FPMExcelClientSheetOptionstb1"/>
      </mc:Fallback>
    </mc:AlternateContent>
    <mc:AlternateContent xmlns:mc="http://schemas.openxmlformats.org/markup-compatibility/2006">
      <mc:Choice Requires="x14">
        <control shapeId="3135" r:id="rId24" name="ConnectionDescriptorsInfoHCtb1">
          <controlPr defaultSize="0" autoLine="0" r:id="rId25">
            <anchor moveWithCells="1">
              <from>
                <xdr:col>10</xdr:col>
                <xdr:colOff>0</xdr:colOff>
                <xdr:row>6</xdr:row>
                <xdr:rowOff>0</xdr:rowOff>
              </from>
              <to>
                <xdr:col>11</xdr:col>
                <xdr:colOff>310243</xdr:colOff>
                <xdr:row>6</xdr:row>
                <xdr:rowOff>5443</xdr:rowOff>
              </to>
            </anchor>
          </controlPr>
        </control>
      </mc:Choice>
      <mc:Fallback>
        <control shapeId="3135" r:id="rId24" name="ConnectionDescriptorsInfoHCtb1"/>
      </mc:Fallback>
    </mc:AlternateContent>
    <mc:AlternateContent xmlns:mc="http://schemas.openxmlformats.org/markup-compatibility/2006">
      <mc:Choice Requires="x14">
        <control shapeId="3136" r:id="rId26" name="ConnectionDescriptorsInfoDCtb1">
          <controlPr defaultSize="0" autoLine="0" r:id="rId27">
            <anchor moveWithCells="1">
              <from>
                <xdr:col>10</xdr:col>
                <xdr:colOff>0</xdr:colOff>
                <xdr:row>6</xdr:row>
                <xdr:rowOff>0</xdr:rowOff>
              </from>
              <to>
                <xdr:col>11</xdr:col>
                <xdr:colOff>310243</xdr:colOff>
                <xdr:row>6</xdr:row>
                <xdr:rowOff>5443</xdr:rowOff>
              </to>
            </anchor>
          </controlPr>
        </control>
      </mc:Choice>
      <mc:Fallback>
        <control shapeId="3136" r:id="rId26" name="ConnectionDescriptorsInfoDCtb1"/>
      </mc:Fallback>
    </mc:AlternateContent>
    <mc:AlternateContent xmlns:mc="http://schemas.openxmlformats.org/markup-compatibility/2006">
      <mc:Choice Requires="x14">
        <control shapeId="3137" r:id="rId28" name="MultipleReportManagerInfoHCtb1">
          <controlPr defaultSize="0" autoLine="0" r:id="rId29">
            <anchor moveWithCells="1">
              <from>
                <xdr:col>10</xdr:col>
                <xdr:colOff>0</xdr:colOff>
                <xdr:row>6</xdr:row>
                <xdr:rowOff>0</xdr:rowOff>
              </from>
              <to>
                <xdr:col>11</xdr:col>
                <xdr:colOff>310243</xdr:colOff>
                <xdr:row>6</xdr:row>
                <xdr:rowOff>5443</xdr:rowOff>
              </to>
            </anchor>
          </controlPr>
        </control>
      </mc:Choice>
      <mc:Fallback>
        <control shapeId="3137" r:id="rId28" name="MultipleReportManagerInfoHCtb1"/>
      </mc:Fallback>
    </mc:AlternateContent>
    <mc:AlternateContent xmlns:mc="http://schemas.openxmlformats.org/markup-compatibility/2006">
      <mc:Choice Requires="x14">
        <control shapeId="3138" r:id="rId30" name="MultipleReportManagerInfoDCtb1">
          <controlPr defaultSize="0" autoLine="0" r:id="rId31">
            <anchor moveWithCells="1">
              <from>
                <xdr:col>10</xdr:col>
                <xdr:colOff>0</xdr:colOff>
                <xdr:row>6</xdr:row>
                <xdr:rowOff>0</xdr:rowOff>
              </from>
              <to>
                <xdr:col>11</xdr:col>
                <xdr:colOff>310243</xdr:colOff>
                <xdr:row>6</xdr:row>
                <xdr:rowOff>5443</xdr:rowOff>
              </to>
            </anchor>
          </controlPr>
        </control>
      </mc:Choice>
      <mc:Fallback>
        <control shapeId="3138" r:id="rId30" name="MultipleReportManagerInfoDCtb1"/>
      </mc:Fallback>
    </mc:AlternateContent>
    <mc:AlternateContent xmlns:mc="http://schemas.openxmlformats.org/markup-compatibility/2006">
      <mc:Choice Requires="x14">
        <control shapeId="3139" r:id="rId32" name="ReportSubmitManagerControlHCtb1">
          <controlPr defaultSize="0" autoLine="0" r:id="rId33">
            <anchor moveWithCells="1">
              <from>
                <xdr:col>10</xdr:col>
                <xdr:colOff>0</xdr:colOff>
                <xdr:row>6</xdr:row>
                <xdr:rowOff>0</xdr:rowOff>
              </from>
              <to>
                <xdr:col>11</xdr:col>
                <xdr:colOff>310243</xdr:colOff>
                <xdr:row>6</xdr:row>
                <xdr:rowOff>5443</xdr:rowOff>
              </to>
            </anchor>
          </controlPr>
        </control>
      </mc:Choice>
      <mc:Fallback>
        <control shapeId="3139" r:id="rId32" name="ReportSubmitManagerControlHCtb1"/>
      </mc:Fallback>
    </mc:AlternateContent>
    <mc:AlternateContent xmlns:mc="http://schemas.openxmlformats.org/markup-compatibility/2006">
      <mc:Choice Requires="x14">
        <control shapeId="3140" r:id="rId34" name="ReportSubmitManagerControlDCtb1">
          <controlPr defaultSize="0" autoLine="0" r:id="rId35">
            <anchor moveWithCells="1">
              <from>
                <xdr:col>10</xdr:col>
                <xdr:colOff>0</xdr:colOff>
                <xdr:row>6</xdr:row>
                <xdr:rowOff>0</xdr:rowOff>
              </from>
              <to>
                <xdr:col>11</xdr:col>
                <xdr:colOff>310243</xdr:colOff>
                <xdr:row>6</xdr:row>
                <xdr:rowOff>5443</xdr:rowOff>
              </to>
            </anchor>
          </controlPr>
        </control>
      </mc:Choice>
      <mc:Fallback>
        <control shapeId="3140" r:id="rId34" name="ReportSubmitManagerControlDCtb1"/>
      </mc:Fallback>
    </mc:AlternateContent>
    <mc:AlternateContent xmlns:mc="http://schemas.openxmlformats.org/markup-compatibility/2006">
      <mc:Choice Requires="x14">
        <control shapeId="3141" r:id="rId36" name="ReportSubmitControl_1HCtb1">
          <controlPr defaultSize="0" autoLine="0" r:id="rId37">
            <anchor moveWithCells="1">
              <from>
                <xdr:col>10</xdr:col>
                <xdr:colOff>0</xdr:colOff>
                <xdr:row>6</xdr:row>
                <xdr:rowOff>0</xdr:rowOff>
              </from>
              <to>
                <xdr:col>11</xdr:col>
                <xdr:colOff>310243</xdr:colOff>
                <xdr:row>6</xdr:row>
                <xdr:rowOff>5443</xdr:rowOff>
              </to>
            </anchor>
          </controlPr>
        </control>
      </mc:Choice>
      <mc:Fallback>
        <control shapeId="3141" r:id="rId36" name="ReportSubmitControl_1HCtb1"/>
      </mc:Fallback>
    </mc:AlternateContent>
    <mc:AlternateContent xmlns:mc="http://schemas.openxmlformats.org/markup-compatibility/2006">
      <mc:Choice Requires="x14">
        <control shapeId="3142" r:id="rId38" name="ReportSubmitControl_1DCtb1">
          <controlPr defaultSize="0" autoLine="0" r:id="rId39">
            <anchor moveWithCells="1">
              <from>
                <xdr:col>10</xdr:col>
                <xdr:colOff>0</xdr:colOff>
                <xdr:row>6</xdr:row>
                <xdr:rowOff>0</xdr:rowOff>
              </from>
              <to>
                <xdr:col>11</xdr:col>
                <xdr:colOff>310243</xdr:colOff>
                <xdr:row>6</xdr:row>
                <xdr:rowOff>5443</xdr:rowOff>
              </to>
            </anchor>
          </controlPr>
        </control>
      </mc:Choice>
      <mc:Fallback>
        <control shapeId="3142" r:id="rId38" name="ReportSubmitControl_1DCtb1"/>
      </mc:Fallback>
    </mc:AlternateContent>
    <mc:AlternateContent xmlns:mc="http://schemas.openxmlformats.org/markup-compatibility/2006">
      <mc:Choice Requires="x14">
        <control shapeId="3146" r:id="rId40" name="AnalyzerDynReportHC000tb1">
          <controlPr defaultSize="0" autoLine="0" r:id="rId41">
            <anchor moveWithCells="1">
              <from>
                <xdr:col>10</xdr:col>
                <xdr:colOff>0</xdr:colOff>
                <xdr:row>6</xdr:row>
                <xdr:rowOff>0</xdr:rowOff>
              </from>
              <to>
                <xdr:col>11</xdr:col>
                <xdr:colOff>310243</xdr:colOff>
                <xdr:row>6</xdr:row>
                <xdr:rowOff>5443</xdr:rowOff>
              </to>
            </anchor>
          </controlPr>
        </control>
      </mc:Choice>
      <mc:Fallback>
        <control shapeId="3146" r:id="rId40" name="AnalyzerDynReportHC000tb1"/>
      </mc:Fallback>
    </mc:AlternateContent>
    <mc:AlternateContent xmlns:mc="http://schemas.openxmlformats.org/markup-compatibility/2006">
      <mc:Choice Requires="x14">
        <control shapeId="3147" r:id="rId42" name="AnalyzerDynReportDC000tb1">
          <controlPr defaultSize="0" autoLine="0" r:id="rId43">
            <anchor moveWithCells="1">
              <from>
                <xdr:col>10</xdr:col>
                <xdr:colOff>0</xdr:colOff>
                <xdr:row>6</xdr:row>
                <xdr:rowOff>0</xdr:rowOff>
              </from>
              <to>
                <xdr:col>11</xdr:col>
                <xdr:colOff>310243</xdr:colOff>
                <xdr:row>6</xdr:row>
                <xdr:rowOff>5443</xdr:rowOff>
              </to>
            </anchor>
          </controlPr>
        </control>
      </mc:Choice>
      <mc:Fallback>
        <control shapeId="3147" r:id="rId42" name="AnalyzerDynReportDC000tb1"/>
      </mc:Fallback>
    </mc:AlternateContent>
    <mc:AlternateContent xmlns:mc="http://schemas.openxmlformats.org/markup-compatibility/2006">
      <mc:Choice Requires="x14">
        <control shapeId="3574" r:id="rId44" name="SaveData">
          <controlPr defaultSize="0" autoLine="0" r:id="rId45">
            <anchor moveWithCells="1">
              <from>
                <xdr:col>8</xdr:col>
                <xdr:colOff>789214</xdr:colOff>
                <xdr:row>2</xdr:row>
                <xdr:rowOff>114300</xdr:rowOff>
              </from>
              <to>
                <xdr:col>9</xdr:col>
                <xdr:colOff>1208314</xdr:colOff>
                <xdr:row>2</xdr:row>
                <xdr:rowOff>571500</xdr:rowOff>
              </to>
            </anchor>
          </controlPr>
        </control>
      </mc:Choice>
      <mc:Fallback>
        <control shapeId="3574" r:id="rId44" name="SaveData"/>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Save Data</favorite>
  <bookSettings xmlns="">
    <scenarios>
      <value>__BASELINE</value>
    </scenarios>
    <simulations>
      <value>__PLAN</value>
    </simulations>
    <planningUnits>
      <planningVersion>__BASELINE</planningVersion>
      <planningScenario>__PLAN</planningScenario>
      <timeRelativeFromDays>0</timeRelativeFromDays>
      <timeRelativeToDays>676</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DEMANDPLANNINGQTY</value>
        <value>FINALCONSENSUSDEMAND</value>
        <value>ADJDELIVQTY</value>
        <value>ACTUALSREV</value>
        <value>CONFQTY</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value>CUSTID</value>
      </dimsDispOptnId>
      <dimsDispOptnBoth/>
      <dimsTmpltFltrMandatory/>
      <dimsTmpltFltrOptional>
        <value>PRDID</value>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HT_001</value>
          </values>
          <relations/>
        </condition>
        <condition>
          <dimension>LOCID</dimension>
          <operator>EQ</operator>
          <values>
            <value>HD_DC_CA_E</value>
          </values>
          <relations/>
        </condition>
      </conditions>
    </filter>
    <fixingInfos>AAEAAAD/////AQAAAAAAAAAMAgAAAFdGUE1YTENsaWVudC5CUENQcm94eSwgVmVyc2lvbj0yLjAuMC4xLCBDdWx0dXJlPW5ldXRyYWwsIFB1YmxpY0tleVRva2VuPTY5MmZiZWE1NTIxZTEzMDQEAQAAALQBU3lzdGVtLkNvbGxlY3Rpb25zLkdlbmVyaWMuTGlzdGAxW1tJQlBYTENsaWVudC5CUENQcm94eS5JQlAuUHJveHlDbGFzc2VzLlR1bm5lbEZpeGluZ0luZm8sIEZQTVhMQ2xpZW50LkJQQ1Byb3h5LCBWZXJzaW9uPTIuMC4wLjEsIEN1bHR1cmU9bmV1dHJhbCwgUHVibGljS2V5VG9rZW49NjkyZmJlYTU1MjFlMTMwNF1dAwAAAAZfaXRlbXMFX3NpemUIX3ZlcnNpb24EAAA4SUJQWExDbGllbnQuQlBDUHJveHkuSUJQLlByb3h5Q2xhc3Nlcy5UdW5uZWxGaXhpbmdJbmZvW10CAAAACAgJAwAAAAgAAAAIAAAABwMAAAAAAQAAAAgAAAAENklCUFhMQ2xpZW50LkJQQ1Byb3h5LklCUC5Qcm94eUNsYXNzZXMuVHVubmVsRml4aW5nSW5mbwIAAAAJBAAAAAkFAAAACQYAAAAJBwAAAAkIAAAACQkAAAAJCgAAAAkLAAAABQQAAAA2SUJQWExDbGllbnQuQlBDUHJveHkuSUJQLlByb3h5Q2xhc3Nlcy5UdW5uZWxGaXhpbmdJbmZvAwAAAAhFUE1UdXBsZRJPbGRGaXhpbmdJbmRpY2F0b3IWQ3VycmVudEZpeGluZ0luZGljYXRvcgMBAX9TeXN0ZW0uQ29sbGVjdGlvbnMuR2VuZXJpYy5MaXN0YDFbW1N5c3RlbS5TdHJpbmcsIG1zY29ybGliLCBWZXJzaW9uPTQuMC4wLjAsIEN1bHR1cmU9bmV1dHJhbCwgUHVibGljS2V5VG9rZW49Yjc3YTVjNTYxOTM0ZTA4OV1dAgAAAAkMAAAABg0AAAABMQkNAAAAAQUAAAAEAAAACQ4AAAAGDwAAAAEyCQ8AAAABBgAAAAQAAAAJEAAAAAYRAAAAATIJEQAAAAEHAAAABAAAAAkSAAAABhMAAAABMgkTAAAAAQgAAAAEAAAACRQAAAAGFQAAAAEyCRUAAAABCQAAAAQAAAAJFgAAAAYXAAAAATEJFwAAAAEKAAAABAAAAAkYAAAABhkAAAABMQkZAAAAAQsAAAAEAAAACRoAAAAGGwAAAAExCRsAAAAEDAAAAH9TeXN0ZW0uQ29sbGVjdGlvbnMuR2VuZXJpYy5MaXN0YDFbW1N5c3RlbS5TdHJpbmcsIG1zY29ybGliLCBWZXJzaW9uPTQuMC4wLjAsIEN1bHR1cmU9bmV1dHJhbCwgUHVibGljS2V5VG9rZW49Yjc3YTVjNTYxOTM0ZTA4OV1dAwAAAAZfaXRlbXMFX3NpemUIX3ZlcnNpb24GAAAICAkcAAAABAAAAAQAAAABDgAAAAwAAAAJHQAAAAQAAAAEAAAAARAAAAAMAAAACR4AAAAEAAAABAAAAAESAAAADAAAAAkfAAAABAAAAAQAAAABFAAAAAwAAAAJIAAAAAQAAAAEAAAAARYAAAAMAAAACSEAAAAEAAAABAAAAAEYAAAADAAAAAkiAAAABAAAAAQAAAABGgAAAAwAAAAJIwAAAAQAAAAEAAAAERwAAAAEAAAABiQAAAAWW1BFUklPRElEM10uW10uWzcwNjE0XQYlAAAAE1tQUkRJRF0uW10uW0hUXzAwMV0GJgAAABdbTE9DSURdLltdLltIRF9EQ19DQV9FXQYnAAAAIltLRVlfRklHVVJFU10uW10uW0NPTlNFTlNVU0RFTUFORF0RHQAAAAQAAAAGKAAAABZbUEVSSU9ESUQzXS5bXS5bNzA2MTddBikAAAATW1BSRElEXS5bXS5bSFRfMDAxXQYqAAAAF1tMT0NJRF0uW10uW0hEX0RDX0NBX0VdBisAAAAiW0tFWV9GSUdVUkVTXS5bXS5bQ09OU0VOU1VTREVNQU5EXREeAAAABAAAAAYsAAAAFltQRVJJT0RJRDNdLltdLls3MDYxOF0GLQAAABNbUFJESURdLltdLltIVF8wMDFdBi4AAAAXW0xPQ0lEXS5bXS5bSERfRENfQ0FfRV0GLwAAACJbS0VZX0ZJR1VSRVNdLltdLltDT05TRU5TVVNERU1BTkRdER8AAAAEAAAABjAAAAAWW1BFUklPRElEM10uW10uWzcwNjE5XQYxAAAAE1tQUkRJRF0uW10uW0hUXzAwMV0GMgAAABdbTE9DSURdLltdLltIRF9EQ19DQV9FXQYzAAAAIltLRVlfRklHVVJFU10uW10uW0NPTlNFTlNVU0RFTUFORF0RIAAAAAQAAAAGNAAAABZbUEVSSU9ESUQzXS5bXS5bNzA2MjBdBjUAAAATW1BSRElEXS5bXS5bSFRfMDAxXQY2AAAAF1tMT0NJRF0uW10uW0hEX0RDX0NBX0VdBjcAAAAiW0tFWV9GSUdVUkVTXS5bXS5bQ09OU0VOU1VTREVNQU5EXREhAAAABAAAAAY4AAAAFltQRVJJT0RJRDNdLltdLls3MDYyMV0GOQAAABNbUFJESURdLltdLltIVF8wMDFdBjoAAAAXW0xPQ0lEXS5bXS5bSERfRENfQ0FfRV0GOwAAACJbS0VZX0ZJR1VSRVNdLltdLltDT05TRU5TVVNERU1BTkRdESIAAAAEAAAABjwAAAAWW1BFUklPRElEM10uW10uWzcwNjIyXQY9AAAAE1tQUkRJRF0uW10uW0hUXzAwMV0GPgAAABdbTE9DSURdLltdLltIRF9EQ19DQV9FXQY/AAAAIltLRVlfRklHVVJFU10uW10uW0NPTlNFTlNVU0RFTUFORF0RIwAAAAQAAAAGQAAAABZbUEVSSU9ESUQzXS5bXS5bNzA2MjNdBkEAAAATW1BSRElEXS5bXS5bSFRfMDAxXQZCAAAAF1tMT0NJRF0uW10uW0hEX0RDX0NBX0VdBkMAAAAiW0tFWV9GSUdVUkVTXS5bXS5bQ09OU0VOU1VTREVNQU5EXQs=</fixingInfos>
    <fixingInfosDCS>H4sIAAAAAAAACuyZbU/bMBSFz0+p+E5TCqIDdUWQBIZoKYIhbUIIob5AJRqqBrayH7/tuW7YotJBGf0AworsOPa99xxf+8jF/PpZ1YZG6utKBX1TR0Ol6ulaiT5qQUsqqsS7wEiiFv1tRhNduNFb3airRaxW+dpQTVVtEmGoc92pydhnbBKeDvG38Rxl3rvUXaIVMuwE1HXGLOolUW804Dvg+e6eImWZ+prYF/SWYVUCN9AXNVTXEdwuQemDvOgwUmKcO84dx/8vzkOMNOedgtLmbd4234SWzafFexJ/hVZJFepdbekALnWFoPRctszeekPKEM8ROSlmlsVcn3kYbopXCjfL4lN5M5sQG8v1GGvSytap5eZhnGvkqgrP5/lUFcOz4dgMYNKZWK82azIg8tMZ7bvINuOU0nW5sez2/+RymdYS74C1tF3Yw9My+cPxGe/IILe77jN1z2Hdrfgwm01NJzCPdci8moqoI+xOQT3J6gpYq/it8G2Z+VecxxEOs9j5yJ/I11m2P/8/dh3e4ZTYEbEjRs4om9TxCzD28P5KjG1wdnTMbGKyn8cLYbFPX+zqY0pEuwHyvmP2OHLwYP9Yb5NWe8b9OputWc6imPmrquxVNVVVFa+qV6mq8X71qnqbZ9UHryqvKn9WzVlVa15VXlVeVXNVlZ2T/u8q/wvQ31bMV1UvuVHwtxXv/bbC3wFOV1XZq0qv8azyqnq7N+tl1+vPqvehquCZ//er6TcAAAD//w==</fixingInfosDCS>
  </report_Sheet2>
</config>
</file>

<file path=customXml/itemProps1.xml><?xml version="1.0" encoding="utf-8"?>
<ds:datastoreItem xmlns:ds="http://schemas.openxmlformats.org/officeDocument/2006/customXml" ds:itemID="{E97E3841-21A0-425B-9B86-EB41EC260B47}">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2</vt:i4>
      </vt:variant>
    </vt:vector>
  </HeadingPairs>
  <TitlesOfParts>
    <vt:vector size="2" baseType="lpstr">
      <vt:lpstr>IBPFormattingSheet</vt:lpstr>
      <vt:lpstr>Planning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2023-08-16T12:00:03Z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bpWorkbookKeyString_GUID">
    <vt:lpwstr>74140351-ffbe-4f47-8849-520cd7761c0d</vt:lpwstr>
  </property>
</Properties>
</file>