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4_Run Simulations Using VBA Buttons/"/>
    </mc:Choice>
  </mc:AlternateContent>
  <xr:revisionPtr revIDLastSave="16" documentId="8_{46A15138-E7E7-4A16-A902-9C6D525AD32D}" xr6:coauthVersionLast="47" xr6:coauthVersionMax="47" xr10:uidLastSave="{3D07A0BB-0167-4142-A619-11DCD432FD4E}"/>
  <bookViews>
    <workbookView xWindow="-103" yWindow="-103" windowWidth="22149" windowHeight="11949" tabRatio="374" firstSheet="2" activeTab="2" xr2:uid="{00000000-000D-0000-FFFF-FFFF00000000}"/>
  </bookViews>
  <sheets>
    <sheet name="SapIbpChartFeeder" sheetId="6" state="hidden" r:id="rId1"/>
    <sheet name="IBPFormattingSheet" sheetId="8" state="hidden" r:id="rId2"/>
    <sheet name="Planning" sheetId="5" r:id="rId3"/>
  </sheets>
  <definedNames>
    <definedName name="__FPMExcelClient_CellBasedFunctionStatus" localSheetId="2" hidden="1">"2_1_2_2_2_2"</definedName>
    <definedName name="__FPMExcelClient_Connection" localSheetId="2">"{A63CB8EE-6674-452e-ACA5-65D5174D689E}_[https://pt6-001.wdf.sap.corp/sap/sop/sopfnd/services/addin/excel/]_[SOP]_[RBSAP6]_[]_[]_[false]_[True]\1"</definedName>
    <definedName name="_xlnm._FilterDatabase" localSheetId="2" hidden="1">Planning!$H$6:$V$6</definedName>
    <definedName name="_SOP">" "</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IBPFormattingSheet!$D$46</definedName>
    <definedName name="AddMemberFirst_1" localSheetId="1" hidden="1">IBPFormattingSheet!$D$41</definedName>
    <definedName name="AddMemberFirst_2" localSheetId="1" hidden="1">IBPFormattingSheet!$D$44</definedName>
    <definedName name="AddMemberSecond" localSheetId="1" hidden="1">IBPFormattingSheet!$D$85</definedName>
    <definedName name="AddMemberSecond_1" localSheetId="1" hidden="1">IBPFormattingSheet!$D$65</definedName>
    <definedName name="AddMemberSecond_2" localSheetId="1" hidden="1">IBPFormattingSheet!$D$68</definedName>
    <definedName name="AddMemberSecond_3" localSheetId="1" hidden="1">IBPFormattingSheet!$D$71</definedName>
    <definedName name="AddMemberSecond_4" localSheetId="1" hidden="1">IBPFormattingSheet!$D$74</definedName>
    <definedName name="AddMemberSecond_5" localSheetId="1" hidden="1">IBPFormattingSheet!$D$77</definedName>
    <definedName name="AddMemberSecond_6" localSheetId="1" hidden="1">IBPFormattingSheet!$D$80</definedName>
    <definedName name="AddMemberSecond_7" localSheetId="1" hidden="1">IBPFormattingSheet!$D$83</definedName>
    <definedName name="DataFirst" localSheetId="1" hidden="1">IBPFormattingSheet!$E$25:$G$25</definedName>
    <definedName name="DataSecond" localSheetId="1" hidden="1">IBPFormattingSheet!$E$100:$G$100</definedName>
    <definedName name="DataUseFirst" localSheetId="1" hidden="1">IBPFormattingSheet!$H$25</definedName>
    <definedName name="DataUseSecond" localSheetId="1"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1" hidden="1">IBPFormattingSheet!$F$97</definedName>
    <definedName name="EvenDataSecond" localSheetId="1" hidden="1">IBPFormattingSheet!$F$105</definedName>
    <definedName name="EvenDataUseFirst" localSheetId="1" hidden="1">IBPFormattingSheet!$H$97</definedName>
    <definedName name="EvenDataUseSecond" localSheetId="1" hidden="1">IBPFormattingSheet!$H$105</definedName>
    <definedName name="EvenHeaderFirst" localSheetId="1" hidden="1">IBPFormattingSheet!$J$97</definedName>
    <definedName name="EvenHeaderSecond" localSheetId="1" hidden="1">IBPFormattingSheet!$J$105</definedName>
    <definedName name="EvenHeaderUseFirst" localSheetId="1" hidden="1">IBPFormattingSheet!$L$97</definedName>
    <definedName name="EvenHeaderUseSecond" localSheetId="1" hidden="1">IBPFormattingSheet!$L$105</definedName>
    <definedName name="HeaderFirst" localSheetId="1" hidden="1">IBPFormattingSheet!$I$25:$K$25</definedName>
    <definedName name="HeaderSecond" localSheetId="1" hidden="1">IBPFormattingSheet!$I$100:$K$100</definedName>
    <definedName name="HeaderSmallGrid" localSheetId="1" hidden="1">IBPFormattingSheet!$A$1</definedName>
    <definedName name="HeaderUseFirst" localSheetId="1" hidden="1">IBPFormattingSheet!$L$25</definedName>
    <definedName name="HeaderUseSecond" localSheetId="1" hidden="1">IBPFormattingSheet!$L$100</definedName>
    <definedName name="HeaderUseSmallGrid" localSheetId="1" hidden="1">IBPFormattingSheet!$A$1</definedName>
    <definedName name="IBPClientFormattingSheet" localSheetId="1" hidden="1">"3_3"</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IBPFormattingSheet!$B$87</definedName>
    <definedName name="MemberFirstBlock" localSheetId="1" hidden="1">IBPFormattingSheet!$B$24:$B$47</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2" localSheetId="1" hidden="1">IBPFormattingSheet!$F$44</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2" localSheetId="1" hidden="1">IBPFormattingSheet!$H$44</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2" localSheetId="1" hidden="1">IBPFormattingSheet!$J$44</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2" localSheetId="1" hidden="1">IBPFormattingSheet!$L$44</definedName>
    <definedName name="MemberFirstHeaderUseLocal" localSheetId="1" hidden="1">IBPFormattingSheet!$L$33</definedName>
    <definedName name="MemberSecondBlock" localSheetId="1" hidden="1">IBPFormattingSheet!$B$48:$B$86</definedName>
    <definedName name="MemberSecondDataCalculated" localSheetId="1" hidden="1">IBPFormattingSheet!$F$51</definedName>
    <definedName name="MemberSecondDataChanged" localSheetId="1" hidden="1">IBPFormattingSheet!$F$60</definedName>
    <definedName name="MemberSecondDataCustom" localSheetId="1" hidden="1">IBPFormattingSheet!#REF!</definedName>
    <definedName name="MemberSecondDataInputable" localSheetId="1" hidden="1">IBPFormattingSheet!$F$54</definedName>
    <definedName name="MemberSecondDataItem_1" localSheetId="1" hidden="1">IBPFormattingSheet!$F$65</definedName>
    <definedName name="MemberSecondDataItem_2" localSheetId="1" hidden="1">IBPFormattingSheet!$F$68</definedName>
    <definedName name="MemberSecondDataItem_3" localSheetId="1" hidden="1">IBPFormattingSheet!$F$71</definedName>
    <definedName name="MemberSecondDataItem_4" localSheetId="1" hidden="1">IBPFormattingSheet!$F$74</definedName>
    <definedName name="MemberSecondDataItem_5" localSheetId="1" hidden="1">IBPFormattingSheet!$F$77</definedName>
    <definedName name="MemberSecondDataItem_6" localSheetId="1" hidden="1">IBPFormattingSheet!$F$80</definedName>
    <definedName name="MemberSecondDataItem_7" localSheetId="1" hidden="1">IBPFormattingSheet!$F$83</definedName>
    <definedName name="MemberSecondDataLocal" localSheetId="1" hidden="1">IBPFormattingSheet!$F$57</definedName>
    <definedName name="MemberSecondDataUseCalculated" localSheetId="1" hidden="1">IBPFormattingSheet!$H$51</definedName>
    <definedName name="MemberSecondDataUseChanged" localSheetId="1" hidden="1">IBPFormattingSheet!$H$60</definedName>
    <definedName name="MemberSecondDataUseCustom" localSheetId="1" hidden="1">IBPFormattingSheet!#REF!</definedName>
    <definedName name="MemberSecondDataUseInputable" localSheetId="1" hidden="1">IBPFormattingSheet!$H$54</definedName>
    <definedName name="MemberSecondDataUseItem_1" localSheetId="1" hidden="1">IBPFormattingSheet!$H$65</definedName>
    <definedName name="MemberSecondDataUseItem_2" localSheetId="1" hidden="1">IBPFormattingSheet!$H$68</definedName>
    <definedName name="MemberSecondDataUseItem_3" localSheetId="1" hidden="1">IBPFormattingSheet!$H$71</definedName>
    <definedName name="MemberSecondDataUseItem_4" localSheetId="1" hidden="1">IBPFormattingSheet!$H$74</definedName>
    <definedName name="MemberSecondDataUseItem_5" localSheetId="1" hidden="1">IBPFormattingSheet!$H$77</definedName>
    <definedName name="MemberSecondDataUseItem_6" localSheetId="1" hidden="1">IBPFormattingSheet!$H$80</definedName>
    <definedName name="MemberSecondDataUseItem_7" localSheetId="1" hidden="1">IBPFormattingSheet!$H$83</definedName>
    <definedName name="MemberSecondDataUseLocal" localSheetId="1" hidden="1">IBPFormattingSheet!$H$57</definedName>
    <definedName name="MemberSecondHeaderCalculated" localSheetId="1" hidden="1">IBPFormattingSheet!$J$51</definedName>
    <definedName name="MemberSecondHeaderChanged" localSheetId="1" hidden="1">IBPFormattingSheet!$J$60</definedName>
    <definedName name="MemberSecondHeaderCustom" localSheetId="1" hidden="1">IBPFormattingSheet!#REF!</definedName>
    <definedName name="MemberSecondHeaderInputable" localSheetId="1" hidden="1">IBPFormattingSheet!$J$54</definedName>
    <definedName name="MemberSecondHeaderItem_1" localSheetId="1" hidden="1">IBPFormattingSheet!$J$65</definedName>
    <definedName name="MemberSecondHeaderItem_2" localSheetId="1" hidden="1">IBPFormattingSheet!$J$68</definedName>
    <definedName name="MemberSecondHeaderItem_3" localSheetId="1" hidden="1">IBPFormattingSheet!$J$71</definedName>
    <definedName name="MemberSecondHeaderItem_4" localSheetId="1" hidden="1">IBPFormattingSheet!$J$74</definedName>
    <definedName name="MemberSecondHeaderItem_5" localSheetId="1" hidden="1">IBPFormattingSheet!$J$77</definedName>
    <definedName name="MemberSecondHeaderItem_6" localSheetId="1" hidden="1">IBPFormattingSheet!$J$80</definedName>
    <definedName name="MemberSecondHeaderItem_7" localSheetId="1" hidden="1">IBPFormattingSheet!$J$83</definedName>
    <definedName name="MemberSecondHeaderLocal" localSheetId="1" hidden="1">IBPFormattingSheet!$J$57</definedName>
    <definedName name="MemberSecondHeaderUseCalculated" localSheetId="1" hidden="1">IBPFormattingSheet!$L$51</definedName>
    <definedName name="MemberSecondHeaderUseChanged" localSheetId="1" hidden="1">IBPFormattingSheet!$L$60</definedName>
    <definedName name="MemberSecondHeaderUseCustom" localSheetId="1" hidden="1">IBPFormattingSheet!#REF!</definedName>
    <definedName name="MemberSecondHeaderUseInputable" localSheetId="1" hidden="1">IBPFormattingSheet!$L$54</definedName>
    <definedName name="MemberSecondHeaderUseItem_1" localSheetId="1" hidden="1">IBPFormattingSheet!$L$65</definedName>
    <definedName name="MemberSecondHeaderUseItem_2" localSheetId="1" hidden="1">IBPFormattingSheet!$L$68</definedName>
    <definedName name="MemberSecondHeaderUseItem_3" localSheetId="1" hidden="1">IBPFormattingSheet!$L$71</definedName>
    <definedName name="MemberSecondHeaderUseItem_4" localSheetId="1" hidden="1">IBPFormattingSheet!$L$74</definedName>
    <definedName name="MemberSecondHeaderUseItem_5" localSheetId="1" hidden="1">IBPFormattingSheet!$L$77</definedName>
    <definedName name="MemberSecondHeaderUseItem_6" localSheetId="1" hidden="1">IBPFormattingSheet!$L$80</definedName>
    <definedName name="MemberSecondHeaderUseItem_7" localSheetId="1" hidden="1">IBPFormattingSheet!$L$83</definedName>
    <definedName name="MemberSecondHeaderUseLocal" localSheetId="1" hidden="1">IBPFormattingSheet!$L$57</definedName>
    <definedName name="OddDataFirst" localSheetId="1" hidden="1">IBPFormattingSheet!$F$94</definedName>
    <definedName name="OddDataSecond" localSheetId="1" hidden="1">IBPFormattingSheet!$F$102</definedName>
    <definedName name="OddDataUseFirst" localSheetId="1" hidden="1">IBPFormattingSheet!$H$94</definedName>
    <definedName name="OddDataUseSecond" localSheetId="1" hidden="1">IBPFormattingSheet!$H$102</definedName>
    <definedName name="OddEvenEndBlock" localSheetId="1" hidden="1">IBPFormattingSheet!$B$107</definedName>
    <definedName name="OddEvenFirstBlock" localSheetId="1" hidden="1">IBPFormattingSheet!$B$91:$B$98</definedName>
    <definedName name="OddEvenSecondBlock" localSheetId="1" hidden="1">IBPFormattingSheet!$B$99:$B$106</definedName>
    <definedName name="OddHeaderFirst" localSheetId="1" hidden="1">IBPFormattingSheet!$J$94</definedName>
    <definedName name="OddHeaderSecond" localSheetId="1" hidden="1">IBPFormattingSheet!$J$102</definedName>
    <definedName name="OddHeaderUseFirst" localSheetId="1" hidden="1">IBPFormattingSheet!$L$94</definedName>
    <definedName name="OddHeaderUseSecond" localSheetId="1" hidden="1">IBPFormattingSheet!$L$102</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 localSheetId="1">"IBP SCM SAP4PW"</definedName>
    <definedName name="SOP_Connection_Name">"SID"</definedName>
    <definedName name="SOP_CurrencyToID" localSheetId="2">"EUR"</definedName>
    <definedName name="SOP_CURRTOID" localSheetId="2">"EUR"</definedName>
    <definedName name="SOP_Favorite_Name" localSheetId="1">" "</definedName>
    <definedName name="SOP_Favorite_Name">"Run Simulation"</definedName>
    <definedName name="SOP_Filter" localSheetId="1">{" "}</definedName>
    <definedName name="SOP_Filter" localSheetId="2">{"Product ID = HT_001","Location ID = HD_DC_CA_E"}</definedName>
    <definedName name="SOP_Filter">{" "}</definedName>
    <definedName name="SOP_Filter_Criteria_Count" localSheetId="2">2</definedName>
    <definedName name="SOP_Filter_Name" localSheetId="2">"(Ad Hoc Filter)"</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"Location ID"</definedName>
    <definedName name="SOP_Heading3" localSheetId="2">"Product ID"</definedName>
    <definedName name="SOP_Heading4" localSheetId="2">" "</definedName>
    <definedName name="SOP_Heading5" localSheetId="2">" "</definedName>
    <definedName name="SOP_Heading6" localSheetId="2">" "</definedName>
    <definedName name="SOP_Heading7" localSheetId="2">" "</definedName>
    <definedName name="SOP_Heading8" localSheetId="2">" "</definedName>
    <definedName name="SOP_Heading9" localSheetId="2">" "</definedName>
    <definedName name="SOP_Planning_Area" localSheetId="1">"SAP4PW"</definedName>
    <definedName name="SOP_Planning_Area">"SAP6"</definedName>
    <definedName name="SOP_Planning_Scope" localSheetId="1">" "</definedName>
    <definedName name="SOP_Planning_Scope">"17.02.2022 - 09.04.2022 | Baseline | Base Version"</definedName>
    <definedName name="SOP_Refresh_Timestamp" localSheetId="1">43129.8290046296</definedName>
    <definedName name="SOP_Refresh_Timestamp">44586.7465972222</definedName>
    <definedName name="SOP_Template_Name" localSheetId="1">" "</definedName>
    <definedName name="SOP_Template_Name">"template name"</definedName>
    <definedName name="SOP_UOMToID" localSheetId="2">"PC"</definedName>
    <definedName name="SOP_Value_Based_Filter" localSheetId="2">{" "}</definedName>
    <definedName name="SOP_Value_Based_Filter_Name" localSheetId="2">"(None)"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 i="5" l="1"/>
  <c r="H6" i="5"/>
  <c r="I6" i="5"/>
  <c r="A6" i="5"/>
  <c r="B6" i="5"/>
  <c r="C6" i="5"/>
  <c r="D6" i="5"/>
  <c r="E6" i="5"/>
  <c r="F6" i="5"/>
  <c r="G6" i="5"/>
  <c r="A2" i="5"/>
  <c r="K2" i="5"/>
  <c r="K1" i="5"/>
  <c r="U6" i="5"/>
  <c r="J9" i="5"/>
  <c r="R6" i="5"/>
  <c r="N6" i="5"/>
  <c r="S6" i="5"/>
  <c r="M6" i="5"/>
  <c r="J10" i="5"/>
  <c r="T6" i="5"/>
  <c r="J8" i="5"/>
  <c r="O6" i="5"/>
  <c r="J12" i="5"/>
  <c r="L6" i="5"/>
  <c r="J11" i="5"/>
  <c r="Q6" i="5"/>
  <c r="H7" i="5"/>
  <c r="I7" i="5"/>
  <c r="K6" i="5"/>
  <c r="V6" i="5"/>
  <c r="P6" i="5"/>
  <c r="J7" i="5"/>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9F879157-0F42-4B06-8914-C39D39FC177B}">
      <text>
        <r>
          <rPr>
            <b/>
            <sz val="9"/>
            <color indexed="81"/>
            <rFont val="Tahoma"/>
            <family val="2"/>
          </rPr>
          <t>TotalMember</t>
        </r>
      </text>
    </comment>
    <comment ref="D44" authorId="0" shapeId="0" xr:uid="{C1A0E301-2E6B-4DEA-91D8-B97764D0111D}">
      <text>
        <r>
          <rPr>
            <b/>
            <sz val="9"/>
            <color indexed="81"/>
            <rFont val="Tahoma"/>
            <family val="2"/>
          </rPr>
          <t>Property#KEY_FIGURES#FIXING#Equals#Y</t>
        </r>
      </text>
    </comment>
    <comment ref="D65" authorId="0" shapeId="0" xr:uid="{9AC5E8D7-538A-4354-BDC0-B9574CA42A94}">
      <text>
        <r>
          <rPr>
            <b/>
            <sz val="9"/>
            <color indexed="81"/>
            <rFont val="Tahoma"/>
            <family val="2"/>
          </rPr>
          <t>Property#PERIODID#TIMELEVEL#Equals#TOTAL</t>
        </r>
      </text>
    </comment>
    <comment ref="D68" authorId="0" shapeId="0" xr:uid="{33AA591F-F10E-4669-BC0F-5D9D1E10F02F}">
      <text>
        <r>
          <rPr>
            <b/>
            <sz val="9"/>
            <color indexed="81"/>
            <rFont val="Tahoma"/>
            <family val="2"/>
          </rPr>
          <t>Property#PERIODID#TIMELEVEL#Equals#PERIODID0</t>
        </r>
      </text>
    </comment>
    <comment ref="D71" authorId="0" shapeId="0" xr:uid="{71946F1C-4E1B-403E-B7F2-544902163952}">
      <text>
        <r>
          <rPr>
            <b/>
            <sz val="9"/>
            <color indexed="81"/>
            <rFont val="Tahoma"/>
            <family val="2"/>
          </rPr>
          <t>Property#PERIODID#TIMELEVEL#Equals#PERIODID1</t>
        </r>
      </text>
    </comment>
    <comment ref="D74" authorId="0" shapeId="0" xr:uid="{15E4B4DC-873C-4731-9996-A6AED1244102}">
      <text>
        <r>
          <rPr>
            <b/>
            <sz val="9"/>
            <color indexed="81"/>
            <rFont val="Tahoma"/>
            <family val="2"/>
          </rPr>
          <t>Property#PERIODID#TIMELEVEL#Equals#PERIODID2</t>
        </r>
      </text>
    </comment>
    <comment ref="D77" authorId="0" shapeId="0" xr:uid="{EA32902B-4EB2-4A1A-AC0F-8C85647F4A10}">
      <text>
        <r>
          <rPr>
            <b/>
            <sz val="9"/>
            <color indexed="81"/>
            <rFont val="Tahoma"/>
            <family val="2"/>
          </rPr>
          <t>Property#PERIODID#TIMELEVEL#Equals#PERIODID3</t>
        </r>
      </text>
    </comment>
    <comment ref="D80" authorId="0" shapeId="0" xr:uid="{1A723FBF-40E7-47FA-988E-00F4FC708979}">
      <text>
        <r>
          <rPr>
            <b/>
            <sz val="9"/>
            <color indexed="81"/>
            <rFont val="Tahoma"/>
            <family val="2"/>
          </rPr>
          <t>Property#PERIODID#TIMELEVEL#Equals#PERIODID4</t>
        </r>
      </text>
    </comment>
    <comment ref="D83" authorId="0" shapeId="0" xr:uid="{9A664352-9579-41B5-83DE-253DD06B3073}">
      <text>
        <r>
          <rPr>
            <b/>
            <sz val="9"/>
            <color indexed="81"/>
            <rFont val="Tahoma"/>
            <family val="2"/>
          </rPr>
          <t>Property#PERIODID#TIMELEVEL#Equals#PERIODID5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7" authorId="0" shapeId="0" xr:uid="{A5D7567B-21A3-4421-AFB5-C64DAFC1D750}">
      <text>
        <r>
          <rPr>
            <sz val="9"/>
            <color indexed="81"/>
            <rFont val="Tahoma"/>
            <family val="2"/>
          </rPr>
          <t>1503 is fixed</t>
        </r>
      </text>
    </comment>
    <comment ref="S7" authorId="0" shapeId="0" xr:uid="{98D9CA10-647B-4591-9466-D7C4376D6A66}">
      <text>
        <r>
          <rPr>
            <sz val="9"/>
            <color indexed="81"/>
            <rFont val="Tahoma"/>
            <family val="2"/>
          </rPr>
          <t>100 is fixed</t>
        </r>
      </text>
    </comment>
    <comment ref="T7" authorId="0" shapeId="0" xr:uid="{C4111140-44B9-445B-846C-DE86E2AB3EAB}">
      <text>
        <r>
          <rPr>
            <sz val="9"/>
            <color indexed="81"/>
            <rFont val="Tahoma"/>
            <family val="2"/>
          </rPr>
          <t>100 is fixed</t>
        </r>
      </text>
    </comment>
    <comment ref="U7" authorId="0" shapeId="0" xr:uid="{50FC20A7-3C2C-4C56-AC33-0D90496ABAF4}">
      <text>
        <r>
          <rPr>
            <sz val="9"/>
            <color indexed="81"/>
            <rFont val="Tahoma"/>
            <family val="2"/>
          </rPr>
          <t>100 is fixed</t>
        </r>
      </text>
    </comment>
  </commentList>
</comments>
</file>

<file path=xl/sharedStrings.xml><?xml version="1.0" encoding="utf-8"?>
<sst xmlns="http://schemas.openxmlformats.org/spreadsheetml/2006/main" count="180" uniqueCount="77">
  <si>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</si>
  <si>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</si>
  <si>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</si>
  <si>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</si>
  <si>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</si>
  <si>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</si>
  <si>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</si>
  <si>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</si>
  <si>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</si>
  <si>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</si>
  <si>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</si>
  <si>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</si>
  <si>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</si>
  <si>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</si>
  <si>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</si>
  <si>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</si>
  <si>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</si>
  <si>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</si>
  <si>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</si>
  <si>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</si>
  <si>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</si>
  <si>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Version_1_1</t>
  </si>
  <si>
    <t>Sheet2_FILTER</t>
  </si>
  <si>
    <t>Sheet2_CHART</t>
  </si>
  <si>
    <t>Jun 17</t>
  </si>
  <si>
    <t>Jul 17</t>
  </si>
  <si>
    <t>Aug 17</t>
  </si>
  <si>
    <t>Sep 17</t>
  </si>
  <si>
    <t>OCT 2017</t>
  </si>
  <si>
    <t>Nov 17</t>
  </si>
  <si>
    <t>DEC 2017</t>
  </si>
  <si>
    <t>Jan 18</t>
  </si>
  <si>
    <t>Feb 18</t>
  </si>
  <si>
    <t>MAR 2018</t>
  </si>
  <si>
    <t>Apr 18</t>
  </si>
  <si>
    <t>MAY 2018</t>
  </si>
  <si>
    <t>Consensus Demand Plan Revenue</t>
  </si>
  <si>
    <t>Consensus Demand</t>
  </si>
  <si>
    <t>= EPMOlapMemberO("[KEY_FIGURES].[].[CONSENSUSDEMANDREV]","","Consensus Demand Plan Revenue","","000")_x000D_
= EPMOlapMemberO("[KEY_FIGURES].[].[FINALCONSENSUSDEMAND]","","Consensus Demand","","000")</t>
  </si>
  <si>
    <t>= EPMOlapMemberO("[LOCID].[].[HD_DC_US_E]","","HD_DC_US_E","","000")</t>
  </si>
  <si>
    <t>Sheet5_SERIES</t>
  </si>
  <si>
    <t>Sheet5_FILTER</t>
  </si>
  <si>
    <t>Sheet2_SERIES</t>
  </si>
  <si>
    <t>= EPMOlapMemberO("[KEY_FIGURES].[].[ADJDELIVQTY]","","Delivered Qty Adjusted","","000")_x000D_
= EPMOlapMemberO("[KEY_FIGURES].[].[CONSENSUSDEMAND]","","Consensus Demand without Promotions","","000")_x000D_
= EPMOlapMemberO("[KEY_FIGURES].[].[SALESFCSTQTY]","","Sales Forecast Qty","","000")</t>
  </si>
  <si>
    <t>Delivered Qty Adjusted</t>
  </si>
  <si>
    <t>Consensus Demand without Promotions</t>
  </si>
  <si>
    <t>Sales Forecast Qty</t>
  </si>
  <si>
    <t>DEC 2018</t>
  </si>
  <si>
    <t>Jan 19</t>
  </si>
  <si>
    <t>Feb 19</t>
  </si>
  <si>
    <t>MAR 2019</t>
  </si>
  <si>
    <t>Apr 19</t>
  </si>
  <si>
    <t>MAY 2019</t>
  </si>
  <si>
    <t>Jun 19</t>
  </si>
  <si>
    <t>Jul 19</t>
  </si>
  <si>
    <t>Aug 19</t>
  </si>
  <si>
    <t>Sep 19</t>
  </si>
  <si>
    <t>OCT 2019</t>
  </si>
  <si>
    <t>Nov 19</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</si>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</sst>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3_#,##0"/>
    <numFmt numFmtId="165" formatCode="\_xd83d_\_xdd12_#,##0"/>
  </numFmts>
  <fonts count="28"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9"/>
      <color indexed="81"/>
      <name val="Tahoma"/>
      <family val="2"/>
    </font>
    <font>
      <b/>
      <sz val="11"/>
      <color theme="1"/>
      <name val="Calibri"/>
      <family val="2"/>
      <scheme val="minor"/>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9">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4" fillId="8" borderId="0" applyNumberFormat="0" applyBorder="0" applyAlignment="0" applyProtection="0"/>
  </cellStyleXfs>
  <cellXfs count="111">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2" fillId="0" borderId="0" xfId="0" applyFont="1" applyFill="1" applyBorder="1" applyAlignment="1" applyProtection="1">
      <alignment horizontal="left" vertical="center"/>
      <protection locked="0"/>
    </xf>
    <xf numFmtId="0" fontId="0" fillId="6" borderId="0" xfId="0" applyFill="1"/>
    <xf numFmtId="0" fontId="14" fillId="10" borderId="0" xfId="0" applyFont="1" applyFill="1" applyBorder="1"/>
    <xf numFmtId="0" fontId="0" fillId="11" borderId="0" xfId="0" applyFill="1"/>
    <xf numFmtId="3" fontId="13"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1" fillId="11" borderId="0" xfId="0" applyFont="1" applyFill="1" applyBorder="1" applyAlignment="1" applyProtection="1">
      <alignment horizontal="right" vertical="center"/>
      <protection locked="0"/>
    </xf>
    <xf numFmtId="0" fontId="17" fillId="0" borderId="0" xfId="0" applyFont="1" applyAlignment="1">
      <alignment horizontal="center"/>
    </xf>
    <xf numFmtId="3" fontId="22" fillId="12" borderId="0" xfId="0" applyNumberFormat="1" applyFont="1" applyFill="1" applyBorder="1" applyAlignment="1" applyProtection="1">
      <alignment horizontal="right" vertical="center"/>
      <protection locked="0"/>
    </xf>
    <xf numFmtId="0" fontId="0" fillId="0" borderId="0" xfId="0" quotePrefix="1" applyAlignment="1">
      <alignment wrapText="1"/>
    </xf>
    <xf numFmtId="0" fontId="0" fillId="0" borderId="0" xfId="0" quotePrefix="1"/>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4" fillId="10" borderId="0" xfId="0" applyFont="1" applyFill="1" applyBorder="1" applyAlignment="1" applyProtection="1">
      <alignment horizontal="right" vertical="center"/>
    </xf>
    <xf numFmtId="0" fontId="11" fillId="10" borderId="0" xfId="0" applyFont="1" applyFill="1" applyBorder="1" applyAlignment="1" applyProtection="1">
      <alignment horizontal="left" vertical="center"/>
    </xf>
    <xf numFmtId="0" fontId="14" fillId="10" borderId="0" xfId="0" applyFont="1" applyFill="1" applyProtection="1"/>
    <xf numFmtId="0" fontId="14" fillId="10" borderId="0" xfId="0" applyFont="1" applyFill="1" applyBorder="1" applyProtection="1"/>
    <xf numFmtId="0" fontId="14" fillId="10" borderId="0" xfId="1" applyFont="1" applyFill="1" applyBorder="1" applyAlignment="1" applyProtection="1"/>
    <xf numFmtId="0" fontId="0" fillId="6" borderId="0" xfId="0" applyFill="1" applyProtection="1"/>
    <xf numFmtId="0" fontId="0" fillId="0" borderId="0" xfId="0" applyProtection="1"/>
    <xf numFmtId="0" fontId="11" fillId="11" borderId="0" xfId="0" applyFont="1" applyFill="1" applyProtection="1"/>
    <xf numFmtId="0" fontId="0" fillId="6" borderId="0" xfId="0" applyFill="1" applyAlignment="1" applyProtection="1">
      <alignment horizontal="left" vertical="top" wrapText="1"/>
    </xf>
    <xf numFmtId="164" fontId="22" fillId="12" borderId="0" xfId="0" applyNumberFormat="1" applyFont="1" applyFill="1" applyBorder="1" applyAlignment="1" applyProtection="1">
      <alignment horizontal="right" vertical="center"/>
      <protection locked="0"/>
    </xf>
    <xf numFmtId="165" fontId="22" fillId="12" borderId="0" xfId="0" applyNumberFormat="1" applyFont="1" applyFill="1" applyBorder="1" applyAlignment="1" applyProtection="1">
      <alignment horizontal="right" vertical="center"/>
      <protection locked="0"/>
    </xf>
    <xf numFmtId="0" fontId="1" fillId="0" borderId="12"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30"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0" fillId="6" borderId="0" xfId="0" applyFill="1" applyAlignment="1" applyProtection="1">
      <alignment horizontal="left" vertical="top" wrapText="1"/>
    </xf>
    <xf numFmtId="0" fontId="18" fillId="10" borderId="0" xfId="0" quotePrefix="1" applyFont="1" applyFill="1" applyBorder="1" applyAlignment="1" applyProtection="1">
      <alignment horizontal="left" vertical="top" wrapText="1" indent="5"/>
    </xf>
    <xf numFmtId="0" fontId="18" fillId="10" borderId="0" xfId="0" quotePrefix="1" applyFont="1" applyFill="1" applyBorder="1" applyAlignment="1" applyProtection="1">
      <alignment horizontal="left" vertical="top" indent="5"/>
    </xf>
    <xf numFmtId="0" fontId="19" fillId="10" borderId="0" xfId="0" applyFont="1" applyFill="1" applyBorder="1" applyAlignment="1" applyProtection="1">
      <alignment horizontal="left" vertical="center"/>
    </xf>
    <xf numFmtId="0" fontId="20" fillId="10" borderId="0" xfId="0" applyFont="1" applyFill="1" applyBorder="1" applyAlignment="1" applyProtection="1">
      <alignment horizontal="right" vertical="top" wrapText="1"/>
    </xf>
    <xf numFmtId="0" fontId="21" fillId="10" borderId="0" xfId="0" quotePrefix="1" applyFont="1" applyFill="1" applyBorder="1" applyAlignment="1" applyProtection="1">
      <alignment horizontal="left" vertical="top" wrapText="1" indent="5"/>
    </xf>
    <xf numFmtId="0" fontId="20" fillId="10" borderId="0" xfId="0" applyFont="1" applyFill="1" applyBorder="1" applyAlignment="1" applyProtection="1">
      <alignment horizontal="left" vertical="top"/>
    </xf>
    <xf numFmtId="0" fontId="0" fillId="0" borderId="0" xfId="0" applyAlignment="1">
      <alignment horizontal="center"/>
    </xf>
    <xf numFmtId="0" fontId="0" fillId="0" borderId="23"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3" fillId="0" borderId="0" xfId="0" applyNumberFormat="1" applyFont="1" applyAlignment="1" applyProtection="1">
      <alignment horizontal="right" vertical="center"/>
      <protection locked="0"/>
    </xf>
    <xf numFmtId="0" fontId="11" fillId="11" borderId="0" xfId="0" applyFont="1" applyFill="1" applyAlignment="1" applyProtection="1">
      <alignment horizontal="left" vertical="center"/>
      <protection locked="0"/>
    </xf>
    <xf numFmtId="0" fontId="0" fillId="1" borderId="31" xfId="0" applyFill="1" applyBorder="1" applyAlignment="1">
      <alignment horizontal="center"/>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3" fillId="9" borderId="0" xfId="0" applyNumberFormat="1" applyFont="1" applyFill="1" applyAlignment="1" applyProtection="1">
      <alignment horizontal="right" vertical="center"/>
      <protection locked="0"/>
    </xf>
    <xf numFmtId="3" fontId="13" fillId="7" borderId="0" xfId="0" applyNumberFormat="1" applyFont="1" applyFill="1" applyAlignment="1" applyProtection="1">
      <alignment horizontal="right" vertical="center"/>
      <protection locked="0"/>
    </xf>
    <xf numFmtId="0" fontId="15" fillId="0" borderId="0" xfId="0" quotePrefix="1" applyFont="1" applyAlignment="1">
      <alignment horizontal="left" vertical="center"/>
    </xf>
    <xf numFmtId="3" fontId="25" fillId="9" borderId="0" xfId="0" applyNumberFormat="1" applyFont="1" applyFill="1" applyAlignment="1" applyProtection="1">
      <alignment horizontal="right" vertical="center"/>
      <protection locked="0"/>
    </xf>
    <xf numFmtId="0" fontId="24" fillId="0" borderId="0" xfId="0" applyFont="1" applyAlignment="1" applyProtection="1">
      <alignment horizontal="left" vertical="center"/>
      <protection locked="0"/>
    </xf>
    <xf numFmtId="0" fontId="26" fillId="0" borderId="0" xfId="0" quotePrefix="1" applyFont="1" applyAlignment="1">
      <alignment horizontal="left" vertical="center"/>
    </xf>
    <xf numFmtId="3" fontId="27"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5" fillId="0" borderId="0" xfId="0" applyNumberFormat="1" applyFont="1" applyAlignment="1" applyProtection="1">
      <alignment horizontal="righ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0" fillId="18" borderId="0" xfId="0" applyFill="1" applyAlignment="1" applyProtection="1">
      <alignment horizontal="left" vertical="center"/>
      <protection locked="0"/>
    </xf>
    <xf numFmtId="0" fontId="13" fillId="0" borderId="0" xfId="0" applyFont="1" applyAlignment="1" applyProtection="1">
      <alignment horizontal="right" vertical="center"/>
      <protection locked="0"/>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10.emf"/><Relationship Id="rId7" Type="http://schemas.openxmlformats.org/officeDocument/2006/relationships/image" Target="../media/image6.emf"/><Relationship Id="rId12" Type="http://schemas.openxmlformats.org/officeDocument/2006/relationships/image" Target="../media/image16.emf"/><Relationship Id="rId17" Type="http://schemas.openxmlformats.org/officeDocument/2006/relationships/image" Target="../media/image21.emf"/><Relationship Id="rId2" Type="http://schemas.openxmlformats.org/officeDocument/2006/relationships/image" Target="../media/image11.emf"/><Relationship Id="rId16"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7.emf"/><Relationship Id="rId11" Type="http://schemas.openxmlformats.org/officeDocument/2006/relationships/image" Target="../media/image15.emf"/><Relationship Id="rId5" Type="http://schemas.openxmlformats.org/officeDocument/2006/relationships/image" Target="../media/image8.emf"/><Relationship Id="rId15" Type="http://schemas.openxmlformats.org/officeDocument/2006/relationships/image" Target="../media/image19.emf"/><Relationship Id="rId10" Type="http://schemas.openxmlformats.org/officeDocument/2006/relationships/image" Target="../media/image14.emf"/><Relationship Id="rId19" Type="http://schemas.openxmlformats.org/officeDocument/2006/relationships/image" Target="../media/image23.emf"/><Relationship Id="rId4" Type="http://schemas.openxmlformats.org/officeDocument/2006/relationships/image" Target="../media/image9.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7169" name="cbApplyLevelFormatting" hidden="1">
              <a:extLst>
                <a:ext uri="{63B3BB69-23CF-44E3-9099-C40C66FF867C}">
                  <a14:compatExt spid="_x0000_s7169"/>
                </a:ext>
                <a:ext uri="{FF2B5EF4-FFF2-40B4-BE49-F238E27FC236}">
                  <a16:creationId xmlns:a16="http://schemas.microsoft.com/office/drawing/2014/main" id="{24C641EB-206E-4D48-9B51-7E791C4393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7170" name="Group Box 2" hidden="1">
              <a:extLst>
                <a:ext uri="{63B3BB69-23CF-44E3-9099-C40C66FF867C}">
                  <a14:compatExt spid="_x0000_s7170"/>
                </a:ext>
                <a:ext uri="{FF2B5EF4-FFF2-40B4-BE49-F238E27FC236}">
                  <a16:creationId xmlns:a16="http://schemas.microsoft.com/office/drawing/2014/main" id="{5F906AF3-A0D6-40BA-A6D0-6BCED5AE648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7171" name="obLevelRowFirst" hidden="1">
              <a:extLst>
                <a:ext uri="{63B3BB69-23CF-44E3-9099-C40C66FF867C}">
                  <a14:compatExt spid="_x0000_s7171"/>
                </a:ext>
                <a:ext uri="{FF2B5EF4-FFF2-40B4-BE49-F238E27FC236}">
                  <a16:creationId xmlns:a16="http://schemas.microsoft.com/office/drawing/2014/main" id="{750441A5-BE65-47BB-AA11-E8A72BF32A1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7172" name="obLevelColumnFirst" hidden="1">
              <a:extLst>
                <a:ext uri="{63B3BB69-23CF-44E3-9099-C40C66FF867C}">
                  <a14:compatExt spid="_x0000_s7172"/>
                </a:ext>
                <a:ext uri="{FF2B5EF4-FFF2-40B4-BE49-F238E27FC236}">
                  <a16:creationId xmlns:a16="http://schemas.microsoft.com/office/drawing/2014/main" id="{C76425BC-99C3-49F1-9A21-0D3C41C879B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7173" name="Group Box 5" hidden="1">
              <a:extLst>
                <a:ext uri="{63B3BB69-23CF-44E3-9099-C40C66FF867C}">
                  <a14:compatExt spid="_x0000_s7173"/>
                </a:ext>
                <a:ext uri="{FF2B5EF4-FFF2-40B4-BE49-F238E27FC236}">
                  <a16:creationId xmlns:a16="http://schemas.microsoft.com/office/drawing/2014/main" id="{8D3CABD1-966F-4411-86EF-82DBF925701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7174" name="Group Box 6" hidden="1">
              <a:extLst>
                <a:ext uri="{63B3BB69-23CF-44E3-9099-C40C66FF867C}">
                  <a14:compatExt spid="_x0000_s7174"/>
                </a:ext>
                <a:ext uri="{FF2B5EF4-FFF2-40B4-BE49-F238E27FC236}">
                  <a16:creationId xmlns:a16="http://schemas.microsoft.com/office/drawing/2014/main" id="{F28A9A98-6B5F-4A2D-A3F9-E36CE302A3E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7175" name="cbUseDefaultLevelFirst" hidden="1">
              <a:extLst>
                <a:ext uri="{63B3BB69-23CF-44E3-9099-C40C66FF867C}">
                  <a14:compatExt spid="_x0000_s7175"/>
                </a:ext>
                <a:ext uri="{FF2B5EF4-FFF2-40B4-BE49-F238E27FC236}">
                  <a16:creationId xmlns:a16="http://schemas.microsoft.com/office/drawing/2014/main" id="{258DD819-0B5D-4AB5-8358-DF9CD92341B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7176" name="Group Box 8" hidden="1">
              <a:extLst>
                <a:ext uri="{63B3BB69-23CF-44E3-9099-C40C66FF867C}">
                  <a14:compatExt spid="_x0000_s7176"/>
                </a:ext>
                <a:ext uri="{FF2B5EF4-FFF2-40B4-BE49-F238E27FC236}">
                  <a16:creationId xmlns:a16="http://schemas.microsoft.com/office/drawing/2014/main" id="{808F57BD-4A18-4FF5-B848-EA81AF19743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7177" name="cbUseDefaultLevelSecond" hidden="1">
              <a:extLst>
                <a:ext uri="{63B3BB69-23CF-44E3-9099-C40C66FF867C}">
                  <a14:compatExt spid="_x0000_s7177"/>
                </a:ext>
                <a:ext uri="{FF2B5EF4-FFF2-40B4-BE49-F238E27FC236}">
                  <a16:creationId xmlns:a16="http://schemas.microsoft.com/office/drawing/2014/main" id="{760F98A0-7555-4E90-925D-3F012EFF60C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7178" name="cbApplyMemberFormatting" hidden="1">
              <a:extLst>
                <a:ext uri="{63B3BB69-23CF-44E3-9099-C40C66FF867C}">
                  <a14:compatExt spid="_x0000_s7178"/>
                </a:ext>
                <a:ext uri="{FF2B5EF4-FFF2-40B4-BE49-F238E27FC236}">
                  <a16:creationId xmlns:a16="http://schemas.microsoft.com/office/drawing/2014/main" id="{1A28B7BA-65BA-4AB9-8C74-FF3585D88A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7179" name="Group Box 11" hidden="1">
              <a:extLst>
                <a:ext uri="{63B3BB69-23CF-44E3-9099-C40C66FF867C}">
                  <a14:compatExt spid="_x0000_s7179"/>
                </a:ext>
                <a:ext uri="{FF2B5EF4-FFF2-40B4-BE49-F238E27FC236}">
                  <a16:creationId xmlns:a16="http://schemas.microsoft.com/office/drawing/2014/main" id="{B5494DEE-90EF-4776-B748-3FE9F0638A0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7180" name="obMemberRowFirst" hidden="1">
              <a:extLst>
                <a:ext uri="{63B3BB69-23CF-44E3-9099-C40C66FF867C}">
                  <a14:compatExt spid="_x0000_s7180"/>
                </a:ext>
                <a:ext uri="{FF2B5EF4-FFF2-40B4-BE49-F238E27FC236}">
                  <a16:creationId xmlns:a16="http://schemas.microsoft.com/office/drawing/2014/main" id="{A4BD2F46-0437-4A49-A78E-347ED338D5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7181" name="obMemberColumnFirst" hidden="1">
              <a:extLst>
                <a:ext uri="{63B3BB69-23CF-44E3-9099-C40C66FF867C}">
                  <a14:compatExt spid="_x0000_s7181"/>
                </a:ext>
                <a:ext uri="{FF2B5EF4-FFF2-40B4-BE49-F238E27FC236}">
                  <a16:creationId xmlns:a16="http://schemas.microsoft.com/office/drawing/2014/main" id="{F6AF64C2-18B1-4CAA-8500-D9E3CB0C379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7182" name="cbApplyCalculatedMemberFirst" hidden="1">
              <a:extLst>
                <a:ext uri="{63B3BB69-23CF-44E3-9099-C40C66FF867C}">
                  <a14:compatExt spid="_x0000_s7182"/>
                </a:ext>
                <a:ext uri="{FF2B5EF4-FFF2-40B4-BE49-F238E27FC236}">
                  <a16:creationId xmlns:a16="http://schemas.microsoft.com/office/drawing/2014/main" id="{B2F4D3CF-A806-4A41-9D17-5F5C39FEB4A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7183" name="cbApplyImputableMemberFirst" hidden="1">
              <a:extLst>
                <a:ext uri="{63B3BB69-23CF-44E3-9099-C40C66FF867C}">
                  <a14:compatExt spid="_x0000_s7183"/>
                </a:ext>
                <a:ext uri="{FF2B5EF4-FFF2-40B4-BE49-F238E27FC236}">
                  <a16:creationId xmlns:a16="http://schemas.microsoft.com/office/drawing/2014/main" id="{E7E8A3FB-2DE7-4E79-8D4E-2228012863F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7184" name="cbApplyLocalMemberFirst" hidden="1">
              <a:extLst>
                <a:ext uri="{63B3BB69-23CF-44E3-9099-C40C66FF867C}">
                  <a14:compatExt spid="_x0000_s7184"/>
                </a:ext>
                <a:ext uri="{FF2B5EF4-FFF2-40B4-BE49-F238E27FC236}">
                  <a16:creationId xmlns:a16="http://schemas.microsoft.com/office/drawing/2014/main" id="{49A99077-D494-4ACE-9CAD-9C452C91AB5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7185" name="cbApplyChangedMemberFirst" hidden="1">
              <a:extLst>
                <a:ext uri="{63B3BB69-23CF-44E3-9099-C40C66FF867C}">
                  <a14:compatExt spid="_x0000_s7185"/>
                </a:ext>
                <a:ext uri="{FF2B5EF4-FFF2-40B4-BE49-F238E27FC236}">
                  <a16:creationId xmlns:a16="http://schemas.microsoft.com/office/drawing/2014/main" id="{ADDCA5B2-2627-4DC6-8A4F-7ECDE656659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7186" name="cbApplySpecificMemberFirst" hidden="1">
              <a:extLst>
                <a:ext uri="{63B3BB69-23CF-44E3-9099-C40C66FF867C}">
                  <a14:compatExt spid="_x0000_s7186"/>
                </a:ext>
                <a:ext uri="{FF2B5EF4-FFF2-40B4-BE49-F238E27FC236}">
                  <a16:creationId xmlns:a16="http://schemas.microsoft.com/office/drawing/2014/main" id="{0EB67ED8-419E-4C7C-8834-F7B3C06102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7187" name="AddMemberFirst" hidden="1">
              <a:extLst>
                <a:ext uri="{63B3BB69-23CF-44E3-9099-C40C66FF867C}">
                  <a14:compatExt spid="_x0000_s7187"/>
                </a:ext>
                <a:ext uri="{FF2B5EF4-FFF2-40B4-BE49-F238E27FC236}">
                  <a16:creationId xmlns:a16="http://schemas.microsoft.com/office/drawing/2014/main" id="{BE9AF7BD-D607-4D56-8DF3-0242409AE87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7188" name="cbApplyCalculatedMemberSecond" hidden="1">
              <a:extLst>
                <a:ext uri="{63B3BB69-23CF-44E3-9099-C40C66FF867C}">
                  <a14:compatExt spid="_x0000_s7188"/>
                </a:ext>
                <a:ext uri="{FF2B5EF4-FFF2-40B4-BE49-F238E27FC236}">
                  <a16:creationId xmlns:a16="http://schemas.microsoft.com/office/drawing/2014/main" id="{0AAD349B-578A-4F86-A211-EE3FB5B91B5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7189" name="cbApplyImputableMemberSecond" hidden="1">
              <a:extLst>
                <a:ext uri="{63B3BB69-23CF-44E3-9099-C40C66FF867C}">
                  <a14:compatExt spid="_x0000_s7189"/>
                </a:ext>
                <a:ext uri="{FF2B5EF4-FFF2-40B4-BE49-F238E27FC236}">
                  <a16:creationId xmlns:a16="http://schemas.microsoft.com/office/drawing/2014/main" id="{40C0BCD0-33E3-40FB-B8FD-CE6E1B1516A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7190" name="cbApplyLocalMemberSecond" hidden="1">
              <a:extLst>
                <a:ext uri="{63B3BB69-23CF-44E3-9099-C40C66FF867C}">
                  <a14:compatExt spid="_x0000_s7190"/>
                </a:ext>
                <a:ext uri="{FF2B5EF4-FFF2-40B4-BE49-F238E27FC236}">
                  <a16:creationId xmlns:a16="http://schemas.microsoft.com/office/drawing/2014/main" id="{D77241F3-D332-4210-A1DF-784D25FEC5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7191" name="cbApplyChangedMemberSecond" hidden="1">
              <a:extLst>
                <a:ext uri="{63B3BB69-23CF-44E3-9099-C40C66FF867C}">
                  <a14:compatExt spid="_x0000_s7191"/>
                </a:ext>
                <a:ext uri="{FF2B5EF4-FFF2-40B4-BE49-F238E27FC236}">
                  <a16:creationId xmlns:a16="http://schemas.microsoft.com/office/drawing/2014/main" id="{7EB72B7E-F5F9-4C01-A26B-DF2CAA5A9D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7192" name="cbApplySpecificMemberSecond" hidden="1">
              <a:extLst>
                <a:ext uri="{63B3BB69-23CF-44E3-9099-C40C66FF867C}">
                  <a14:compatExt spid="_x0000_s7192"/>
                </a:ext>
                <a:ext uri="{FF2B5EF4-FFF2-40B4-BE49-F238E27FC236}">
                  <a16:creationId xmlns:a16="http://schemas.microsoft.com/office/drawing/2014/main" id="{58F2D2D8-458B-4A2E-93A2-71BC97BA3AD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7193" name="AddMemberSecond" hidden="1">
              <a:extLst>
                <a:ext uri="{63B3BB69-23CF-44E3-9099-C40C66FF867C}">
                  <a14:compatExt spid="_x0000_s7193"/>
                </a:ext>
                <a:ext uri="{FF2B5EF4-FFF2-40B4-BE49-F238E27FC236}">
                  <a16:creationId xmlns:a16="http://schemas.microsoft.com/office/drawing/2014/main" id="{6E1559CF-579D-4184-AA4F-5E56B4EF659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7194" name="cbApplyOddEvenFormatting" hidden="1">
              <a:extLst>
                <a:ext uri="{63B3BB69-23CF-44E3-9099-C40C66FF867C}">
                  <a14:compatExt spid="_x0000_s7194"/>
                </a:ext>
                <a:ext uri="{FF2B5EF4-FFF2-40B4-BE49-F238E27FC236}">
                  <a16:creationId xmlns:a16="http://schemas.microsoft.com/office/drawing/2014/main" id="{9F44CE6E-2BD2-478E-A93C-936824D1A4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7195" name="Group Box 27" hidden="1">
              <a:extLst>
                <a:ext uri="{63B3BB69-23CF-44E3-9099-C40C66FF867C}">
                  <a14:compatExt spid="_x0000_s7195"/>
                </a:ext>
                <a:ext uri="{FF2B5EF4-FFF2-40B4-BE49-F238E27FC236}">
                  <a16:creationId xmlns:a16="http://schemas.microsoft.com/office/drawing/2014/main" id="{759F0AE4-0A1C-4BA9-9193-01650D4DD7B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7196" name="obOddEvenRowFirst" hidden="1">
              <a:extLst>
                <a:ext uri="{63B3BB69-23CF-44E3-9099-C40C66FF867C}">
                  <a14:compatExt spid="_x0000_s7196"/>
                </a:ext>
                <a:ext uri="{FF2B5EF4-FFF2-40B4-BE49-F238E27FC236}">
                  <a16:creationId xmlns:a16="http://schemas.microsoft.com/office/drawing/2014/main" id="{A8115A6C-22B9-45BD-8FC2-01C141C5D34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7197" name="obOddEvenColumnFirst" hidden="1">
              <a:extLst>
                <a:ext uri="{63B3BB69-23CF-44E3-9099-C40C66FF867C}">
                  <a14:compatExt spid="_x0000_s7197"/>
                </a:ext>
                <a:ext uri="{FF2B5EF4-FFF2-40B4-BE49-F238E27FC236}">
                  <a16:creationId xmlns:a16="http://schemas.microsoft.com/office/drawing/2014/main" id="{81876044-BAB6-4711-9D2A-D39D97BE90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7198" name="cbUseOddFirst" hidden="1">
              <a:extLst>
                <a:ext uri="{63B3BB69-23CF-44E3-9099-C40C66FF867C}">
                  <a14:compatExt spid="_x0000_s7198"/>
                </a:ext>
                <a:ext uri="{FF2B5EF4-FFF2-40B4-BE49-F238E27FC236}">
                  <a16:creationId xmlns:a16="http://schemas.microsoft.com/office/drawing/2014/main" id="{8807D6CA-746B-4269-9935-060C5A51CF7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7199" name="cbUseEvenFirst" hidden="1">
              <a:extLst>
                <a:ext uri="{63B3BB69-23CF-44E3-9099-C40C66FF867C}">
                  <a14:compatExt spid="_x0000_s7199"/>
                </a:ext>
                <a:ext uri="{FF2B5EF4-FFF2-40B4-BE49-F238E27FC236}">
                  <a16:creationId xmlns:a16="http://schemas.microsoft.com/office/drawing/2014/main" id="{5EE14F89-8A5D-4496-9212-8FF9DB0C92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7200" name="cbUseOddSecond" hidden="1">
              <a:extLst>
                <a:ext uri="{63B3BB69-23CF-44E3-9099-C40C66FF867C}">
                  <a14:compatExt spid="_x0000_s7200"/>
                </a:ext>
                <a:ext uri="{FF2B5EF4-FFF2-40B4-BE49-F238E27FC236}">
                  <a16:creationId xmlns:a16="http://schemas.microsoft.com/office/drawing/2014/main" id="{ED0A0FD7-4C48-4E66-B3CC-38E63D33A2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7201" name="cbUseEvenSecond" hidden="1">
              <a:extLst>
                <a:ext uri="{63B3BB69-23CF-44E3-9099-C40C66FF867C}">
                  <a14:compatExt spid="_x0000_s7201"/>
                </a:ext>
                <a:ext uri="{FF2B5EF4-FFF2-40B4-BE49-F238E27FC236}">
                  <a16:creationId xmlns:a16="http://schemas.microsoft.com/office/drawing/2014/main" id="{504D10DC-7BF6-4122-ADED-0B20E1EAF8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7202" name="AddedMember2_1" hidden="1">
              <a:extLst>
                <a:ext uri="{63B3BB69-23CF-44E3-9099-C40C66FF867C}">
                  <a14:compatExt spid="_x0000_s7202"/>
                </a:ext>
                <a:ext uri="{FF2B5EF4-FFF2-40B4-BE49-F238E27FC236}">
                  <a16:creationId xmlns:a16="http://schemas.microsoft.com/office/drawing/2014/main" id="{0208D8C7-AAF8-4E4F-9C98-E16C341A508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7203" name="ChangeMember2_1" hidden="1">
              <a:extLst>
                <a:ext uri="{63B3BB69-23CF-44E3-9099-C40C66FF867C}">
                  <a14:compatExt spid="_x0000_s7203"/>
                </a:ext>
                <a:ext uri="{FF2B5EF4-FFF2-40B4-BE49-F238E27FC236}">
                  <a16:creationId xmlns:a16="http://schemas.microsoft.com/office/drawing/2014/main" id="{89DF8D3A-A017-4EF8-A6FB-235C19AEC67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7204" name="UpMember2_1" hidden="1">
              <a:extLst>
                <a:ext uri="{63B3BB69-23CF-44E3-9099-C40C66FF867C}">
                  <a14:compatExt spid="_x0000_s7204"/>
                </a:ext>
                <a:ext uri="{FF2B5EF4-FFF2-40B4-BE49-F238E27FC236}">
                  <a16:creationId xmlns:a16="http://schemas.microsoft.com/office/drawing/2014/main" id="{2E2EEE90-FCA2-4E5A-AD15-C94E2846FA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7205" name="DownMember2_1" hidden="1">
              <a:extLst>
                <a:ext uri="{63B3BB69-23CF-44E3-9099-C40C66FF867C}">
                  <a14:compatExt spid="_x0000_s7205"/>
                </a:ext>
                <a:ext uri="{FF2B5EF4-FFF2-40B4-BE49-F238E27FC236}">
                  <a16:creationId xmlns:a16="http://schemas.microsoft.com/office/drawing/2014/main" id="{A9A3B177-2362-48FB-ACAB-510CFF77FB2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7206" name="AddedMember2_2" hidden="1">
              <a:extLst>
                <a:ext uri="{63B3BB69-23CF-44E3-9099-C40C66FF867C}">
                  <a14:compatExt spid="_x0000_s7206"/>
                </a:ext>
                <a:ext uri="{FF2B5EF4-FFF2-40B4-BE49-F238E27FC236}">
                  <a16:creationId xmlns:a16="http://schemas.microsoft.com/office/drawing/2014/main" id="{3E935F3D-1747-4DC3-9863-CCDA2014DA6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7207" name="ChangeMember2_2" hidden="1">
              <a:extLst>
                <a:ext uri="{63B3BB69-23CF-44E3-9099-C40C66FF867C}">
                  <a14:compatExt spid="_x0000_s7207"/>
                </a:ext>
                <a:ext uri="{FF2B5EF4-FFF2-40B4-BE49-F238E27FC236}">
                  <a16:creationId xmlns:a16="http://schemas.microsoft.com/office/drawing/2014/main" id="{5F7B0836-55DF-41F0-9257-752E4789DCF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7208" name="UpMember2_2" hidden="1">
              <a:extLst>
                <a:ext uri="{63B3BB69-23CF-44E3-9099-C40C66FF867C}">
                  <a14:compatExt spid="_x0000_s7208"/>
                </a:ext>
                <a:ext uri="{FF2B5EF4-FFF2-40B4-BE49-F238E27FC236}">
                  <a16:creationId xmlns:a16="http://schemas.microsoft.com/office/drawing/2014/main" id="{803AD85D-0B1F-4737-971F-7D13EC63FA1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7209" name="DownMember2_2" hidden="1">
              <a:extLst>
                <a:ext uri="{63B3BB69-23CF-44E3-9099-C40C66FF867C}">
                  <a14:compatExt spid="_x0000_s7209"/>
                </a:ext>
                <a:ext uri="{FF2B5EF4-FFF2-40B4-BE49-F238E27FC236}">
                  <a16:creationId xmlns:a16="http://schemas.microsoft.com/office/drawing/2014/main" id="{AA94B639-69F4-406A-AE8B-398291293FE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7210" name="AddedMember2_3" hidden="1">
              <a:extLst>
                <a:ext uri="{63B3BB69-23CF-44E3-9099-C40C66FF867C}">
                  <a14:compatExt spid="_x0000_s7210"/>
                </a:ext>
                <a:ext uri="{FF2B5EF4-FFF2-40B4-BE49-F238E27FC236}">
                  <a16:creationId xmlns:a16="http://schemas.microsoft.com/office/drawing/2014/main" id="{BC0E9E7E-ADDB-4771-8816-2CED914C0B5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7211" name="ChangeMember2_3" hidden="1">
              <a:extLst>
                <a:ext uri="{63B3BB69-23CF-44E3-9099-C40C66FF867C}">
                  <a14:compatExt spid="_x0000_s7211"/>
                </a:ext>
                <a:ext uri="{FF2B5EF4-FFF2-40B4-BE49-F238E27FC236}">
                  <a16:creationId xmlns:a16="http://schemas.microsoft.com/office/drawing/2014/main" id="{7FEDFB13-FC64-4001-B56F-AFB4D7E4AC2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7212" name="UpMember2_3" hidden="1">
              <a:extLst>
                <a:ext uri="{63B3BB69-23CF-44E3-9099-C40C66FF867C}">
                  <a14:compatExt spid="_x0000_s7212"/>
                </a:ext>
                <a:ext uri="{FF2B5EF4-FFF2-40B4-BE49-F238E27FC236}">
                  <a16:creationId xmlns:a16="http://schemas.microsoft.com/office/drawing/2014/main" id="{35F0CAE4-0890-4A33-A03E-BD1A8AABEAF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7213" name="DownMember2_3" hidden="1">
              <a:extLst>
                <a:ext uri="{63B3BB69-23CF-44E3-9099-C40C66FF867C}">
                  <a14:compatExt spid="_x0000_s7213"/>
                </a:ext>
                <a:ext uri="{FF2B5EF4-FFF2-40B4-BE49-F238E27FC236}">
                  <a16:creationId xmlns:a16="http://schemas.microsoft.com/office/drawing/2014/main" id="{695C4572-6246-4F11-A97D-505B50F25A1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7214" name="AddedMember2_4" hidden="1">
              <a:extLst>
                <a:ext uri="{63B3BB69-23CF-44E3-9099-C40C66FF867C}">
                  <a14:compatExt spid="_x0000_s7214"/>
                </a:ext>
                <a:ext uri="{FF2B5EF4-FFF2-40B4-BE49-F238E27FC236}">
                  <a16:creationId xmlns:a16="http://schemas.microsoft.com/office/drawing/2014/main" id="{D155EADF-8E49-4C5A-A26B-C597CD61A64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7215" name="ChangeMember2_4" hidden="1">
              <a:extLst>
                <a:ext uri="{63B3BB69-23CF-44E3-9099-C40C66FF867C}">
                  <a14:compatExt spid="_x0000_s7215"/>
                </a:ext>
                <a:ext uri="{FF2B5EF4-FFF2-40B4-BE49-F238E27FC236}">
                  <a16:creationId xmlns:a16="http://schemas.microsoft.com/office/drawing/2014/main" id="{B35A5740-5442-4829-BBB1-51D17289C32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7216" name="UpMember2_4" hidden="1">
              <a:extLst>
                <a:ext uri="{63B3BB69-23CF-44E3-9099-C40C66FF867C}">
                  <a14:compatExt spid="_x0000_s7216"/>
                </a:ext>
                <a:ext uri="{FF2B5EF4-FFF2-40B4-BE49-F238E27FC236}">
                  <a16:creationId xmlns:a16="http://schemas.microsoft.com/office/drawing/2014/main" id="{7DA7D252-1DA0-482D-94CB-4230FDB8DAA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7217" name="DownMember2_4" hidden="1">
              <a:extLst>
                <a:ext uri="{63B3BB69-23CF-44E3-9099-C40C66FF867C}">
                  <a14:compatExt spid="_x0000_s7217"/>
                </a:ext>
                <a:ext uri="{FF2B5EF4-FFF2-40B4-BE49-F238E27FC236}">
                  <a16:creationId xmlns:a16="http://schemas.microsoft.com/office/drawing/2014/main" id="{11D52F55-51CF-40AA-9CA7-75A4D48B983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7218" name="AddedMember2_5" hidden="1">
              <a:extLst>
                <a:ext uri="{63B3BB69-23CF-44E3-9099-C40C66FF867C}">
                  <a14:compatExt spid="_x0000_s7218"/>
                </a:ext>
                <a:ext uri="{FF2B5EF4-FFF2-40B4-BE49-F238E27FC236}">
                  <a16:creationId xmlns:a16="http://schemas.microsoft.com/office/drawing/2014/main" id="{7D93EBD1-8083-4724-9DE8-18BA0880CFC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7219" name="ChangeMember2_5" hidden="1">
              <a:extLst>
                <a:ext uri="{63B3BB69-23CF-44E3-9099-C40C66FF867C}">
                  <a14:compatExt spid="_x0000_s7219"/>
                </a:ext>
                <a:ext uri="{FF2B5EF4-FFF2-40B4-BE49-F238E27FC236}">
                  <a16:creationId xmlns:a16="http://schemas.microsoft.com/office/drawing/2014/main" id="{70678B06-60B8-496F-8E31-4C164DF0DD5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7220" name="UpMember2_5" hidden="1">
              <a:extLst>
                <a:ext uri="{63B3BB69-23CF-44E3-9099-C40C66FF867C}">
                  <a14:compatExt spid="_x0000_s7220"/>
                </a:ext>
                <a:ext uri="{FF2B5EF4-FFF2-40B4-BE49-F238E27FC236}">
                  <a16:creationId xmlns:a16="http://schemas.microsoft.com/office/drawing/2014/main" id="{33E1D3D2-F971-46EE-AA60-F09036CC78A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7221" name="DownMember2_5" hidden="1">
              <a:extLst>
                <a:ext uri="{63B3BB69-23CF-44E3-9099-C40C66FF867C}">
                  <a14:compatExt spid="_x0000_s7221"/>
                </a:ext>
                <a:ext uri="{FF2B5EF4-FFF2-40B4-BE49-F238E27FC236}">
                  <a16:creationId xmlns:a16="http://schemas.microsoft.com/office/drawing/2014/main" id="{27A8D509-9A57-496C-9D52-03BFA43751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7222" name="AddedMember2_6" hidden="1">
              <a:extLst>
                <a:ext uri="{63B3BB69-23CF-44E3-9099-C40C66FF867C}">
                  <a14:compatExt spid="_x0000_s7222"/>
                </a:ext>
                <a:ext uri="{FF2B5EF4-FFF2-40B4-BE49-F238E27FC236}">
                  <a16:creationId xmlns:a16="http://schemas.microsoft.com/office/drawing/2014/main" id="{174E43B4-B92F-4A0E-898A-78A103CD15B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7223" name="ChangeMember2_6" hidden="1">
              <a:extLst>
                <a:ext uri="{63B3BB69-23CF-44E3-9099-C40C66FF867C}">
                  <a14:compatExt spid="_x0000_s7223"/>
                </a:ext>
                <a:ext uri="{FF2B5EF4-FFF2-40B4-BE49-F238E27FC236}">
                  <a16:creationId xmlns:a16="http://schemas.microsoft.com/office/drawing/2014/main" id="{D15BE0B2-A779-4A83-BE2D-60D59FF4A8B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7224" name="UpMember2_6" hidden="1">
              <a:extLst>
                <a:ext uri="{63B3BB69-23CF-44E3-9099-C40C66FF867C}">
                  <a14:compatExt spid="_x0000_s7224"/>
                </a:ext>
                <a:ext uri="{FF2B5EF4-FFF2-40B4-BE49-F238E27FC236}">
                  <a16:creationId xmlns:a16="http://schemas.microsoft.com/office/drawing/2014/main" id="{B4C39A9F-F7B9-4100-92C1-BBA0BC5E08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7225" name="DownMember2_6" hidden="1">
              <a:extLst>
                <a:ext uri="{63B3BB69-23CF-44E3-9099-C40C66FF867C}">
                  <a14:compatExt spid="_x0000_s7225"/>
                </a:ext>
                <a:ext uri="{FF2B5EF4-FFF2-40B4-BE49-F238E27FC236}">
                  <a16:creationId xmlns:a16="http://schemas.microsoft.com/office/drawing/2014/main" id="{D119831E-2189-4F65-8613-15C46CE16A2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7226" name="AddedMember2_7" hidden="1">
              <a:extLst>
                <a:ext uri="{63B3BB69-23CF-44E3-9099-C40C66FF867C}">
                  <a14:compatExt spid="_x0000_s7226"/>
                </a:ext>
                <a:ext uri="{FF2B5EF4-FFF2-40B4-BE49-F238E27FC236}">
                  <a16:creationId xmlns:a16="http://schemas.microsoft.com/office/drawing/2014/main" id="{A4CE3298-9A80-4CF8-970E-A502B0657B0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7227" name="ChangeMember2_7" hidden="1">
              <a:extLst>
                <a:ext uri="{63B3BB69-23CF-44E3-9099-C40C66FF867C}">
                  <a14:compatExt spid="_x0000_s7227"/>
                </a:ext>
                <a:ext uri="{FF2B5EF4-FFF2-40B4-BE49-F238E27FC236}">
                  <a16:creationId xmlns:a16="http://schemas.microsoft.com/office/drawing/2014/main" id="{81D92BE4-3A04-4573-A8D0-CC4CC4463FD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7228" name="UpMember2_7" hidden="1">
              <a:extLst>
                <a:ext uri="{63B3BB69-23CF-44E3-9099-C40C66FF867C}">
                  <a14:compatExt spid="_x0000_s7228"/>
                </a:ext>
                <a:ext uri="{FF2B5EF4-FFF2-40B4-BE49-F238E27FC236}">
                  <a16:creationId xmlns:a16="http://schemas.microsoft.com/office/drawing/2014/main" id="{46632A05-B8CF-42D9-B0DC-6D6FBAF1F79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7229" name="DownMember2_7" hidden="1">
              <a:extLst>
                <a:ext uri="{63B3BB69-23CF-44E3-9099-C40C66FF867C}">
                  <a14:compatExt spid="_x0000_s7229"/>
                </a:ext>
                <a:ext uri="{FF2B5EF4-FFF2-40B4-BE49-F238E27FC236}">
                  <a16:creationId xmlns:a16="http://schemas.microsoft.com/office/drawing/2014/main" id="{98BC3AC9-3303-4210-9F17-59EA05B46A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7230" name="AddedMember1_1" hidden="1">
              <a:extLst>
                <a:ext uri="{63B3BB69-23CF-44E3-9099-C40C66FF867C}">
                  <a14:compatExt spid="_x0000_s7230"/>
                </a:ext>
                <a:ext uri="{FF2B5EF4-FFF2-40B4-BE49-F238E27FC236}">
                  <a16:creationId xmlns:a16="http://schemas.microsoft.com/office/drawing/2014/main" id="{05AFCDD3-BFA6-459C-B5A6-9B486731322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7231" name="ChangeMember1_1" hidden="1">
              <a:extLst>
                <a:ext uri="{63B3BB69-23CF-44E3-9099-C40C66FF867C}">
                  <a14:compatExt spid="_x0000_s7231"/>
                </a:ext>
                <a:ext uri="{FF2B5EF4-FFF2-40B4-BE49-F238E27FC236}">
                  <a16:creationId xmlns:a16="http://schemas.microsoft.com/office/drawing/2014/main" id="{423E0093-F014-4B0D-9CFA-6A77B82479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7232" name="UpMember1_1" hidden="1">
              <a:extLst>
                <a:ext uri="{63B3BB69-23CF-44E3-9099-C40C66FF867C}">
                  <a14:compatExt spid="_x0000_s7232"/>
                </a:ext>
                <a:ext uri="{FF2B5EF4-FFF2-40B4-BE49-F238E27FC236}">
                  <a16:creationId xmlns:a16="http://schemas.microsoft.com/office/drawing/2014/main" id="{E2B69737-5D5F-46DA-96F7-C17A493820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7233" name="DownMember1_1" hidden="1">
              <a:extLst>
                <a:ext uri="{63B3BB69-23CF-44E3-9099-C40C66FF867C}">
                  <a14:compatExt spid="_x0000_s7233"/>
                </a:ext>
                <a:ext uri="{FF2B5EF4-FFF2-40B4-BE49-F238E27FC236}">
                  <a16:creationId xmlns:a16="http://schemas.microsoft.com/office/drawing/2014/main" id="{F402B0B0-D35A-44F1-AD52-CED4B7D7A5F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7234" name="AddedMember1_2" hidden="1">
              <a:extLst>
                <a:ext uri="{63B3BB69-23CF-44E3-9099-C40C66FF867C}">
                  <a14:compatExt spid="_x0000_s7234"/>
                </a:ext>
                <a:ext uri="{FF2B5EF4-FFF2-40B4-BE49-F238E27FC236}">
                  <a16:creationId xmlns:a16="http://schemas.microsoft.com/office/drawing/2014/main" id="{57A5F5E7-170C-41F8-9F3C-C3DB0123C99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7235" name="ChangeMember1_2" hidden="1">
              <a:extLst>
                <a:ext uri="{63B3BB69-23CF-44E3-9099-C40C66FF867C}">
                  <a14:compatExt spid="_x0000_s7235"/>
                </a:ext>
                <a:ext uri="{FF2B5EF4-FFF2-40B4-BE49-F238E27FC236}">
                  <a16:creationId xmlns:a16="http://schemas.microsoft.com/office/drawing/2014/main" id="{8F70EBE6-AB38-4696-BA7F-596825E6F06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7236" name="UpMember1_2" hidden="1">
              <a:extLst>
                <a:ext uri="{63B3BB69-23CF-44E3-9099-C40C66FF867C}">
                  <a14:compatExt spid="_x0000_s7236"/>
                </a:ext>
                <a:ext uri="{FF2B5EF4-FFF2-40B4-BE49-F238E27FC236}">
                  <a16:creationId xmlns:a16="http://schemas.microsoft.com/office/drawing/2014/main" id="{ABEF5FD6-962C-4D59-A6B3-49992ADEF32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7237" name="DownMember1_2" hidden="1">
              <a:extLst>
                <a:ext uri="{63B3BB69-23CF-44E3-9099-C40C66FF867C}">
                  <a14:compatExt spid="_x0000_s7237"/>
                </a:ext>
                <a:ext uri="{FF2B5EF4-FFF2-40B4-BE49-F238E27FC236}">
                  <a16:creationId xmlns:a16="http://schemas.microsoft.com/office/drawing/2014/main" id="{93C2472E-EC97-4439-BDA9-FFBAFE50D03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789214</xdr:colOff>
          <xdr:row>2</xdr:row>
          <xdr:rowOff>114300</xdr:rowOff>
        </xdr:from>
        <xdr:to>
          <xdr:col>9</xdr:col>
          <xdr:colOff>1208314</xdr:colOff>
          <xdr:row>2</xdr:row>
          <xdr:rowOff>571500</xdr:rowOff>
        </xdr:to>
        <xdr:sp macro="" textlink="">
          <xdr:nvSpPr>
            <xdr:cNvPr id="3574" name="SimulateForecast" hidden="1">
              <a:extLst>
                <a:ext uri="{63B3BB69-23CF-44E3-9099-C40C66FF867C}">
                  <a14:compatExt spid="_x0000_s3574"/>
                </a:ext>
                <a:ext uri="{FF2B5EF4-FFF2-40B4-BE49-F238E27FC236}">
                  <a16:creationId xmlns:a16="http://schemas.microsoft.com/office/drawing/2014/main" id="{00000000-0008-0000-02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2.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3.bin"/><Relationship Id="rId29"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7" Type="http://schemas.openxmlformats.org/officeDocument/2006/relationships/image" Target="../media/image4.png"/><Relationship Id="rId2" Type="http://schemas.openxmlformats.org/officeDocument/2006/relationships/customProperty" Target="../customProperty4.bin"/><Relationship Id="rId16" Type="http://schemas.openxmlformats.org/officeDocument/2006/relationships/control" Target="../activeX/activeX8.xml"/><Relationship Id="rId29" Type="http://schemas.openxmlformats.org/officeDocument/2006/relationships/image" Target="../media/image15.emf"/><Relationship Id="rId1" Type="http://schemas.openxmlformats.org/officeDocument/2006/relationships/printerSettings" Target="../printerSettings/printerSettings3.bin"/><Relationship Id="rId6" Type="http://schemas.openxmlformats.org/officeDocument/2006/relationships/vmlDrawing" Target="../drawings/vmlDrawing2.vml"/><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45" Type="http://schemas.openxmlformats.org/officeDocument/2006/relationships/image" Target="../media/image23.emf"/><Relationship Id="rId5" Type="http://schemas.openxmlformats.org/officeDocument/2006/relationships/drawing" Target="../drawings/drawing2.xml"/><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2.xml"/><Relationship Id="rId4" Type="http://schemas.openxmlformats.org/officeDocument/2006/relationships/customProperty" Target="../customProperty6.bin"/><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image" Target="../media/image22.emf"/><Relationship Id="rId8" Type="http://schemas.openxmlformats.org/officeDocument/2006/relationships/control" Target="../activeX/activeX4.xml"/><Relationship Id="rId3" Type="http://schemas.openxmlformats.org/officeDocument/2006/relationships/customProperty" Target="../customProperty5.bin"/><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 Id="rId46" Type="http://schemas.openxmlformats.org/officeDocument/2006/relationships/comments" Target="../comments2.xml"/><Relationship Id="rId20" Type="http://schemas.openxmlformats.org/officeDocument/2006/relationships/control" Target="../activeX/activeX10.xml"/><Relationship Id="rId41" Type="http://schemas.openxmlformats.org/officeDocument/2006/relationships/image" Target="../media/image2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12"/>
  <sheetViews>
    <sheetView workbookViewId="0">
      <selection activeCell="B6" sqref="B6"/>
    </sheetView>
  </sheetViews>
  <sheetFormatPr defaultRowHeight="14.6" x14ac:dyDescent="0.4"/>
  <sheetData>
    <row r="1" spans="1:14" x14ac:dyDescent="0.4">
      <c r="A1" t="s">
        <v>40</v>
      </c>
    </row>
    <row r="2" spans="1:14" ht="378.9" x14ac:dyDescent="0.4">
      <c r="A2" t="s">
        <v>41</v>
      </c>
      <c r="B2" s="29" t="s">
        <v>38</v>
      </c>
    </row>
    <row r="3" spans="1:14" x14ac:dyDescent="0.4">
      <c r="A3" t="s">
        <v>22</v>
      </c>
      <c r="B3" s="30" t="s">
        <v>39</v>
      </c>
    </row>
    <row r="4" spans="1:14" x14ac:dyDescent="0.4">
      <c r="A4" t="s">
        <v>23</v>
      </c>
      <c r="C4" t="s">
        <v>24</v>
      </c>
      <c r="D4" t="s">
        <v>25</v>
      </c>
      <c r="E4" t="s">
        <v>26</v>
      </c>
      <c r="F4" t="s">
        <v>27</v>
      </c>
      <c r="G4" t="s">
        <v>28</v>
      </c>
      <c r="H4" t="s">
        <v>29</v>
      </c>
      <c r="I4" t="s">
        <v>30</v>
      </c>
      <c r="J4" t="s">
        <v>31</v>
      </c>
      <c r="K4" t="s">
        <v>32</v>
      </c>
      <c r="L4" t="s">
        <v>33</v>
      </c>
      <c r="M4" t="s">
        <v>34</v>
      </c>
      <c r="N4" t="s">
        <v>35</v>
      </c>
    </row>
    <row r="5" spans="1:14" x14ac:dyDescent="0.4">
      <c r="A5" t="s">
        <v>23</v>
      </c>
      <c r="B5" t="s">
        <v>36</v>
      </c>
      <c r="C5">
        <v>0</v>
      </c>
      <c r="D5">
        <v>0</v>
      </c>
      <c r="E5">
        <v>0</v>
      </c>
      <c r="F5">
        <v>0</v>
      </c>
      <c r="G5">
        <v>0</v>
      </c>
      <c r="H5">
        <v>0</v>
      </c>
      <c r="I5">
        <v>0</v>
      </c>
      <c r="J5">
        <v>0</v>
      </c>
      <c r="K5">
        <v>0</v>
      </c>
      <c r="L5">
        <v>0</v>
      </c>
      <c r="M5">
        <v>0</v>
      </c>
      <c r="N5">
        <v>0</v>
      </c>
    </row>
    <row r="6" spans="1:14" x14ac:dyDescent="0.4">
      <c r="A6" t="s">
        <v>23</v>
      </c>
      <c r="B6" t="s">
        <v>37</v>
      </c>
      <c r="C6">
        <v>0</v>
      </c>
      <c r="D6">
        <v>0</v>
      </c>
      <c r="E6">
        <v>0</v>
      </c>
      <c r="F6">
        <v>0</v>
      </c>
      <c r="G6">
        <v>0</v>
      </c>
      <c r="H6">
        <v>0</v>
      </c>
      <c r="I6">
        <v>0</v>
      </c>
      <c r="J6">
        <v>0</v>
      </c>
      <c r="K6">
        <v>0</v>
      </c>
      <c r="L6">
        <v>0</v>
      </c>
      <c r="M6">
        <v>0</v>
      </c>
      <c r="N6">
        <v>0</v>
      </c>
    </row>
    <row r="7" spans="1:14" ht="409.6" x14ac:dyDescent="0.4">
      <c r="A7" t="s">
        <v>42</v>
      </c>
      <c r="B7" s="29" t="s">
        <v>43</v>
      </c>
    </row>
    <row r="8" spans="1:14" x14ac:dyDescent="0.4">
      <c r="A8" t="s">
        <v>22</v>
      </c>
    </row>
    <row r="9" spans="1:14" x14ac:dyDescent="0.4">
      <c r="A9" t="s">
        <v>23</v>
      </c>
      <c r="C9" t="s">
        <v>47</v>
      </c>
      <c r="D9" t="s">
        <v>48</v>
      </c>
      <c r="E9" t="s">
        <v>49</v>
      </c>
      <c r="F9" t="s">
        <v>50</v>
      </c>
      <c r="G9" t="s">
        <v>51</v>
      </c>
      <c r="H9" t="s">
        <v>52</v>
      </c>
      <c r="I9" t="s">
        <v>53</v>
      </c>
      <c r="J9" t="s">
        <v>54</v>
      </c>
      <c r="K9" t="s">
        <v>55</v>
      </c>
      <c r="L9" t="s">
        <v>56</v>
      </c>
      <c r="M9" t="s">
        <v>57</v>
      </c>
      <c r="N9" t="s">
        <v>58</v>
      </c>
    </row>
    <row r="10" spans="1:14" x14ac:dyDescent="0.4">
      <c r="A10" t="s">
        <v>23</v>
      </c>
      <c r="B10" t="s">
        <v>44</v>
      </c>
      <c r="C10">
        <v>0</v>
      </c>
      <c r="D10">
        <v>0</v>
      </c>
      <c r="E10">
        <v>0</v>
      </c>
      <c r="F10">
        <v>0</v>
      </c>
      <c r="G10">
        <v>0</v>
      </c>
      <c r="H10">
        <v>0</v>
      </c>
      <c r="I10">
        <v>0</v>
      </c>
      <c r="J10">
        <v>0</v>
      </c>
      <c r="K10">
        <v>0</v>
      </c>
      <c r="L10">
        <v>0</v>
      </c>
      <c r="M10">
        <v>0</v>
      </c>
      <c r="N10">
        <v>0</v>
      </c>
    </row>
    <row r="11" spans="1:14" x14ac:dyDescent="0.4">
      <c r="A11" t="s">
        <v>23</v>
      </c>
      <c r="B11" t="s">
        <v>45</v>
      </c>
      <c r="C11">
        <v>33152.5</v>
      </c>
      <c r="D11">
        <v>17674</v>
      </c>
      <c r="E11">
        <v>24458.5</v>
      </c>
      <c r="F11">
        <v>64236.5</v>
      </c>
      <c r="G11">
        <v>97627</v>
      </c>
      <c r="H11">
        <v>26897</v>
      </c>
      <c r="I11">
        <v>20398</v>
      </c>
      <c r="J11">
        <v>20019</v>
      </c>
      <c r="K11">
        <v>20378.5</v>
      </c>
      <c r="L11">
        <v>24693.5</v>
      </c>
      <c r="M11">
        <v>20976</v>
      </c>
      <c r="N11">
        <v>20252</v>
      </c>
    </row>
    <row r="12" spans="1:14" x14ac:dyDescent="0.4">
      <c r="A12" t="s">
        <v>23</v>
      </c>
      <c r="B12" t="s">
        <v>46</v>
      </c>
      <c r="C12">
        <v>0</v>
      </c>
      <c r="D12">
        <v>0</v>
      </c>
      <c r="E12">
        <v>0</v>
      </c>
      <c r="F12">
        <v>0</v>
      </c>
      <c r="G12">
        <v>0</v>
      </c>
      <c r="H12">
        <v>0</v>
      </c>
      <c r="I12">
        <v>0</v>
      </c>
      <c r="J12">
        <v>0</v>
      </c>
      <c r="K12">
        <v>0</v>
      </c>
      <c r="L12">
        <v>0</v>
      </c>
      <c r="M12">
        <v>0</v>
      </c>
      <c r="N12">
        <v>0</v>
      </c>
    </row>
  </sheetData>
  <dataConsolidate/>
  <pageMargins left="0.7" right="0.7" top="0.75" bottom="0.75" header="0.3" footer="0.3"/>
  <pageSetup paperSize="9" orientation="portrait" horizontalDpi="300" verticalDpi="0" r:id="rId1"/>
  <customProperties>
    <customPr name="FPMExcelClientCellBasedFunctionStatus" r:id="rId2"/>
    <customPr name="IbpWorksheetKeyString_GUID" r:id="rId3"/>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E74C2-41C4-4B48-825B-C6A90291EA8F}">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52" t="s">
        <v>66</v>
      </c>
      <c r="C1" s="52"/>
      <c r="D1" s="52"/>
      <c r="E1" s="52"/>
      <c r="F1" s="52"/>
      <c r="G1" s="52"/>
      <c r="H1" s="52"/>
      <c r="I1" s="52"/>
      <c r="J1" s="52"/>
      <c r="K1" s="52"/>
      <c r="L1" s="52"/>
    </row>
    <row r="2" spans="1:17" ht="15.75" customHeight="1" x14ac:dyDescent="0.4">
      <c r="A2" s="27" t="s">
        <v>21</v>
      </c>
      <c r="B2" s="2"/>
      <c r="C2" s="2"/>
      <c r="D2" s="2"/>
      <c r="E2" s="2"/>
      <c r="G2" s="2"/>
      <c r="H2" s="2"/>
      <c r="I2" s="2"/>
      <c r="J2" s="84"/>
      <c r="K2" s="2"/>
      <c r="L2" s="2"/>
    </row>
    <row r="3" spans="1:17" ht="15.75" customHeight="1" x14ac:dyDescent="0.4">
      <c r="A3" s="2"/>
      <c r="B3" s="3" t="s">
        <v>0</v>
      </c>
      <c r="C3" s="2"/>
      <c r="D3" s="2"/>
      <c r="E3" s="2"/>
      <c r="F3" s="84"/>
      <c r="G3" s="2"/>
      <c r="H3" s="2"/>
      <c r="I3" s="2"/>
      <c r="J3" s="84"/>
      <c r="K3" s="2"/>
      <c r="L3" s="2"/>
    </row>
    <row r="4" spans="1:17" ht="18" customHeight="1" thickBot="1" x14ac:dyDescent="0.45">
      <c r="A4" s="2"/>
      <c r="B4" s="2"/>
      <c r="C4" s="2"/>
      <c r="D4" s="2"/>
      <c r="E4" s="2"/>
      <c r="F4" s="84"/>
      <c r="G4" s="2"/>
      <c r="H4" s="2"/>
      <c r="I4" s="2"/>
      <c r="J4" s="84"/>
      <c r="K4" s="2"/>
      <c r="L4" s="2"/>
    </row>
    <row r="5" spans="1:17" ht="28.4" customHeight="1" x14ac:dyDescent="0.35">
      <c r="A5" s="2"/>
      <c r="B5" s="53" t="s">
        <v>59</v>
      </c>
      <c r="C5" s="54"/>
      <c r="D5" s="54"/>
      <c r="E5" s="54"/>
      <c r="F5" s="54"/>
      <c r="G5" s="54"/>
      <c r="H5" s="54"/>
      <c r="I5" s="54"/>
      <c r="J5" s="54"/>
      <c r="K5" s="54"/>
      <c r="L5" s="55"/>
      <c r="Q5" s="15" t="s">
        <v>16</v>
      </c>
    </row>
    <row r="6" spans="1:17" ht="28.4" customHeight="1" thickBot="1" x14ac:dyDescent="0.4">
      <c r="A6" s="2"/>
      <c r="B6" s="56"/>
      <c r="C6" s="57"/>
      <c r="D6" s="57"/>
      <c r="E6" s="57"/>
      <c r="F6" s="57"/>
      <c r="G6" s="57"/>
      <c r="H6" s="57"/>
      <c r="I6" s="57"/>
      <c r="J6" s="57"/>
      <c r="K6" s="57"/>
      <c r="L6" s="58"/>
      <c r="Q6" s="16" t="s">
        <v>17</v>
      </c>
    </row>
    <row r="7" spans="1:17" ht="21.9" customHeight="1" x14ac:dyDescent="0.4">
      <c r="A7" s="2"/>
      <c r="B7" s="59" t="s">
        <v>8</v>
      </c>
      <c r="C7" s="13"/>
      <c r="D7" s="13"/>
      <c r="E7" s="13"/>
      <c r="F7" s="85"/>
      <c r="G7" s="13"/>
      <c r="H7" s="13"/>
      <c r="I7" s="13"/>
      <c r="J7" s="85"/>
      <c r="K7" s="13"/>
      <c r="L7" s="14"/>
      <c r="Q7" s="51" t="s">
        <v>67</v>
      </c>
    </row>
    <row r="8" spans="1:17" ht="18" customHeight="1" x14ac:dyDescent="0.4">
      <c r="A8" s="2"/>
      <c r="B8" s="60"/>
      <c r="C8" s="2"/>
      <c r="D8" s="2"/>
      <c r="E8" s="2"/>
      <c r="F8" s="84"/>
      <c r="G8" s="2"/>
      <c r="H8" s="2"/>
      <c r="I8" s="2"/>
      <c r="J8" s="84"/>
      <c r="K8" s="2"/>
      <c r="L8" s="10"/>
      <c r="Q8" s="51"/>
    </row>
    <row r="9" spans="1:17" ht="17.149999999999999" customHeight="1" x14ac:dyDescent="0.35">
      <c r="A9" s="2"/>
      <c r="B9" s="60"/>
      <c r="C9" s="5"/>
      <c r="D9" s="6"/>
      <c r="E9" s="61" t="s">
        <v>1</v>
      </c>
      <c r="F9" s="62"/>
      <c r="G9" s="63"/>
      <c r="H9" s="4" t="s">
        <v>2</v>
      </c>
      <c r="I9" s="61" t="s">
        <v>3</v>
      </c>
      <c r="J9" s="62"/>
      <c r="K9" s="63"/>
      <c r="L9" s="11" t="s">
        <v>2</v>
      </c>
      <c r="Q9" s="51"/>
    </row>
    <row r="10" spans="1:17" ht="5.15" customHeight="1" x14ac:dyDescent="0.4">
      <c r="A10" s="2"/>
      <c r="B10" s="60"/>
      <c r="C10" s="64"/>
      <c r="D10" s="2"/>
      <c r="E10" s="86"/>
      <c r="F10" s="87"/>
      <c r="G10" s="86"/>
      <c r="H10" s="8"/>
      <c r="I10" s="86"/>
      <c r="J10" s="87"/>
      <c r="K10" s="86"/>
      <c r="L10" s="10"/>
      <c r="Q10" s="51"/>
    </row>
    <row r="11" spans="1:17" ht="15.9" customHeight="1" x14ac:dyDescent="0.35">
      <c r="A11" s="2"/>
      <c r="B11" s="60"/>
      <c r="C11" s="65"/>
      <c r="D11" s="88" t="s">
        <v>5</v>
      </c>
      <c r="E11" s="86"/>
      <c r="F11" s="89">
        <v>10000</v>
      </c>
      <c r="G11" s="86"/>
      <c r="H11" s="31" t="s">
        <v>19</v>
      </c>
      <c r="I11" s="86"/>
      <c r="J11" s="90" t="s">
        <v>7</v>
      </c>
      <c r="K11" s="86"/>
      <c r="L11" s="12" t="s">
        <v>6</v>
      </c>
      <c r="Q11" s="51"/>
    </row>
    <row r="12" spans="1:17" ht="5.15" customHeight="1" thickBot="1" x14ac:dyDescent="0.45">
      <c r="A12" s="2"/>
      <c r="B12" s="66"/>
      <c r="C12" s="67"/>
      <c r="D12" s="32"/>
      <c r="E12" s="33"/>
      <c r="F12" s="91"/>
      <c r="G12" s="33"/>
      <c r="H12" s="34"/>
      <c r="I12" s="33"/>
      <c r="J12" s="91"/>
      <c r="K12" s="33"/>
      <c r="L12" s="35"/>
      <c r="Q12" s="51"/>
    </row>
    <row r="13" spans="1:17" ht="21.9" customHeight="1" x14ac:dyDescent="0.4">
      <c r="A13" s="2"/>
      <c r="B13" s="60" t="s">
        <v>4</v>
      </c>
      <c r="C13" s="2"/>
      <c r="D13" s="2"/>
      <c r="E13" s="2"/>
      <c r="F13" s="84"/>
      <c r="G13" s="2"/>
      <c r="H13" s="2"/>
      <c r="I13" s="2"/>
      <c r="J13" s="84"/>
      <c r="K13" s="2"/>
      <c r="L13" s="10"/>
      <c r="Q13" s="51"/>
    </row>
    <row r="14" spans="1:17" ht="18" customHeight="1" x14ac:dyDescent="0.4">
      <c r="A14" s="2"/>
      <c r="B14" s="60"/>
      <c r="C14" s="2"/>
      <c r="D14" s="2"/>
      <c r="E14" s="2"/>
      <c r="F14" s="84"/>
      <c r="G14" s="2"/>
      <c r="H14" s="2"/>
      <c r="I14" s="2"/>
      <c r="J14" s="84"/>
      <c r="K14" s="2"/>
      <c r="L14" s="10"/>
      <c r="Q14" s="51"/>
    </row>
    <row r="15" spans="1:17" ht="17.149999999999999" customHeight="1" x14ac:dyDescent="0.35">
      <c r="A15" s="2"/>
      <c r="B15" s="60"/>
      <c r="C15" s="5"/>
      <c r="D15" s="6"/>
      <c r="E15" s="61" t="s">
        <v>1</v>
      </c>
      <c r="F15" s="62"/>
      <c r="G15" s="63"/>
      <c r="H15" s="4" t="s">
        <v>2</v>
      </c>
      <c r="I15" s="61" t="s">
        <v>3</v>
      </c>
      <c r="J15" s="62"/>
      <c r="K15" s="63"/>
      <c r="L15" s="11" t="s">
        <v>2</v>
      </c>
      <c r="Q15" s="51"/>
    </row>
    <row r="16" spans="1:17" ht="5.15" customHeight="1" x14ac:dyDescent="0.4">
      <c r="A16" s="2"/>
      <c r="B16" s="60"/>
      <c r="C16" s="64"/>
      <c r="D16" s="2"/>
      <c r="E16" s="86"/>
      <c r="F16" s="87"/>
      <c r="G16" s="86"/>
      <c r="H16" s="8"/>
      <c r="I16" s="86"/>
      <c r="J16" s="87"/>
      <c r="K16" s="86"/>
      <c r="L16" s="10"/>
      <c r="Q16" s="51"/>
    </row>
    <row r="17" spans="1:17" ht="15.9" customHeight="1" x14ac:dyDescent="0.35">
      <c r="A17" s="2"/>
      <c r="B17" s="60"/>
      <c r="C17" s="65"/>
      <c r="D17" s="88" t="s">
        <v>5</v>
      </c>
      <c r="E17" s="86"/>
      <c r="F17" s="89">
        <v>10000</v>
      </c>
      <c r="G17" s="86"/>
      <c r="H17" s="31" t="s">
        <v>6</v>
      </c>
      <c r="I17" s="86"/>
      <c r="J17" s="92" t="s">
        <v>7</v>
      </c>
      <c r="K17" s="86"/>
      <c r="L17" s="12" t="s">
        <v>6</v>
      </c>
      <c r="Q17" s="51"/>
    </row>
    <row r="18" spans="1:17" ht="5.15" customHeight="1" thickBot="1" x14ac:dyDescent="0.45">
      <c r="A18" s="2"/>
      <c r="B18" s="66"/>
      <c r="C18" s="67"/>
      <c r="D18" s="32"/>
      <c r="E18" s="33"/>
      <c r="F18" s="91"/>
      <c r="G18" s="33"/>
      <c r="H18" s="34"/>
      <c r="I18" s="33"/>
      <c r="J18" s="91"/>
      <c r="K18" s="33"/>
      <c r="L18" s="35"/>
      <c r="Q18" s="51"/>
    </row>
    <row r="19" spans="1:17" ht="9" customHeight="1" x14ac:dyDescent="0.4">
      <c r="A19" s="2"/>
      <c r="B19" s="2"/>
      <c r="C19" s="2"/>
      <c r="D19" s="2"/>
      <c r="E19" s="2"/>
      <c r="F19" s="84"/>
      <c r="G19" s="2"/>
      <c r="H19" s="2"/>
      <c r="I19" s="2"/>
      <c r="J19" s="84"/>
      <c r="K19" s="2"/>
      <c r="L19" s="2"/>
      <c r="Q19" s="51"/>
    </row>
    <row r="20" spans="1:17" ht="24.65" customHeight="1" x14ac:dyDescent="0.4">
      <c r="A20" s="2"/>
      <c r="B20" s="2"/>
      <c r="C20" s="2"/>
      <c r="D20" s="2"/>
      <c r="E20" s="2"/>
      <c r="F20" s="84"/>
      <c r="G20" s="2"/>
      <c r="H20" s="2"/>
      <c r="I20" s="2"/>
      <c r="J20" s="84"/>
      <c r="K20" s="2"/>
      <c r="L20" s="2"/>
      <c r="Q20" s="17"/>
    </row>
    <row r="21" spans="1:17" ht="15" customHeight="1" thickBot="1" x14ac:dyDescent="0.45">
      <c r="A21" s="2"/>
      <c r="B21" s="2"/>
      <c r="C21" s="2"/>
      <c r="D21" s="2"/>
      <c r="E21" s="2"/>
      <c r="F21" s="84"/>
      <c r="G21" s="2"/>
      <c r="H21" s="2"/>
      <c r="I21" s="2"/>
      <c r="J21" s="84"/>
      <c r="K21" s="2"/>
      <c r="L21" s="2"/>
      <c r="Q21" s="18" t="s">
        <v>18</v>
      </c>
    </row>
    <row r="22" spans="1:17" ht="28.4" customHeight="1" x14ac:dyDescent="0.35">
      <c r="A22" s="2"/>
      <c r="B22" s="68" t="s">
        <v>9</v>
      </c>
      <c r="C22" s="69"/>
      <c r="D22" s="69"/>
      <c r="E22" s="69"/>
      <c r="F22" s="69"/>
      <c r="G22" s="69"/>
      <c r="H22" s="69"/>
      <c r="I22" s="69"/>
      <c r="J22" s="69"/>
      <c r="K22" s="69"/>
      <c r="L22" s="70"/>
      <c r="Q22" s="51" t="s">
        <v>62</v>
      </c>
    </row>
    <row r="23" spans="1:17" ht="28.4" customHeight="1" x14ac:dyDescent="0.35">
      <c r="A23" s="2"/>
      <c r="B23" s="71"/>
      <c r="C23" s="72"/>
      <c r="D23" s="72"/>
      <c r="E23" s="72"/>
      <c r="F23" s="72"/>
      <c r="G23" s="72"/>
      <c r="H23" s="72"/>
      <c r="I23" s="72"/>
      <c r="J23" s="72"/>
      <c r="K23" s="72"/>
      <c r="L23" s="73"/>
      <c r="Q23" s="51"/>
    </row>
    <row r="24" spans="1:17" ht="18" customHeight="1" x14ac:dyDescent="0.4">
      <c r="A24" s="2"/>
      <c r="B24" s="75" t="s">
        <v>4</v>
      </c>
      <c r="C24" s="2"/>
      <c r="D24" s="2"/>
      <c r="E24" s="2"/>
      <c r="F24" s="84"/>
      <c r="G24" s="2"/>
      <c r="H24" s="2"/>
      <c r="I24" s="2"/>
      <c r="J24" s="84"/>
      <c r="K24" s="2"/>
      <c r="L24" s="10"/>
      <c r="Q24" s="51"/>
    </row>
    <row r="25" spans="1:17" ht="17.149999999999999" customHeight="1" x14ac:dyDescent="0.35">
      <c r="A25" s="2"/>
      <c r="B25" s="60"/>
      <c r="C25" s="5"/>
      <c r="D25" s="6"/>
      <c r="E25" s="61" t="s">
        <v>1</v>
      </c>
      <c r="F25" s="62"/>
      <c r="G25" s="63"/>
      <c r="H25" s="4" t="s">
        <v>2</v>
      </c>
      <c r="I25" s="61" t="s">
        <v>3</v>
      </c>
      <c r="J25" s="62"/>
      <c r="K25" s="63"/>
      <c r="L25" s="11" t="s">
        <v>2</v>
      </c>
      <c r="Q25" s="51"/>
    </row>
    <row r="26" spans="1:17" ht="5.15" customHeight="1" x14ac:dyDescent="0.4">
      <c r="A26" s="2"/>
      <c r="B26" s="60"/>
      <c r="C26" s="65"/>
      <c r="D26" s="2"/>
      <c r="E26" s="86"/>
      <c r="F26" s="87"/>
      <c r="G26" s="86"/>
      <c r="H26" s="9"/>
      <c r="I26" s="86"/>
      <c r="J26" s="87"/>
      <c r="K26" s="86"/>
      <c r="L26" s="10"/>
      <c r="Q26" s="51"/>
    </row>
    <row r="27" spans="1:17" ht="15.9" customHeight="1" x14ac:dyDescent="0.35">
      <c r="A27" s="2"/>
      <c r="B27" s="60"/>
      <c r="C27" s="65"/>
      <c r="D27" s="88" t="s">
        <v>60</v>
      </c>
      <c r="E27" s="86"/>
      <c r="F27" s="89">
        <v>10000</v>
      </c>
      <c r="G27" s="86"/>
      <c r="H27" s="31" t="s">
        <v>6</v>
      </c>
      <c r="I27" s="86"/>
      <c r="J27" s="93" t="s">
        <v>7</v>
      </c>
      <c r="K27" s="86"/>
      <c r="L27" s="12" t="s">
        <v>6</v>
      </c>
      <c r="Q27" s="51"/>
    </row>
    <row r="28" spans="1:17" ht="5.15" customHeight="1" x14ac:dyDescent="0.4">
      <c r="A28" s="2"/>
      <c r="B28" s="60"/>
      <c r="C28" s="74"/>
      <c r="D28" s="48"/>
      <c r="E28" s="7"/>
      <c r="F28" s="94"/>
      <c r="G28" s="7"/>
      <c r="H28" s="6"/>
      <c r="I28" s="7"/>
      <c r="J28" s="94"/>
      <c r="K28" s="7"/>
      <c r="L28" s="49"/>
      <c r="Q28" s="51"/>
    </row>
    <row r="29" spans="1:17" ht="5.15" customHeight="1" x14ac:dyDescent="0.4">
      <c r="A29" s="2"/>
      <c r="B29" s="60"/>
      <c r="C29" s="65"/>
      <c r="D29" s="2"/>
      <c r="E29" s="86"/>
      <c r="F29" s="87"/>
      <c r="G29" s="86"/>
      <c r="H29" s="9"/>
      <c r="I29" s="86"/>
      <c r="J29" s="87"/>
      <c r="K29" s="86"/>
      <c r="L29" s="10"/>
      <c r="Q29" s="51"/>
    </row>
    <row r="30" spans="1:17" ht="15.9" customHeight="1" x14ac:dyDescent="0.4">
      <c r="A30" s="2"/>
      <c r="B30" s="60"/>
      <c r="C30" s="65"/>
      <c r="D30" s="88" t="s">
        <v>61</v>
      </c>
      <c r="E30" s="86"/>
      <c r="F30" s="95">
        <v>10000</v>
      </c>
      <c r="G30" s="86"/>
      <c r="H30" s="31" t="s">
        <v>6</v>
      </c>
      <c r="I30" s="86"/>
      <c r="J30" s="93" t="s">
        <v>7</v>
      </c>
      <c r="K30" s="86"/>
      <c r="L30" s="12" t="s">
        <v>19</v>
      </c>
      <c r="Q30" s="19"/>
    </row>
    <row r="31" spans="1:17" ht="5.15" customHeight="1" x14ac:dyDescent="0.4">
      <c r="A31" s="2"/>
      <c r="B31" s="60"/>
      <c r="C31" s="74"/>
      <c r="D31" s="48"/>
      <c r="E31" s="7"/>
      <c r="F31" s="94"/>
      <c r="G31" s="7"/>
      <c r="H31" s="6"/>
      <c r="I31" s="7"/>
      <c r="J31" s="94"/>
      <c r="K31" s="7"/>
      <c r="L31" s="49"/>
    </row>
    <row r="32" spans="1:17" ht="5.15" customHeight="1" x14ac:dyDescent="0.4">
      <c r="A32" s="2"/>
      <c r="B32" s="60"/>
      <c r="C32" s="65"/>
      <c r="D32" s="2"/>
      <c r="E32" s="86"/>
      <c r="F32" s="87"/>
      <c r="G32" s="86"/>
      <c r="H32" s="9"/>
      <c r="I32" s="86"/>
      <c r="J32" s="87"/>
      <c r="K32" s="86"/>
      <c r="L32" s="10"/>
    </row>
    <row r="33" spans="1:12" ht="15.9" customHeight="1" x14ac:dyDescent="0.35">
      <c r="A33" s="2"/>
      <c r="B33" s="60"/>
      <c r="C33" s="65"/>
      <c r="D33" s="88" t="s">
        <v>10</v>
      </c>
      <c r="E33" s="86"/>
      <c r="F33" s="89">
        <v>10000</v>
      </c>
      <c r="G33" s="86"/>
      <c r="H33" s="31" t="s">
        <v>6</v>
      </c>
      <c r="I33" s="86"/>
      <c r="J33" s="93" t="s">
        <v>7</v>
      </c>
      <c r="K33" s="86"/>
      <c r="L33" s="12" t="s">
        <v>6</v>
      </c>
    </row>
    <row r="34" spans="1:12" ht="5.15" customHeight="1" x14ac:dyDescent="0.4">
      <c r="A34" s="2"/>
      <c r="B34" s="60"/>
      <c r="C34" s="74"/>
      <c r="D34" s="48"/>
      <c r="E34" s="7"/>
      <c r="F34" s="94"/>
      <c r="G34" s="7"/>
      <c r="H34" s="6"/>
      <c r="I34" s="7"/>
      <c r="J34" s="94"/>
      <c r="K34" s="7"/>
      <c r="L34" s="49"/>
    </row>
    <row r="35" spans="1:12" ht="5.15" customHeight="1" x14ac:dyDescent="0.4">
      <c r="A35" s="2"/>
      <c r="B35" s="60"/>
      <c r="C35" s="65"/>
      <c r="D35" s="2"/>
      <c r="E35" s="86"/>
      <c r="F35" s="87"/>
      <c r="G35" s="86"/>
      <c r="H35" s="9"/>
      <c r="I35" s="86"/>
      <c r="J35" s="87"/>
      <c r="K35" s="86"/>
      <c r="L35" s="10"/>
    </row>
    <row r="36" spans="1:12" ht="15.9" customHeight="1" x14ac:dyDescent="0.35">
      <c r="A36" s="2"/>
      <c r="B36" s="60"/>
      <c r="C36" s="65"/>
      <c r="D36" s="88" t="s">
        <v>11</v>
      </c>
      <c r="E36" s="86"/>
      <c r="F36" s="96">
        <v>10000</v>
      </c>
      <c r="G36" s="86"/>
      <c r="H36" s="31" t="s">
        <v>20</v>
      </c>
      <c r="I36" s="86"/>
      <c r="J36" s="93" t="s">
        <v>7</v>
      </c>
      <c r="K36" s="86"/>
      <c r="L36" s="12" t="s">
        <v>19</v>
      </c>
    </row>
    <row r="37" spans="1:12" ht="5.15" customHeight="1" x14ac:dyDescent="0.4">
      <c r="A37" s="2"/>
      <c r="B37" s="60"/>
      <c r="C37" s="74"/>
      <c r="D37" s="48"/>
      <c r="E37" s="7"/>
      <c r="F37" s="94"/>
      <c r="G37" s="7"/>
      <c r="H37" s="6"/>
      <c r="I37" s="7"/>
      <c r="J37" s="94"/>
      <c r="K37" s="7"/>
      <c r="L37" s="49"/>
    </row>
    <row r="38" spans="1:12" ht="5.15" customHeight="1" x14ac:dyDescent="0.4">
      <c r="A38" s="2"/>
      <c r="B38" s="60"/>
      <c r="C38" s="65"/>
      <c r="D38" s="2"/>
      <c r="E38" s="86"/>
      <c r="F38" s="87"/>
      <c r="G38" s="86"/>
      <c r="H38" s="9"/>
      <c r="I38" s="86"/>
      <c r="J38" s="87"/>
      <c r="K38" s="86"/>
      <c r="L38" s="10"/>
    </row>
    <row r="39" spans="1:12" ht="15.9" customHeight="1" x14ac:dyDescent="0.4">
      <c r="A39" s="2"/>
      <c r="B39" s="60"/>
      <c r="C39" s="65"/>
      <c r="D39" s="88" t="s">
        <v>12</v>
      </c>
      <c r="E39" s="86"/>
      <c r="F39" s="87"/>
      <c r="G39" s="86"/>
      <c r="H39" s="9"/>
      <c r="I39" s="86"/>
      <c r="J39" s="87"/>
      <c r="K39" s="86"/>
      <c r="L39" s="10"/>
    </row>
    <row r="40" spans="1:12" ht="5.15" customHeight="1" x14ac:dyDescent="0.4">
      <c r="A40" s="2"/>
      <c r="B40" s="60"/>
      <c r="C40" s="47"/>
      <c r="D40" s="88"/>
      <c r="E40" s="86"/>
      <c r="F40" s="87"/>
      <c r="G40" s="86"/>
      <c r="H40" s="9"/>
      <c r="I40" s="86"/>
      <c r="J40" s="87"/>
      <c r="K40" s="86"/>
      <c r="L40" s="10"/>
    </row>
    <row r="41" spans="1:12" ht="15.9" customHeight="1" x14ac:dyDescent="0.35">
      <c r="A41" s="2"/>
      <c r="B41" s="60"/>
      <c r="C41" s="47"/>
      <c r="D41" s="97" t="s">
        <v>63</v>
      </c>
      <c r="E41" s="86"/>
      <c r="F41" s="98">
        <v>10000</v>
      </c>
      <c r="G41" s="86"/>
      <c r="H41" s="31" t="s">
        <v>64</v>
      </c>
      <c r="I41" s="86"/>
      <c r="J41" s="99" t="s">
        <v>7</v>
      </c>
      <c r="K41" s="86"/>
      <c r="L41" s="12" t="s">
        <v>64</v>
      </c>
    </row>
    <row r="42" spans="1:12" ht="5.15" customHeight="1" x14ac:dyDescent="0.4">
      <c r="A42" s="2"/>
      <c r="B42" s="60"/>
      <c r="C42" s="47"/>
      <c r="D42" s="25"/>
      <c r="E42" s="7"/>
      <c r="F42" s="94"/>
      <c r="G42" s="7"/>
      <c r="H42" s="6"/>
      <c r="I42" s="7"/>
      <c r="J42" s="94"/>
      <c r="K42" s="7"/>
      <c r="L42" s="49"/>
    </row>
    <row r="43" spans="1:12" ht="5.15" customHeight="1" x14ac:dyDescent="0.4">
      <c r="A43" s="2"/>
      <c r="B43" s="60"/>
      <c r="C43" s="47"/>
      <c r="D43" s="88"/>
      <c r="E43" s="86"/>
      <c r="F43" s="87"/>
      <c r="G43" s="86"/>
      <c r="H43" s="9"/>
      <c r="I43" s="86"/>
      <c r="J43" s="87"/>
      <c r="K43" s="86"/>
      <c r="L43" s="10"/>
    </row>
    <row r="44" spans="1:12" ht="15.9" customHeight="1" x14ac:dyDescent="0.35">
      <c r="A44" s="2"/>
      <c r="B44" s="60"/>
      <c r="C44" s="47"/>
      <c r="D44" s="100" t="s">
        <v>68</v>
      </c>
      <c r="E44" s="86"/>
      <c r="F44" s="101">
        <v>10000</v>
      </c>
      <c r="G44" s="86"/>
      <c r="H44" s="31" t="s">
        <v>69</v>
      </c>
      <c r="I44" s="86"/>
      <c r="J44" s="93" t="s">
        <v>7</v>
      </c>
      <c r="K44" s="86"/>
      <c r="L44" s="12" t="s">
        <v>19</v>
      </c>
    </row>
    <row r="45" spans="1:12" ht="5.15" customHeight="1" x14ac:dyDescent="0.4">
      <c r="A45" s="2"/>
      <c r="B45" s="60"/>
      <c r="C45" s="47"/>
      <c r="D45" s="25"/>
      <c r="E45" s="7"/>
      <c r="F45" s="94"/>
      <c r="G45" s="7"/>
      <c r="H45" s="6"/>
      <c r="I45" s="7"/>
      <c r="J45" s="94"/>
      <c r="K45" s="7"/>
      <c r="L45" s="49"/>
    </row>
    <row r="46" spans="1:12" ht="21.9" customHeight="1" x14ac:dyDescent="0.4">
      <c r="A46" s="2"/>
      <c r="B46" s="60"/>
      <c r="C46" s="47"/>
      <c r="D46" s="2"/>
      <c r="E46" s="2"/>
      <c r="F46" s="84"/>
      <c r="G46" s="2"/>
      <c r="H46" s="9"/>
      <c r="I46" s="2"/>
      <c r="J46" s="84"/>
      <c r="K46" s="2"/>
      <c r="L46" s="10"/>
    </row>
    <row r="47" spans="1:12" ht="5.15" customHeight="1" thickBot="1" x14ac:dyDescent="0.45">
      <c r="A47" s="2"/>
      <c r="B47" s="66"/>
      <c r="C47" s="50"/>
      <c r="D47" s="32"/>
      <c r="E47" s="32"/>
      <c r="F47" s="102"/>
      <c r="G47" s="32"/>
      <c r="H47" s="34"/>
      <c r="I47" s="32"/>
      <c r="J47" s="102"/>
      <c r="K47" s="32"/>
      <c r="L47" s="35"/>
    </row>
    <row r="48" spans="1:12" ht="15.9" customHeight="1" x14ac:dyDescent="0.4">
      <c r="A48" s="2"/>
      <c r="B48" s="59" t="s">
        <v>8</v>
      </c>
      <c r="C48" s="13"/>
      <c r="D48" s="13"/>
      <c r="E48" s="13"/>
      <c r="F48" s="85"/>
      <c r="G48" s="13"/>
      <c r="H48" s="13"/>
      <c r="I48" s="13"/>
      <c r="J48" s="85"/>
      <c r="K48" s="13"/>
      <c r="L48" s="14"/>
    </row>
    <row r="49" spans="1:12" ht="18" customHeight="1" x14ac:dyDescent="0.35">
      <c r="A49" s="2"/>
      <c r="B49" s="60"/>
      <c r="C49" s="5"/>
      <c r="D49" s="6"/>
      <c r="E49" s="61" t="s">
        <v>1</v>
      </c>
      <c r="F49" s="62"/>
      <c r="G49" s="63"/>
      <c r="H49" s="4" t="s">
        <v>2</v>
      </c>
      <c r="I49" s="61" t="s">
        <v>3</v>
      </c>
      <c r="J49" s="62"/>
      <c r="K49" s="63"/>
      <c r="L49" s="11" t="s">
        <v>2</v>
      </c>
    </row>
    <row r="50" spans="1:12" ht="5.15" customHeight="1" x14ac:dyDescent="0.4">
      <c r="A50" s="2"/>
      <c r="B50" s="60"/>
      <c r="C50" s="65"/>
      <c r="D50" s="2"/>
      <c r="E50" s="86"/>
      <c r="F50" s="87"/>
      <c r="G50" s="86"/>
      <c r="H50" s="9"/>
      <c r="I50" s="86"/>
      <c r="J50" s="87"/>
      <c r="K50" s="86"/>
      <c r="L50" s="10"/>
    </row>
    <row r="51" spans="1:12" ht="15.9" customHeight="1" x14ac:dyDescent="0.35">
      <c r="A51" s="2"/>
      <c r="B51" s="60"/>
      <c r="C51" s="65"/>
      <c r="D51" s="88" t="s">
        <v>60</v>
      </c>
      <c r="E51" s="86"/>
      <c r="F51" s="89">
        <v>10000</v>
      </c>
      <c r="G51" s="86"/>
      <c r="H51" s="31" t="s">
        <v>6</v>
      </c>
      <c r="I51" s="86"/>
      <c r="J51" s="93" t="s">
        <v>7</v>
      </c>
      <c r="K51" s="86"/>
      <c r="L51" s="12" t="s">
        <v>6</v>
      </c>
    </row>
    <row r="52" spans="1:12" ht="5.15" customHeight="1" x14ac:dyDescent="0.4">
      <c r="A52" s="2"/>
      <c r="B52" s="60"/>
      <c r="C52" s="74"/>
      <c r="D52" s="48"/>
      <c r="E52" s="7"/>
      <c r="F52" s="94"/>
      <c r="G52" s="7"/>
      <c r="H52" s="6"/>
      <c r="I52" s="7"/>
      <c r="J52" s="94"/>
      <c r="K52" s="7"/>
      <c r="L52" s="49"/>
    </row>
    <row r="53" spans="1:12" ht="5.15" customHeight="1" x14ac:dyDescent="0.4">
      <c r="A53" s="2"/>
      <c r="B53" s="60"/>
      <c r="C53" s="65"/>
      <c r="D53" s="2"/>
      <c r="E53" s="86"/>
      <c r="F53" s="87"/>
      <c r="G53" s="86"/>
      <c r="H53" s="9"/>
      <c r="I53" s="86"/>
      <c r="J53" s="87"/>
      <c r="K53" s="86"/>
      <c r="L53" s="10"/>
    </row>
    <row r="54" spans="1:12" ht="15.9" customHeight="1" x14ac:dyDescent="0.35">
      <c r="A54" s="2"/>
      <c r="B54" s="60"/>
      <c r="C54" s="65"/>
      <c r="D54" s="88" t="s">
        <v>61</v>
      </c>
      <c r="E54" s="86"/>
      <c r="F54" s="95">
        <v>10000</v>
      </c>
      <c r="G54" s="86"/>
      <c r="H54" s="31" t="s">
        <v>20</v>
      </c>
      <c r="I54" s="86"/>
      <c r="J54" s="93" t="s">
        <v>7</v>
      </c>
      <c r="K54" s="86"/>
      <c r="L54" s="12" t="s">
        <v>19</v>
      </c>
    </row>
    <row r="55" spans="1:12" ht="5.15" customHeight="1" x14ac:dyDescent="0.4">
      <c r="A55" s="2"/>
      <c r="B55" s="60"/>
      <c r="C55" s="74"/>
      <c r="D55" s="48"/>
      <c r="E55" s="7"/>
      <c r="F55" s="94"/>
      <c r="G55" s="7"/>
      <c r="H55" s="6"/>
      <c r="I55" s="7"/>
      <c r="J55" s="94"/>
      <c r="K55" s="7"/>
      <c r="L55" s="49"/>
    </row>
    <row r="56" spans="1:12" ht="5.15" customHeight="1" x14ac:dyDescent="0.4">
      <c r="A56" s="2"/>
      <c r="B56" s="60"/>
      <c r="C56" s="65"/>
      <c r="D56" s="2"/>
      <c r="E56" s="86"/>
      <c r="F56" s="87"/>
      <c r="G56" s="86"/>
      <c r="H56" s="9"/>
      <c r="I56" s="86"/>
      <c r="J56" s="87"/>
      <c r="K56" s="86"/>
      <c r="L56" s="10"/>
    </row>
    <row r="57" spans="1:12" ht="15.9" customHeight="1" x14ac:dyDescent="0.35">
      <c r="A57" s="2"/>
      <c r="B57" s="60"/>
      <c r="C57" s="65"/>
      <c r="D57" s="88" t="s">
        <v>10</v>
      </c>
      <c r="E57" s="86"/>
      <c r="F57" s="95">
        <v>10000</v>
      </c>
      <c r="G57" s="86"/>
      <c r="H57" s="31" t="s">
        <v>6</v>
      </c>
      <c r="I57" s="86"/>
      <c r="J57" s="93" t="s">
        <v>7</v>
      </c>
      <c r="K57" s="86"/>
      <c r="L57" s="12" t="s">
        <v>6</v>
      </c>
    </row>
    <row r="58" spans="1:12" ht="5.15" customHeight="1" x14ac:dyDescent="0.4">
      <c r="A58" s="2"/>
      <c r="B58" s="60"/>
      <c r="C58" s="74"/>
      <c r="D58" s="48"/>
      <c r="E58" s="7"/>
      <c r="F58" s="94"/>
      <c r="G58" s="7"/>
      <c r="H58" s="6"/>
      <c r="I58" s="7"/>
      <c r="J58" s="94"/>
      <c r="K58" s="7"/>
      <c r="L58" s="49"/>
    </row>
    <row r="59" spans="1:12" ht="5.15" customHeight="1" x14ac:dyDescent="0.4">
      <c r="A59" s="2"/>
      <c r="B59" s="60"/>
      <c r="C59" s="65"/>
      <c r="D59" s="2"/>
      <c r="E59" s="86"/>
      <c r="F59" s="87"/>
      <c r="G59" s="86"/>
      <c r="H59" s="9"/>
      <c r="I59" s="86"/>
      <c r="J59" s="87"/>
      <c r="K59" s="86"/>
      <c r="L59" s="10"/>
    </row>
    <row r="60" spans="1:12" ht="15.9" customHeight="1" x14ac:dyDescent="0.35">
      <c r="A60" s="2"/>
      <c r="B60" s="60"/>
      <c r="C60" s="65"/>
      <c r="D60" s="88" t="s">
        <v>11</v>
      </c>
      <c r="E60" s="86"/>
      <c r="F60" s="95">
        <v>10000</v>
      </c>
      <c r="G60" s="86"/>
      <c r="H60" s="31" t="s">
        <v>6</v>
      </c>
      <c r="I60" s="86"/>
      <c r="J60" s="93" t="s">
        <v>7</v>
      </c>
      <c r="K60" s="86"/>
      <c r="L60" s="12" t="s">
        <v>6</v>
      </c>
    </row>
    <row r="61" spans="1:12" ht="5.15" customHeight="1" x14ac:dyDescent="0.4">
      <c r="A61" s="2"/>
      <c r="B61" s="60"/>
      <c r="C61" s="74"/>
      <c r="D61" s="48"/>
      <c r="E61" s="7"/>
      <c r="F61" s="94"/>
      <c r="G61" s="7"/>
      <c r="H61" s="6"/>
      <c r="I61" s="7"/>
      <c r="J61" s="94"/>
      <c r="K61" s="7"/>
      <c r="L61" s="49"/>
    </row>
    <row r="62" spans="1:12" ht="5.15" customHeight="1" x14ac:dyDescent="0.4">
      <c r="A62" s="2"/>
      <c r="B62" s="60"/>
      <c r="C62" s="65"/>
      <c r="D62" s="2"/>
      <c r="E62" s="86"/>
      <c r="F62" s="87"/>
      <c r="G62" s="86"/>
      <c r="H62" s="9"/>
      <c r="I62" s="86"/>
      <c r="J62" s="87"/>
      <c r="K62" s="86"/>
      <c r="L62" s="10"/>
    </row>
    <row r="63" spans="1:12" ht="15.9" customHeight="1" x14ac:dyDescent="0.4">
      <c r="A63" s="2"/>
      <c r="B63" s="60"/>
      <c r="C63" s="65"/>
      <c r="D63" s="88" t="s">
        <v>12</v>
      </c>
      <c r="E63" s="86"/>
      <c r="F63" s="87"/>
      <c r="G63" s="86"/>
      <c r="H63" s="9"/>
      <c r="I63" s="86"/>
      <c r="J63" s="87"/>
      <c r="K63" s="86"/>
      <c r="L63" s="10"/>
    </row>
    <row r="64" spans="1:12" ht="5.15" customHeight="1" x14ac:dyDescent="0.4">
      <c r="A64" s="2"/>
      <c r="B64" s="60"/>
      <c r="C64" s="47"/>
      <c r="D64" s="88"/>
      <c r="E64" s="86"/>
      <c r="F64" s="87"/>
      <c r="G64" s="86"/>
      <c r="H64" s="9"/>
      <c r="I64" s="86"/>
      <c r="J64" s="87"/>
      <c r="K64" s="86"/>
      <c r="L64" s="10"/>
    </row>
    <row r="65" spans="1:12" ht="15.9" customHeight="1" x14ac:dyDescent="0.35">
      <c r="A65" s="2"/>
      <c r="B65" s="60"/>
      <c r="C65" s="47"/>
      <c r="D65" s="97" t="s">
        <v>70</v>
      </c>
      <c r="E65" s="86"/>
      <c r="F65" s="103">
        <v>10000</v>
      </c>
      <c r="G65" s="86"/>
      <c r="H65" s="31" t="s">
        <v>64</v>
      </c>
      <c r="I65" s="86"/>
      <c r="J65" s="93" t="s">
        <v>7</v>
      </c>
      <c r="K65" s="86"/>
      <c r="L65" s="12" t="s">
        <v>19</v>
      </c>
    </row>
    <row r="66" spans="1:12" ht="5.15" customHeight="1" x14ac:dyDescent="0.4">
      <c r="A66" s="2"/>
      <c r="B66" s="60"/>
      <c r="C66" s="47"/>
      <c r="D66" s="25"/>
      <c r="E66" s="7"/>
      <c r="F66" s="94"/>
      <c r="G66" s="7"/>
      <c r="H66" s="6"/>
      <c r="I66" s="7"/>
      <c r="J66" s="94"/>
      <c r="K66" s="7"/>
      <c r="L66" s="49"/>
    </row>
    <row r="67" spans="1:12" ht="5.15" customHeight="1" x14ac:dyDescent="0.4">
      <c r="A67" s="2"/>
      <c r="B67" s="60"/>
      <c r="C67" s="47"/>
      <c r="D67" s="88"/>
      <c r="E67" s="86"/>
      <c r="F67" s="87"/>
      <c r="G67" s="86"/>
      <c r="H67" s="9"/>
      <c r="I67" s="86"/>
      <c r="J67" s="87"/>
      <c r="K67" s="86"/>
      <c r="L67" s="10"/>
    </row>
    <row r="68" spans="1:12" ht="15.9" customHeight="1" x14ac:dyDescent="0.35">
      <c r="A68" s="2"/>
      <c r="B68" s="60"/>
      <c r="C68" s="47"/>
      <c r="D68" s="97" t="s">
        <v>71</v>
      </c>
      <c r="E68" s="86"/>
      <c r="F68" s="89">
        <v>10000</v>
      </c>
      <c r="G68" s="86"/>
      <c r="H68" s="31" t="s">
        <v>19</v>
      </c>
      <c r="I68" s="86"/>
      <c r="J68" s="104" t="s">
        <v>7</v>
      </c>
      <c r="K68" s="86"/>
      <c r="L68" s="12" t="s">
        <v>20</v>
      </c>
    </row>
    <row r="69" spans="1:12" ht="5.15" customHeight="1" x14ac:dyDescent="0.4">
      <c r="A69" s="2"/>
      <c r="B69" s="60"/>
      <c r="C69" s="47"/>
      <c r="D69" s="25"/>
      <c r="E69" s="7"/>
      <c r="F69" s="94"/>
      <c r="G69" s="7"/>
      <c r="H69" s="6"/>
      <c r="I69" s="7"/>
      <c r="J69" s="94"/>
      <c r="K69" s="7"/>
      <c r="L69" s="49"/>
    </row>
    <row r="70" spans="1:12" ht="5.15" customHeight="1" x14ac:dyDescent="0.4">
      <c r="A70" s="2"/>
      <c r="B70" s="60"/>
      <c r="C70" s="47"/>
      <c r="D70" s="88"/>
      <c r="E70" s="86"/>
      <c r="F70" s="87"/>
      <c r="G70" s="86"/>
      <c r="H70" s="9"/>
      <c r="I70" s="86"/>
      <c r="J70" s="87"/>
      <c r="K70" s="86"/>
      <c r="L70" s="10"/>
    </row>
    <row r="71" spans="1:12" ht="15.9" customHeight="1" x14ac:dyDescent="0.35">
      <c r="A71" s="2"/>
      <c r="B71" s="60"/>
      <c r="C71" s="47"/>
      <c r="D71" s="97" t="s">
        <v>72</v>
      </c>
      <c r="E71" s="86"/>
      <c r="F71" s="89">
        <v>10000</v>
      </c>
      <c r="G71" s="86"/>
      <c r="H71" s="31" t="s">
        <v>19</v>
      </c>
      <c r="I71" s="86"/>
      <c r="J71" s="105" t="s">
        <v>7</v>
      </c>
      <c r="K71" s="86"/>
      <c r="L71" s="12" t="s">
        <v>20</v>
      </c>
    </row>
    <row r="72" spans="1:12" ht="5.15" customHeight="1" x14ac:dyDescent="0.4">
      <c r="A72" s="2"/>
      <c r="B72" s="60"/>
      <c r="C72" s="47"/>
      <c r="D72" s="25"/>
      <c r="E72" s="7"/>
      <c r="F72" s="94"/>
      <c r="G72" s="7"/>
      <c r="H72" s="6"/>
      <c r="I72" s="7"/>
      <c r="J72" s="94"/>
      <c r="K72" s="7"/>
      <c r="L72" s="49"/>
    </row>
    <row r="73" spans="1:12" ht="5.15" customHeight="1" x14ac:dyDescent="0.4">
      <c r="A73" s="2"/>
      <c r="B73" s="60"/>
      <c r="C73" s="47"/>
      <c r="D73" s="88"/>
      <c r="E73" s="86"/>
      <c r="F73" s="87"/>
      <c r="G73" s="86"/>
      <c r="H73" s="9"/>
      <c r="I73" s="86"/>
      <c r="J73" s="87"/>
      <c r="K73" s="86"/>
      <c r="L73" s="10"/>
    </row>
    <row r="74" spans="1:12" ht="15.9" customHeight="1" x14ac:dyDescent="0.35">
      <c r="A74" s="2"/>
      <c r="B74" s="60"/>
      <c r="C74" s="47"/>
      <c r="D74" s="97" t="s">
        <v>73</v>
      </c>
      <c r="E74" s="86"/>
      <c r="F74" s="89">
        <v>10000</v>
      </c>
      <c r="G74" s="86"/>
      <c r="H74" s="31" t="s">
        <v>19</v>
      </c>
      <c r="I74" s="86"/>
      <c r="J74" s="106" t="s">
        <v>7</v>
      </c>
      <c r="K74" s="86"/>
      <c r="L74" s="12" t="s">
        <v>20</v>
      </c>
    </row>
    <row r="75" spans="1:12" ht="5.15" customHeight="1" x14ac:dyDescent="0.4">
      <c r="A75" s="2"/>
      <c r="B75" s="60"/>
      <c r="C75" s="47"/>
      <c r="D75" s="25"/>
      <c r="E75" s="7"/>
      <c r="F75" s="94"/>
      <c r="G75" s="7"/>
      <c r="H75" s="6"/>
      <c r="I75" s="7"/>
      <c r="J75" s="94"/>
      <c r="K75" s="7"/>
      <c r="L75" s="49"/>
    </row>
    <row r="76" spans="1:12" ht="5.15" customHeight="1" x14ac:dyDescent="0.4">
      <c r="A76" s="2"/>
      <c r="B76" s="60"/>
      <c r="C76" s="47"/>
      <c r="D76" s="88"/>
      <c r="E76" s="86"/>
      <c r="F76" s="87"/>
      <c r="G76" s="86"/>
      <c r="H76" s="9"/>
      <c r="I76" s="86"/>
      <c r="J76" s="87"/>
      <c r="K76" s="86"/>
      <c r="L76" s="10"/>
    </row>
    <row r="77" spans="1:12" ht="15.9" customHeight="1" x14ac:dyDescent="0.35">
      <c r="A77" s="2"/>
      <c r="B77" s="60"/>
      <c r="C77" s="47"/>
      <c r="D77" s="97" t="s">
        <v>74</v>
      </c>
      <c r="E77" s="86"/>
      <c r="F77" s="89">
        <v>10000</v>
      </c>
      <c r="G77" s="86"/>
      <c r="H77" s="31" t="s">
        <v>19</v>
      </c>
      <c r="I77" s="86"/>
      <c r="J77" s="107" t="s">
        <v>7</v>
      </c>
      <c r="K77" s="86"/>
      <c r="L77" s="12" t="s">
        <v>20</v>
      </c>
    </row>
    <row r="78" spans="1:12" ht="5.15" customHeight="1" x14ac:dyDescent="0.4">
      <c r="A78" s="2"/>
      <c r="B78" s="60"/>
      <c r="C78" s="47"/>
      <c r="D78" s="25"/>
      <c r="E78" s="7"/>
      <c r="F78" s="94"/>
      <c r="G78" s="7"/>
      <c r="H78" s="6"/>
      <c r="I78" s="7"/>
      <c r="J78" s="94"/>
      <c r="K78" s="7"/>
      <c r="L78" s="49"/>
    </row>
    <row r="79" spans="1:12" ht="5.15" customHeight="1" x14ac:dyDescent="0.4">
      <c r="A79" s="2"/>
      <c r="B79" s="60"/>
      <c r="C79" s="47"/>
      <c r="D79" s="88"/>
      <c r="E79" s="86"/>
      <c r="F79" s="87"/>
      <c r="G79" s="86"/>
      <c r="H79" s="9"/>
      <c r="I79" s="86"/>
      <c r="J79" s="87"/>
      <c r="K79" s="86"/>
      <c r="L79" s="10"/>
    </row>
    <row r="80" spans="1:12" ht="15.9" customHeight="1" x14ac:dyDescent="0.35">
      <c r="A80" s="2"/>
      <c r="B80" s="60"/>
      <c r="C80" s="47"/>
      <c r="D80" s="97" t="s">
        <v>75</v>
      </c>
      <c r="E80" s="86"/>
      <c r="F80" s="89">
        <v>10000</v>
      </c>
      <c r="G80" s="86"/>
      <c r="H80" s="31" t="s">
        <v>19</v>
      </c>
      <c r="I80" s="86"/>
      <c r="J80" s="108" t="s">
        <v>7</v>
      </c>
      <c r="K80" s="86"/>
      <c r="L80" s="12" t="s">
        <v>20</v>
      </c>
    </row>
    <row r="81" spans="1:12" ht="5.15" customHeight="1" x14ac:dyDescent="0.4">
      <c r="A81" s="2"/>
      <c r="B81" s="60"/>
      <c r="C81" s="47"/>
      <c r="D81" s="25"/>
      <c r="E81" s="7"/>
      <c r="F81" s="94"/>
      <c r="G81" s="7"/>
      <c r="H81" s="6"/>
      <c r="I81" s="7"/>
      <c r="J81" s="94"/>
      <c r="K81" s="7"/>
      <c r="L81" s="49"/>
    </row>
    <row r="82" spans="1:12" ht="5.15" customHeight="1" x14ac:dyDescent="0.4">
      <c r="A82" s="2"/>
      <c r="B82" s="60"/>
      <c r="C82" s="47"/>
      <c r="D82" s="88"/>
      <c r="E82" s="86"/>
      <c r="F82" s="87"/>
      <c r="G82" s="86"/>
      <c r="H82" s="9"/>
      <c r="I82" s="86"/>
      <c r="J82" s="87"/>
      <c r="K82" s="86"/>
      <c r="L82" s="10"/>
    </row>
    <row r="83" spans="1:12" ht="15.9" customHeight="1" x14ac:dyDescent="0.35">
      <c r="A83" s="2"/>
      <c r="B83" s="60"/>
      <c r="C83" s="47"/>
      <c r="D83" s="97" t="s">
        <v>76</v>
      </c>
      <c r="E83" s="86"/>
      <c r="F83" s="89">
        <v>10000</v>
      </c>
      <c r="G83" s="86"/>
      <c r="H83" s="31" t="s">
        <v>19</v>
      </c>
      <c r="I83" s="86"/>
      <c r="J83" s="109" t="s">
        <v>7</v>
      </c>
      <c r="K83" s="86"/>
      <c r="L83" s="12" t="s">
        <v>20</v>
      </c>
    </row>
    <row r="84" spans="1:12" ht="5.15" customHeight="1" x14ac:dyDescent="0.4">
      <c r="A84" s="2"/>
      <c r="B84" s="60"/>
      <c r="C84" s="47"/>
      <c r="D84" s="25"/>
      <c r="E84" s="7"/>
      <c r="F84" s="94"/>
      <c r="G84" s="7"/>
      <c r="H84" s="6"/>
      <c r="I84" s="7"/>
      <c r="J84" s="94"/>
      <c r="K84" s="7"/>
      <c r="L84" s="49"/>
    </row>
    <row r="85" spans="1:12" ht="21.9" customHeight="1" x14ac:dyDescent="0.4">
      <c r="A85" s="2"/>
      <c r="B85" s="60"/>
      <c r="C85" s="47"/>
      <c r="D85" s="2"/>
      <c r="E85" s="2"/>
      <c r="F85" s="84"/>
      <c r="G85" s="2"/>
      <c r="H85" s="9"/>
      <c r="I85" s="2"/>
      <c r="J85" s="84"/>
      <c r="K85" s="2"/>
      <c r="L85" s="10"/>
    </row>
    <row r="86" spans="1:12" ht="5.15" customHeight="1" thickBot="1" x14ac:dyDescent="0.45">
      <c r="A86" s="2"/>
      <c r="B86" s="66"/>
      <c r="C86" s="50"/>
      <c r="D86" s="32"/>
      <c r="E86" s="32"/>
      <c r="F86" s="102"/>
      <c r="G86" s="32"/>
      <c r="H86" s="34"/>
      <c r="I86" s="32"/>
      <c r="J86" s="102"/>
      <c r="K86" s="32"/>
      <c r="L86" s="35"/>
    </row>
    <row r="87" spans="1:12" ht="24.65" customHeight="1" x14ac:dyDescent="0.4">
      <c r="A87" s="2"/>
      <c r="B87" s="2"/>
      <c r="C87" s="2"/>
      <c r="D87" s="2"/>
      <c r="E87" s="2"/>
      <c r="F87" s="84"/>
      <c r="G87" s="2"/>
      <c r="H87" s="2"/>
      <c r="I87" s="2"/>
      <c r="J87" s="84"/>
      <c r="K87" s="2"/>
      <c r="L87" s="2"/>
    </row>
    <row r="88" spans="1:12" ht="15" thickBot="1" x14ac:dyDescent="0.45">
      <c r="A88" s="2"/>
      <c r="B88" s="2"/>
      <c r="C88" s="2"/>
      <c r="D88" s="2"/>
      <c r="E88" s="2"/>
      <c r="F88" s="84"/>
      <c r="G88" s="2"/>
      <c r="H88" s="2"/>
      <c r="I88" s="2"/>
      <c r="J88" s="84"/>
      <c r="K88" s="2"/>
      <c r="L88" s="2"/>
    </row>
    <row r="89" spans="1:12" ht="28.4" customHeight="1" x14ac:dyDescent="0.35">
      <c r="A89" s="2"/>
      <c r="B89" s="68" t="s">
        <v>13</v>
      </c>
      <c r="C89" s="69"/>
      <c r="D89" s="69"/>
      <c r="E89" s="69"/>
      <c r="F89" s="69"/>
      <c r="G89" s="69"/>
      <c r="H89" s="69"/>
      <c r="I89" s="69"/>
      <c r="J89" s="69"/>
      <c r="K89" s="69"/>
      <c r="L89" s="70"/>
    </row>
    <row r="90" spans="1:12" ht="28.4" customHeight="1" x14ac:dyDescent="0.35">
      <c r="A90" s="2"/>
      <c r="B90" s="71"/>
      <c r="C90" s="72"/>
      <c r="D90" s="72"/>
      <c r="E90" s="72"/>
      <c r="F90" s="72"/>
      <c r="G90" s="72"/>
      <c r="H90" s="72"/>
      <c r="I90" s="72"/>
      <c r="J90" s="72"/>
      <c r="K90" s="72"/>
      <c r="L90" s="73"/>
    </row>
    <row r="91" spans="1:12" ht="21.75" customHeight="1" x14ac:dyDescent="0.4">
      <c r="A91" s="2"/>
      <c r="B91" s="75" t="s">
        <v>4</v>
      </c>
      <c r="C91" s="2"/>
      <c r="D91" s="2"/>
      <c r="E91" s="2"/>
      <c r="F91" s="84"/>
      <c r="G91" s="2"/>
      <c r="H91" s="2"/>
      <c r="I91" s="2"/>
      <c r="J91" s="84"/>
      <c r="K91" s="2"/>
      <c r="L91" s="10"/>
    </row>
    <row r="92" spans="1:12" ht="18" customHeight="1" x14ac:dyDescent="0.35">
      <c r="A92" s="2"/>
      <c r="B92" s="60"/>
      <c r="C92" s="5"/>
      <c r="D92" s="6"/>
      <c r="E92" s="61" t="s">
        <v>1</v>
      </c>
      <c r="F92" s="62"/>
      <c r="G92" s="63"/>
      <c r="H92" s="4" t="s">
        <v>2</v>
      </c>
      <c r="I92" s="61" t="s">
        <v>3</v>
      </c>
      <c r="J92" s="62"/>
      <c r="K92" s="63"/>
      <c r="L92" s="11" t="s">
        <v>2</v>
      </c>
    </row>
    <row r="93" spans="1:12" ht="5.15" customHeight="1" x14ac:dyDescent="0.4">
      <c r="A93" s="2"/>
      <c r="B93" s="60"/>
      <c r="C93" s="64"/>
      <c r="D93" s="2"/>
      <c r="E93" s="86"/>
      <c r="F93" s="87"/>
      <c r="G93" s="86"/>
      <c r="H93" s="8"/>
      <c r="I93" s="86"/>
      <c r="J93" s="87"/>
      <c r="K93" s="86"/>
      <c r="L93" s="10"/>
    </row>
    <row r="94" spans="1:12" ht="15.75" customHeight="1" x14ac:dyDescent="0.35">
      <c r="A94" s="2"/>
      <c r="B94" s="60"/>
      <c r="C94" s="65"/>
      <c r="D94" s="88" t="s">
        <v>14</v>
      </c>
      <c r="E94" s="86"/>
      <c r="F94" s="110">
        <v>10000</v>
      </c>
      <c r="G94" s="86"/>
      <c r="H94" s="31" t="s">
        <v>6</v>
      </c>
      <c r="I94" s="86"/>
      <c r="J94" s="93" t="s">
        <v>7</v>
      </c>
      <c r="K94" s="86"/>
      <c r="L94" s="12" t="s">
        <v>6</v>
      </c>
    </row>
    <row r="95" spans="1:12" ht="5.15" customHeight="1" x14ac:dyDescent="0.4">
      <c r="A95" s="2"/>
      <c r="B95" s="60"/>
      <c r="C95" s="74"/>
      <c r="D95" s="48"/>
      <c r="E95" s="7"/>
      <c r="F95" s="94"/>
      <c r="G95" s="7"/>
      <c r="H95" s="6"/>
      <c r="I95" s="7"/>
      <c r="J95" s="94"/>
      <c r="K95" s="7"/>
      <c r="L95" s="49"/>
    </row>
    <row r="96" spans="1:12" ht="5.15" customHeight="1" x14ac:dyDescent="0.4">
      <c r="A96" s="2"/>
      <c r="B96" s="60"/>
      <c r="C96" s="65"/>
      <c r="D96" s="2"/>
      <c r="E96" s="86"/>
      <c r="F96" s="87"/>
      <c r="G96" s="86"/>
      <c r="H96" s="9"/>
      <c r="I96" s="86"/>
      <c r="J96" s="87"/>
      <c r="K96" s="86"/>
      <c r="L96" s="10"/>
    </row>
    <row r="97" spans="1:12" ht="15.75" customHeight="1" x14ac:dyDescent="0.35">
      <c r="A97" s="2"/>
      <c r="B97" s="60"/>
      <c r="C97" s="65"/>
      <c r="D97" s="88" t="s">
        <v>15</v>
      </c>
      <c r="E97" s="86"/>
      <c r="F97" s="110">
        <v>10000</v>
      </c>
      <c r="G97" s="86"/>
      <c r="H97" s="31" t="s">
        <v>6</v>
      </c>
      <c r="I97" s="86"/>
      <c r="J97" s="93" t="s">
        <v>7</v>
      </c>
      <c r="K97" s="86"/>
      <c r="L97" s="12" t="s">
        <v>6</v>
      </c>
    </row>
    <row r="98" spans="1:12" ht="5.15" customHeight="1" x14ac:dyDescent="0.4">
      <c r="A98" s="2"/>
      <c r="B98" s="76"/>
      <c r="C98" s="74"/>
      <c r="D98" s="48"/>
      <c r="E98" s="7"/>
      <c r="F98" s="94"/>
      <c r="G98" s="7"/>
      <c r="H98" s="6"/>
      <c r="I98" s="7"/>
      <c r="J98" s="94"/>
      <c r="K98" s="7"/>
      <c r="L98" s="49"/>
    </row>
    <row r="99" spans="1:12" ht="21.75" customHeight="1" x14ac:dyDescent="0.4">
      <c r="A99" s="2"/>
      <c r="B99" s="75" t="s">
        <v>8</v>
      </c>
      <c r="C99" s="2"/>
      <c r="D99" s="2"/>
      <c r="E99" s="2"/>
      <c r="F99" s="84"/>
      <c r="G99" s="2"/>
      <c r="H99" s="2"/>
      <c r="I99" s="2"/>
      <c r="J99" s="84"/>
      <c r="K99" s="2"/>
      <c r="L99" s="10"/>
    </row>
    <row r="100" spans="1:12" ht="18" customHeight="1" x14ac:dyDescent="0.35">
      <c r="A100" s="2"/>
      <c r="B100" s="60"/>
      <c r="C100" s="5"/>
      <c r="D100" s="6"/>
      <c r="E100" s="61" t="s">
        <v>1</v>
      </c>
      <c r="F100" s="62"/>
      <c r="G100" s="63"/>
      <c r="H100" s="4" t="s">
        <v>2</v>
      </c>
      <c r="I100" s="61" t="s">
        <v>3</v>
      </c>
      <c r="J100" s="62"/>
      <c r="K100" s="63"/>
      <c r="L100" s="11" t="s">
        <v>2</v>
      </c>
    </row>
    <row r="101" spans="1:12" ht="5.15" customHeight="1" x14ac:dyDescent="0.4">
      <c r="A101" s="2"/>
      <c r="B101" s="60"/>
      <c r="C101" s="64"/>
      <c r="D101" s="2"/>
      <c r="E101" s="86"/>
      <c r="F101" s="87"/>
      <c r="G101" s="86"/>
      <c r="H101" s="8"/>
      <c r="I101" s="86"/>
      <c r="J101" s="87"/>
      <c r="K101" s="86"/>
      <c r="L101" s="10"/>
    </row>
    <row r="102" spans="1:12" ht="15.75" customHeight="1" x14ac:dyDescent="0.35">
      <c r="A102" s="2"/>
      <c r="B102" s="60"/>
      <c r="C102" s="65"/>
      <c r="D102" s="88" t="s">
        <v>14</v>
      </c>
      <c r="E102" s="86"/>
      <c r="F102" s="110">
        <v>10000</v>
      </c>
      <c r="G102" s="86"/>
      <c r="H102" s="31" t="s">
        <v>6</v>
      </c>
      <c r="I102" s="86"/>
      <c r="J102" s="93" t="s">
        <v>7</v>
      </c>
      <c r="K102" s="86"/>
      <c r="L102" s="12" t="s">
        <v>6</v>
      </c>
    </row>
    <row r="103" spans="1:12" ht="5.15" customHeight="1" x14ac:dyDescent="0.4">
      <c r="A103" s="2"/>
      <c r="B103" s="60"/>
      <c r="C103" s="74"/>
      <c r="D103" s="48"/>
      <c r="E103" s="7"/>
      <c r="F103" s="94"/>
      <c r="G103" s="7"/>
      <c r="H103" s="6"/>
      <c r="I103" s="7"/>
      <c r="J103" s="94"/>
      <c r="K103" s="7"/>
      <c r="L103" s="49"/>
    </row>
    <row r="104" spans="1:12" ht="5.15" customHeight="1" x14ac:dyDescent="0.4">
      <c r="A104" s="2"/>
      <c r="B104" s="60"/>
      <c r="C104" s="65"/>
      <c r="D104" s="2"/>
      <c r="E104" s="86"/>
      <c r="F104" s="87"/>
      <c r="G104" s="86"/>
      <c r="H104" s="9"/>
      <c r="I104" s="86"/>
      <c r="J104" s="87"/>
      <c r="K104" s="86"/>
      <c r="L104" s="10"/>
    </row>
    <row r="105" spans="1:12" ht="15.75" customHeight="1" x14ac:dyDescent="0.35">
      <c r="A105" s="2"/>
      <c r="B105" s="60"/>
      <c r="C105" s="65"/>
      <c r="D105" s="88" t="s">
        <v>15</v>
      </c>
      <c r="E105" s="86"/>
      <c r="F105" s="110">
        <v>10000</v>
      </c>
      <c r="G105" s="86"/>
      <c r="H105" s="31" t="s">
        <v>6</v>
      </c>
      <c r="I105" s="86"/>
      <c r="J105" s="93" t="s">
        <v>7</v>
      </c>
      <c r="K105" s="86"/>
      <c r="L105" s="12" t="s">
        <v>6</v>
      </c>
    </row>
    <row r="106" spans="1:12" ht="5.15" customHeight="1" thickBot="1" x14ac:dyDescent="0.45">
      <c r="A106" s="2"/>
      <c r="B106" s="66"/>
      <c r="C106" s="67"/>
      <c r="D106" s="32"/>
      <c r="E106" s="33"/>
      <c r="F106" s="91"/>
      <c r="G106" s="33"/>
      <c r="H106" s="34"/>
      <c r="I106" s="33"/>
      <c r="J106" s="91"/>
      <c r="K106" s="33"/>
      <c r="L106" s="35"/>
    </row>
    <row r="107" spans="1:12" ht="15" customHeight="1" x14ac:dyDescent="0.4">
      <c r="A107" s="2"/>
      <c r="B107" s="2"/>
      <c r="C107" s="2"/>
      <c r="D107" s="2"/>
      <c r="E107" s="2"/>
      <c r="F107" s="84"/>
      <c r="G107" s="2"/>
      <c r="H107" s="2"/>
      <c r="I107" s="2"/>
      <c r="J107" s="84"/>
      <c r="K107" s="2"/>
      <c r="L107" s="2"/>
    </row>
  </sheetData>
  <sheetProtection algorithmName="SHA-512" hashValue="fo7ZUChFbbaMFnEaxXsyURvwdEVEDRvWBj12Ck5ndK5b/4L3oucyi6T9/CJSE/uVSlD0xMzjF+yJz96BfznFpA==" saltValue="W7H03rk8vtTsMvaZtWP0HA=="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7194"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7194" r:id="rId5" name="cbApplyOddEvenFormatting"/>
      </mc:Fallback>
    </mc:AlternateContent>
    <mc:AlternateContent xmlns:mc="http://schemas.openxmlformats.org/markup-compatibility/2006">
      <mc:Choice Requires="x14">
        <control shapeId="7178"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7178" r:id="rId7" name="cbApplyMemberFormatting"/>
      </mc:Fallback>
    </mc:AlternateContent>
    <mc:AlternateContent xmlns:mc="http://schemas.openxmlformats.org/markup-compatibility/2006">
      <mc:Choice Requires="x14">
        <control shapeId="7169"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7169" r:id="rId9" name="cbApplyLevelFormatting"/>
      </mc:Fallback>
    </mc:AlternateContent>
    <mc:AlternateContent xmlns:mc="http://schemas.openxmlformats.org/markup-compatibility/2006">
      <mc:Choice Requires="x14">
        <control shapeId="7170"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7171"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7172"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7173"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7174"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7175"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7176"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7177"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7179"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7180"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7181"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7182"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7183"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7184"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7185"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7186"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7187"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7188"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7189"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7190"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7191"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7192"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7193"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7195"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7196"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7197"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7198"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7199"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7200"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7201"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7202"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7203"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7204"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7205"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7206"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7207"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7208"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7209"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7210"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7211"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7212"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7213"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7214"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7215"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7216"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7217"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7218"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7219"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7220"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7221"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7222"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7223"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7224"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7225"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7226"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7227"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7228"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7229"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7230"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7231"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7232"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7233"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7234"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7235"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7236"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7237"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8"/>
  <sheetViews>
    <sheetView showGridLines="0" tabSelected="1" zoomScaleNormal="100" workbookViewId="0">
      <pane xSplit="10" ySplit="6" topLeftCell="K7" activePane="bottomRight" state="frozen"/>
      <selection activeCell="Y9" sqref="Y9"/>
      <selection pane="topRight" activeCell="Y9" sqref="Y9"/>
      <selection pane="bottomLeft" activeCell="Y9" sqref="Y9"/>
      <selection pane="bottomRight" activeCell="K7" sqref="K7"/>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61328125" bestFit="1" customWidth="1"/>
    <col min="11" max="11" width="8.53515625" bestFit="1" customWidth="1"/>
    <col min="12" max="12" width="9.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2" customFormat="1" ht="28.3" x14ac:dyDescent="0.4">
      <c r="A1" s="78" t="s">
        <v>65</v>
      </c>
      <c r="B1" s="79"/>
      <c r="C1" s="79"/>
      <c r="D1" s="79"/>
      <c r="E1" s="79"/>
      <c r="F1" s="79"/>
      <c r="G1" s="79"/>
      <c r="H1" s="79"/>
      <c r="I1" s="79"/>
      <c r="J1" s="79"/>
      <c r="K1" s="80" t="str">
        <f>" "&amp;IFERROR(IF(SOP_Favorite_Name&lt;&gt;" ",SOP_Favorite_Name,IF(SOP_Template_Name&lt;&gt;" ",SOP_Template_Name,"Ad Hoc Planning View")),"Offline")</f>
        <v xml:space="preserve"> Run Simulation</v>
      </c>
      <c r="L1" s="80"/>
      <c r="M1" s="80"/>
      <c r="N1" s="80"/>
      <c r="O1" s="80"/>
      <c r="P1" s="80"/>
      <c r="Q1" s="81" t="str">
        <f>"User: "&amp;_xll.EPMUser()&amp;"   |    Planning Area: "&amp;IFERROR(SOP_Planning_Area,"Offline")&amp;"
"&amp;"Template: "&amp;IFERROR(SOP_Template_Name,"none")</f>
        <v>User: #Error, no current connection.   |    Planning Area: SAP6
Template: template name</v>
      </c>
      <c r="R1" s="81"/>
      <c r="S1" s="81"/>
      <c r="T1" s="81"/>
      <c r="U1" s="81"/>
      <c r="V1" s="81"/>
      <c r="W1" s="36"/>
      <c r="X1" s="37"/>
      <c r="Y1" s="37"/>
      <c r="Z1" s="37"/>
      <c r="AA1" s="37"/>
      <c r="AB1" s="37"/>
      <c r="AC1" s="37"/>
      <c r="AD1" s="37"/>
      <c r="AE1" s="38"/>
      <c r="AF1" s="38"/>
      <c r="AG1" s="38"/>
      <c r="AH1" s="38"/>
      <c r="AI1" s="38"/>
      <c r="AJ1" s="38"/>
      <c r="AK1" s="38"/>
      <c r="AL1" s="39"/>
      <c r="AM1" s="39"/>
      <c r="AN1" s="39"/>
      <c r="AO1" s="39"/>
      <c r="AP1" s="39"/>
      <c r="AQ1" s="39"/>
      <c r="AR1" s="39"/>
      <c r="AS1" s="39"/>
      <c r="AT1" s="39"/>
      <c r="AU1" s="39"/>
      <c r="AV1" s="39"/>
      <c r="AW1" s="39"/>
      <c r="AX1" s="39"/>
      <c r="AY1" s="39"/>
      <c r="AZ1" s="39"/>
      <c r="BA1" s="39"/>
      <c r="BB1" s="39"/>
      <c r="BC1" s="39"/>
      <c r="BD1" s="39"/>
      <c r="BE1" s="39"/>
      <c r="BF1" s="39"/>
      <c r="BG1" s="39"/>
      <c r="BH1" s="39"/>
      <c r="BI1" s="39"/>
      <c r="BJ1" s="39"/>
      <c r="BK1" s="39"/>
      <c r="BL1" s="39"/>
      <c r="BM1" s="39"/>
      <c r="BN1" s="39"/>
      <c r="BO1" s="39"/>
      <c r="BP1" s="39"/>
      <c r="BQ1" s="39"/>
      <c r="BR1" s="40"/>
      <c r="BS1" s="40"/>
      <c r="BT1" s="40"/>
      <c r="BU1" s="40"/>
      <c r="BV1" s="40"/>
      <c r="BW1" s="40"/>
      <c r="BX1" s="40"/>
      <c r="BY1" s="40"/>
      <c r="BZ1" s="40"/>
      <c r="CA1" s="40"/>
      <c r="CB1" s="40"/>
      <c r="CC1" s="40"/>
      <c r="CD1" s="40"/>
    </row>
    <row r="2" spans="1:82" s="22" customFormat="1" ht="60" customHeight="1" x14ac:dyDescent="0.4">
      <c r="A2" s="8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HT_001
Location ID = HD_DC_CA_E
</v>
      </c>
      <c r="B2" s="82"/>
      <c r="C2" s="82"/>
      <c r="D2" s="82"/>
      <c r="E2" s="82"/>
      <c r="F2" s="82"/>
      <c r="G2" s="82"/>
      <c r="H2" s="82"/>
      <c r="I2" s="82"/>
      <c r="J2" s="82"/>
      <c r="K2" s="83" t="str">
        <f>"  Last Refresh: "&amp;IFERROR(YEAR(SOP_Refresh_Timestamp)&amp;"-"&amp;TEXT(SOP_Refresh_Timestamp,"MMM")&amp;"-"&amp;DAY(SOP_Refresh_Timestamp)&amp;"   "&amp;TEXT(SOP_Refresh_Timestamp,"HH:MM:SS"),"Offline")</f>
        <v xml:space="preserve">  Last Refresh: 2022-Jan-25   17:55:06</v>
      </c>
      <c r="L2" s="83"/>
      <c r="M2" s="83"/>
      <c r="N2" s="83"/>
      <c r="O2" s="83"/>
      <c r="P2" s="83"/>
      <c r="Q2" s="83"/>
      <c r="R2" s="83"/>
      <c r="S2" s="83"/>
      <c r="T2" s="83"/>
      <c r="U2" s="83"/>
      <c r="V2" s="83"/>
      <c r="W2" s="36"/>
      <c r="X2" s="37"/>
      <c r="Y2" s="37"/>
      <c r="Z2" s="37"/>
      <c r="AA2" s="37"/>
      <c r="AB2" s="37"/>
      <c r="AC2" s="37"/>
      <c r="AD2" s="37"/>
      <c r="AE2" s="38"/>
      <c r="AF2" s="38"/>
      <c r="AG2" s="38"/>
      <c r="AH2" s="38"/>
      <c r="AI2" s="38"/>
      <c r="AJ2" s="38"/>
      <c r="AK2" s="38"/>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40"/>
      <c r="BS2" s="40"/>
      <c r="BT2" s="40"/>
      <c r="BU2" s="40"/>
      <c r="BV2" s="40"/>
      <c r="BW2" s="40"/>
      <c r="BX2" s="40"/>
      <c r="BY2" s="40"/>
      <c r="BZ2" s="40"/>
      <c r="CA2" s="40"/>
      <c r="CB2" s="40"/>
      <c r="CC2" s="40"/>
      <c r="CD2" s="40"/>
    </row>
    <row r="3" spans="1:82" s="21" customFormat="1" ht="60" customHeight="1" x14ac:dyDescent="0.4">
      <c r="A3" s="77"/>
      <c r="B3" s="77"/>
      <c r="C3" s="77"/>
      <c r="D3" s="77"/>
      <c r="E3" s="77"/>
      <c r="F3" s="77"/>
      <c r="G3" s="77"/>
      <c r="H3" s="77"/>
      <c r="I3" s="77"/>
      <c r="J3" s="77"/>
      <c r="K3" s="41"/>
      <c r="L3" s="41"/>
      <c r="M3" s="41"/>
      <c r="N3" s="41"/>
      <c r="O3" s="41"/>
      <c r="P3" s="41"/>
      <c r="Q3" s="41"/>
      <c r="R3" s="41"/>
      <c r="S3" s="41"/>
      <c r="T3" s="41"/>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row>
    <row r="4" spans="1:82" s="21" customFormat="1" hidden="1" x14ac:dyDescent="0.4">
      <c r="A4" s="44"/>
      <c r="B4" s="44"/>
      <c r="C4" s="44"/>
      <c r="D4" s="44"/>
      <c r="E4" s="44"/>
      <c r="F4" s="44"/>
      <c r="G4" s="44"/>
      <c r="H4" s="44"/>
      <c r="I4" s="44"/>
      <c r="J4" s="44"/>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row>
    <row r="5" spans="1:82" s="21" customFormat="1" hidden="1" x14ac:dyDescent="0.4">
      <c r="A5" s="44"/>
      <c r="B5" s="44"/>
      <c r="C5" s="44"/>
      <c r="D5" s="44"/>
      <c r="E5" s="44"/>
      <c r="F5" s="44"/>
      <c r="G5" s="44"/>
      <c r="H5" s="44"/>
      <c r="I5" s="44"/>
      <c r="J5" s="44"/>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row>
    <row r="6" spans="1:82" s="23" customFormat="1" x14ac:dyDescent="0.4">
      <c r="A6" s="43" t="str">
        <f>SOP_Heading10</f>
        <v xml:space="preserve"> </v>
      </c>
      <c r="B6" s="43" t="str">
        <f>SOP_Heading9</f>
        <v xml:space="preserve"> </v>
      </c>
      <c r="C6" s="43" t="str">
        <f>SOP_Heading8</f>
        <v xml:space="preserve"> </v>
      </c>
      <c r="D6" s="43" t="str">
        <f>SOP_Heading7</f>
        <v xml:space="preserve"> </v>
      </c>
      <c r="E6" s="43" t="str">
        <f>SOP_Heading6</f>
        <v xml:space="preserve"> </v>
      </c>
      <c r="F6" s="43" t="str">
        <f>SOP_Heading5</f>
        <v xml:space="preserve"> </v>
      </c>
      <c r="G6" s="43" t="str">
        <f>SOP_Heading4</f>
        <v xml:space="preserve"> </v>
      </c>
      <c r="H6" s="43" t="str">
        <f>SOP_Heading3</f>
        <v>Product ID</v>
      </c>
      <c r="I6" s="43" t="str">
        <f>SOP_Heading2</f>
        <v>Location ID</v>
      </c>
      <c r="J6" s="43" t="str">
        <f>SOP_Heading1</f>
        <v>Key Figure</v>
      </c>
      <c r="K6" s="26" t="str">
        <f xml:space="preserve"> _xll.EPMOlapMemberO("[PERIODID3].[].[70613]","","JAN 2021","","000")</f>
        <v>JAN 2021</v>
      </c>
      <c r="L6" s="26" t="str">
        <f xml:space="preserve"> _xll.EPMOlapMemberO("[PERIODID3].[].[70614]","","FEB 2021","","000")</f>
        <v>FEB 2021</v>
      </c>
      <c r="M6" s="26" t="str">
        <f xml:space="preserve"> _xll.EPMOlapMemberO("[PERIODID3].[].[70615]","","MAR 2021","","000")</f>
        <v>MAR 2021</v>
      </c>
      <c r="N6" s="26" t="str">
        <f xml:space="preserve"> _xll.EPMOlapMemberO("[PERIODID3].[].[70616]","","APR 2021","","000")</f>
        <v>APR 2021</v>
      </c>
      <c r="O6" s="26" t="str">
        <f xml:space="preserve"> _xll.EPMOlapMemberO("[PERIODID3].[].[70617]","","MAY 2021","","000")</f>
        <v>MAY 2021</v>
      </c>
      <c r="P6" s="26" t="str">
        <f xml:space="preserve"> _xll.EPMOlapMemberO("[PERIODID3].[].[70618]","","JUN 2021","","000")</f>
        <v>JUN 2021</v>
      </c>
      <c r="Q6" s="26" t="str">
        <f xml:space="preserve"> _xll.EPMOlapMemberO("[PERIODID3].[].[70619]","","JUL 2021","","000")</f>
        <v>JUL 2021</v>
      </c>
      <c r="R6" s="26" t="str">
        <f xml:space="preserve"> _xll.EPMOlapMemberO("[PERIODID3].[].[70620]","","AUG 2021","","000")</f>
        <v>AUG 2021</v>
      </c>
      <c r="S6" s="26" t="str">
        <f xml:space="preserve"> _xll.EPMOlapMemberO("[PERIODID3].[].[70621]","","SEP 2021","","000")</f>
        <v>SEP 2021</v>
      </c>
      <c r="T6" s="26" t="str">
        <f xml:space="preserve"> _xll.EPMOlapMemberO("[PERIODID3].[].[70622]","","OCT 2021","","000")</f>
        <v>OCT 2021</v>
      </c>
      <c r="U6" s="26" t="str">
        <f xml:space="preserve"> _xll.EPMOlapMemberO("[PERIODID3].[].[70623]","","NOV 2021","","000")</f>
        <v>NOV 2021</v>
      </c>
      <c r="V6" s="26" t="str">
        <f xml:space="preserve"> _xll.EPMOlapMemberO("[PERIODID3].[].[70624]","","DEC 2021","","000")</f>
        <v>DEC 2021</v>
      </c>
      <c r="W6"/>
      <c r="X6"/>
      <c r="Y6"/>
      <c r="Z6"/>
      <c r="AA6"/>
      <c r="AB6"/>
      <c r="AC6"/>
      <c r="AD6"/>
      <c r="AE6"/>
      <c r="AF6"/>
      <c r="AG6"/>
      <c r="AH6"/>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row>
    <row r="7" spans="1:82" x14ac:dyDescent="0.4">
      <c r="A7" s="42"/>
      <c r="B7" s="42"/>
      <c r="C7" s="42"/>
      <c r="D7" s="42"/>
      <c r="E7" s="42"/>
      <c r="F7" s="42"/>
      <c r="H7" s="20" t="str">
        <f xml:space="preserve"> _xll.EPMOlapMemberO("[PRDID].[].[HT_001]","","HT_001","","000")</f>
        <v>HT_001</v>
      </c>
      <c r="I7" s="20" t="str">
        <f xml:space="preserve"> _xll.EPMOlapMemberO("[LOCID].[].[HD_DC_CA_E]","","HD_DC_CA_E","","000")</f>
        <v>HD_DC_CA_E</v>
      </c>
      <c r="J7" s="20" t="str">
        <f xml:space="preserve"> _xll.EPMOlapMemberO("[KEY_FIGURES].[].[CONSENSUSDEMAND]","","Consensus Demand without Promotion","","000")</f>
        <v>Consensus Demand without Promotion</v>
      </c>
      <c r="K7" s="28">
        <v>100</v>
      </c>
      <c r="L7" s="45">
        <v>1651.5</v>
      </c>
      <c r="M7" s="28">
        <v>50</v>
      </c>
      <c r="N7" s="28">
        <v>250</v>
      </c>
      <c r="O7" s="46">
        <v>6944</v>
      </c>
      <c r="P7" s="46">
        <v>100</v>
      </c>
      <c r="Q7" s="46">
        <v>125</v>
      </c>
      <c r="R7" s="46">
        <v>100</v>
      </c>
      <c r="S7" s="45">
        <v>100</v>
      </c>
      <c r="T7" s="45">
        <v>100</v>
      </c>
      <c r="U7" s="45">
        <v>300</v>
      </c>
      <c r="V7" s="28">
        <v>5000</v>
      </c>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row>
    <row r="8" spans="1:82" x14ac:dyDescent="0.4">
      <c r="A8" s="42"/>
      <c r="B8" s="42"/>
      <c r="C8" s="42"/>
      <c r="D8" s="42"/>
      <c r="E8" s="42"/>
      <c r="F8" s="42"/>
      <c r="H8" s="20"/>
      <c r="I8" s="20"/>
      <c r="J8" s="20" t="str">
        <f xml:space="preserve"> _xll.EPMOlapMemberO("[KEY_FIGURES].[].[DEMANDPLANNINGQTY]","","Demand Planning Qty","","000")</f>
        <v>Demand Planning Qty</v>
      </c>
      <c r="K8" s="24">
        <v>0</v>
      </c>
      <c r="L8" s="24">
        <v>0</v>
      </c>
      <c r="M8" s="24">
        <v>343</v>
      </c>
      <c r="N8" s="24">
        <v>0</v>
      </c>
      <c r="O8" s="24">
        <v>0</v>
      </c>
      <c r="P8" s="24"/>
      <c r="Q8" s="24"/>
      <c r="R8" s="24"/>
      <c r="S8" s="24">
        <v>0</v>
      </c>
      <c r="T8" s="24">
        <v>0</v>
      </c>
      <c r="U8" s="24">
        <v>0</v>
      </c>
      <c r="V8" s="24">
        <v>13.5</v>
      </c>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row>
    <row r="9" spans="1:82" x14ac:dyDescent="0.4">
      <c r="A9" s="42"/>
      <c r="B9" s="42"/>
      <c r="C9" s="42"/>
      <c r="D9" s="42"/>
      <c r="E9" s="42"/>
      <c r="F9" s="42"/>
      <c r="H9" s="20"/>
      <c r="I9" s="20"/>
      <c r="J9" s="20" t="str">
        <f xml:space="preserve"> _xll.EPMOlapMemberO("[KEY_FIGURES].[].[FINALCONSENSUSDEMAND]","","Consensus Demand","","000")</f>
        <v>Consensus Demand</v>
      </c>
      <c r="K9" s="24">
        <v>100</v>
      </c>
      <c r="L9" s="24">
        <v>17316.5</v>
      </c>
      <c r="M9" s="24">
        <v>50</v>
      </c>
      <c r="N9" s="24">
        <v>250</v>
      </c>
      <c r="O9" s="24">
        <v>6944</v>
      </c>
      <c r="P9" s="24">
        <v>100</v>
      </c>
      <c r="Q9" s="24">
        <v>125</v>
      </c>
      <c r="R9" s="24">
        <v>100</v>
      </c>
      <c r="S9" s="24">
        <v>100</v>
      </c>
      <c r="T9" s="24">
        <v>100</v>
      </c>
      <c r="U9" s="24">
        <v>300</v>
      </c>
      <c r="V9" s="24">
        <v>5000</v>
      </c>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row>
    <row r="10" spans="1:82" x14ac:dyDescent="0.4">
      <c r="A10" s="42"/>
      <c r="B10" s="42"/>
      <c r="C10" s="42"/>
      <c r="D10" s="42"/>
      <c r="E10" s="42"/>
      <c r="F10" s="42"/>
      <c r="H10" s="20"/>
      <c r="I10" s="20"/>
      <c r="J10" s="20" t="str">
        <f xml:space="preserve"> _xll.EPMOlapMemberO("[KEY_FIGURES].[].[ADJDELIVQTY]","","Delivered Qty Adjusted","","000")</f>
        <v>Delivered Qty Adjusted</v>
      </c>
      <c r="K10" s="28">
        <v>2325</v>
      </c>
      <c r="L10" s="28">
        <v>2100</v>
      </c>
      <c r="M10" s="28">
        <v>2325</v>
      </c>
      <c r="N10" s="28">
        <v>1710</v>
      </c>
      <c r="O10" s="28">
        <v>1479</v>
      </c>
      <c r="P10" s="28">
        <v>1437</v>
      </c>
      <c r="Q10" s="28">
        <v>43242</v>
      </c>
      <c r="R10" s="28">
        <v>45</v>
      </c>
      <c r="S10" s="28">
        <v>0</v>
      </c>
      <c r="T10" s="28">
        <v>0</v>
      </c>
      <c r="U10" s="28">
        <v>100000</v>
      </c>
      <c r="V10" s="28">
        <v>0</v>
      </c>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row>
    <row r="11" spans="1:82" x14ac:dyDescent="0.4">
      <c r="A11" s="42"/>
      <c r="B11" s="42"/>
      <c r="C11" s="42"/>
      <c r="D11" s="42"/>
      <c r="E11" s="42"/>
      <c r="F11" s="42"/>
      <c r="H11" s="20"/>
      <c r="I11" s="20"/>
      <c r="J11" s="20" t="str">
        <f xml:space="preserve"> _xll.EPMOlapMemberO("[KEY_FIGURES].[].[ACTUALSREV]","","Actuals Revenue","","000")</f>
        <v>Actuals Revenue</v>
      </c>
      <c r="K11" s="28"/>
      <c r="L11" s="28"/>
      <c r="M11" s="28"/>
      <c r="N11" s="28"/>
      <c r="O11" s="28"/>
      <c r="P11" s="28"/>
      <c r="Q11" s="28"/>
      <c r="R11" s="28"/>
      <c r="S11" s="28"/>
      <c r="T11" s="28"/>
      <c r="U11" s="28"/>
      <c r="V11" s="28"/>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42"/>
      <c r="BY11" s="42"/>
      <c r="BZ11" s="42"/>
      <c r="CA11" s="42"/>
      <c r="CB11" s="42"/>
      <c r="CC11" s="42"/>
      <c r="CD11" s="42"/>
    </row>
    <row r="12" spans="1:82" x14ac:dyDescent="0.4">
      <c r="A12" s="42"/>
      <c r="B12" s="42"/>
      <c r="C12" s="42"/>
      <c r="D12" s="42"/>
      <c r="E12" s="42"/>
      <c r="F12" s="42"/>
      <c r="H12" s="20"/>
      <c r="I12" s="20"/>
      <c r="J12" s="20" t="str">
        <f xml:space="preserve"> _xll.EPMOlapMemberO("[KEY_FIGURES].[].[CONFQTY]","","Confirmed Qty","","000")</f>
        <v>Confirmed Qty</v>
      </c>
      <c r="K12" s="24"/>
      <c r="L12" s="24"/>
      <c r="M12" s="24"/>
      <c r="N12" s="24"/>
      <c r="O12" s="24"/>
      <c r="P12" s="24"/>
      <c r="Q12" s="24"/>
      <c r="R12" s="24"/>
      <c r="S12" s="24"/>
      <c r="T12" s="24"/>
      <c r="U12" s="24"/>
      <c r="V12" s="24"/>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row>
    <row r="13" spans="1:82" x14ac:dyDescent="0.4">
      <c r="A13" s="42"/>
      <c r="B13" s="42"/>
      <c r="C13" s="42"/>
      <c r="D13" s="42"/>
      <c r="E13" s="42"/>
      <c r="F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row>
    <row r="14" spans="1:82" x14ac:dyDescent="0.4">
      <c r="A14" s="42"/>
      <c r="B14" s="42"/>
      <c r="C14" s="42"/>
      <c r="D14" s="42"/>
      <c r="E14" s="42"/>
      <c r="F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row>
    <row r="15" spans="1:82" x14ac:dyDescent="0.4">
      <c r="A15" s="42"/>
      <c r="B15" s="42"/>
      <c r="C15" s="42"/>
      <c r="D15" s="42"/>
      <c r="E15" s="42"/>
      <c r="F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row>
    <row r="16" spans="1:82" x14ac:dyDescent="0.4">
      <c r="A16" s="42"/>
      <c r="B16" s="42"/>
      <c r="C16" s="42"/>
      <c r="D16" s="42"/>
      <c r="E16" s="42"/>
      <c r="F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row>
    <row r="17" spans="1:82" x14ac:dyDescent="0.4">
      <c r="A17" s="42"/>
      <c r="B17" s="42"/>
      <c r="C17" s="42"/>
      <c r="D17" s="42"/>
      <c r="E17" s="42"/>
      <c r="F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row>
    <row r="18" spans="1:82" x14ac:dyDescent="0.4">
      <c r="A18" s="42"/>
      <c r="B18" s="42"/>
      <c r="C18" s="42"/>
      <c r="D18" s="42"/>
      <c r="E18" s="42"/>
      <c r="F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row>
    <row r="19" spans="1:82" x14ac:dyDescent="0.4">
      <c r="A19" s="42"/>
      <c r="B19" s="42"/>
      <c r="C19" s="42"/>
      <c r="D19" s="42"/>
      <c r="E19" s="42"/>
      <c r="F19" s="42"/>
      <c r="AI19" s="42"/>
      <c r="AJ19" s="42"/>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2"/>
      <c r="BS19" s="42"/>
      <c r="BT19" s="42"/>
      <c r="BU19" s="42"/>
      <c r="BV19" s="42"/>
      <c r="BW19" s="42"/>
      <c r="BX19" s="42"/>
      <c r="BY19" s="42"/>
      <c r="BZ19" s="42"/>
      <c r="CA19" s="42"/>
      <c r="CB19" s="42"/>
      <c r="CC19" s="42"/>
      <c r="CD19" s="42"/>
    </row>
    <row r="20" spans="1:82" x14ac:dyDescent="0.4">
      <c r="A20" s="42"/>
      <c r="B20" s="42"/>
      <c r="C20" s="42"/>
      <c r="D20" s="42"/>
      <c r="E20" s="42"/>
      <c r="F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2"/>
      <c r="BS20" s="42"/>
      <c r="BT20" s="42"/>
      <c r="BU20" s="42"/>
      <c r="BV20" s="42"/>
      <c r="BW20" s="42"/>
      <c r="BX20" s="42"/>
      <c r="BY20" s="42"/>
      <c r="BZ20" s="42"/>
      <c r="CA20" s="42"/>
      <c r="CB20" s="42"/>
      <c r="CC20" s="42"/>
      <c r="CD20" s="42"/>
    </row>
    <row r="21" spans="1:82" x14ac:dyDescent="0.4">
      <c r="A21" s="42"/>
      <c r="B21" s="42"/>
      <c r="C21" s="42"/>
      <c r="D21" s="42"/>
      <c r="E21" s="42"/>
      <c r="F21" s="42"/>
      <c r="AI21" s="42"/>
      <c r="AJ21" s="42"/>
      <c r="AK21" s="42"/>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2"/>
      <c r="BZ21" s="42"/>
      <c r="CA21" s="42"/>
      <c r="CB21" s="42"/>
      <c r="CC21" s="42"/>
      <c r="CD21" s="42"/>
    </row>
    <row r="22" spans="1:82" x14ac:dyDescent="0.4">
      <c r="A22" s="42"/>
      <c r="B22" s="42"/>
      <c r="C22" s="42"/>
      <c r="D22" s="42"/>
      <c r="E22" s="42"/>
      <c r="F22" s="42"/>
      <c r="AI22" s="42"/>
      <c r="AJ22" s="42"/>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row>
    <row r="23" spans="1:82" x14ac:dyDescent="0.4">
      <c r="A23" s="42"/>
      <c r="B23" s="42"/>
      <c r="C23" s="42"/>
      <c r="D23" s="42"/>
      <c r="E23" s="42"/>
      <c r="F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row>
    <row r="24" spans="1:82" x14ac:dyDescent="0.4">
      <c r="A24" s="42"/>
      <c r="B24" s="42"/>
      <c r="C24" s="42"/>
      <c r="D24" s="42"/>
      <c r="E24" s="42"/>
      <c r="F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row>
    <row r="25" spans="1:82" x14ac:dyDescent="0.4">
      <c r="A25" s="42"/>
      <c r="B25" s="42"/>
      <c r="C25" s="42"/>
      <c r="D25" s="42"/>
      <c r="E25" s="42"/>
      <c r="F25" s="42"/>
      <c r="AI25" s="42"/>
      <c r="AJ25" s="42"/>
      <c r="AK25" s="42"/>
      <c r="AL25" s="42"/>
      <c r="AM25" s="42"/>
      <c r="AN25" s="42"/>
      <c r="AO25" s="42"/>
      <c r="AP25" s="42"/>
      <c r="AQ25" s="42"/>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c r="BR25" s="42"/>
      <c r="BS25" s="42"/>
      <c r="BT25" s="42"/>
      <c r="BU25" s="42"/>
      <c r="BV25" s="42"/>
      <c r="BW25" s="42"/>
      <c r="BX25" s="42"/>
      <c r="BY25" s="42"/>
      <c r="BZ25" s="42"/>
      <c r="CA25" s="42"/>
      <c r="CB25" s="42"/>
      <c r="CC25" s="42"/>
      <c r="CD25" s="42"/>
    </row>
    <row r="26" spans="1:82" x14ac:dyDescent="0.4">
      <c r="A26" s="42"/>
      <c r="B26" s="42"/>
      <c r="C26" s="42"/>
      <c r="D26" s="42"/>
      <c r="E26" s="42"/>
      <c r="F26" s="42"/>
      <c r="AI26" s="42"/>
      <c r="AJ26" s="42"/>
      <c r="AK26" s="42"/>
      <c r="AL26" s="42"/>
      <c r="AM26" s="42"/>
      <c r="AN26" s="42"/>
      <c r="AO26" s="42"/>
      <c r="AP26" s="42"/>
      <c r="AQ26" s="42"/>
      <c r="AR26" s="42"/>
      <c r="AS26" s="42"/>
      <c r="AT26" s="42"/>
      <c r="AU26" s="42"/>
      <c r="AV26" s="42"/>
      <c r="AW26" s="42"/>
      <c r="AX26" s="42"/>
      <c r="AY26" s="42"/>
      <c r="AZ26" s="42"/>
      <c r="BA26" s="42"/>
      <c r="BB26" s="42"/>
      <c r="BC26" s="42"/>
      <c r="BD26" s="42"/>
      <c r="BE26" s="42"/>
      <c r="BF26" s="42"/>
      <c r="BG26" s="42"/>
      <c r="BH26" s="42"/>
      <c r="BI26" s="42"/>
      <c r="BJ26" s="42"/>
      <c r="BK26" s="42"/>
      <c r="BL26" s="42"/>
      <c r="BM26" s="42"/>
      <c r="BN26" s="42"/>
      <c r="BO26" s="42"/>
      <c r="BP26" s="42"/>
      <c r="BQ26" s="42"/>
      <c r="BR26" s="42"/>
      <c r="BS26" s="42"/>
      <c r="BT26" s="42"/>
      <c r="BU26" s="42"/>
      <c r="BV26" s="42"/>
      <c r="BW26" s="42"/>
      <c r="BX26" s="42"/>
      <c r="BY26" s="42"/>
      <c r="BZ26" s="42"/>
      <c r="CA26" s="42"/>
      <c r="CB26" s="42"/>
      <c r="CC26" s="42"/>
      <c r="CD26" s="42"/>
    </row>
    <row r="27" spans="1:82" x14ac:dyDescent="0.4">
      <c r="A27" s="42"/>
      <c r="B27" s="42"/>
      <c r="C27" s="42"/>
      <c r="D27" s="42"/>
      <c r="E27" s="42"/>
      <c r="F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c r="BJ27" s="42"/>
      <c r="BK27" s="42"/>
      <c r="BL27" s="42"/>
      <c r="BM27" s="42"/>
      <c r="BN27" s="42"/>
      <c r="BO27" s="42"/>
      <c r="BP27" s="42"/>
      <c r="BQ27" s="42"/>
      <c r="BR27" s="42"/>
      <c r="BS27" s="42"/>
      <c r="BT27" s="42"/>
      <c r="BU27" s="42"/>
      <c r="BV27" s="42"/>
      <c r="BW27" s="42"/>
      <c r="BX27" s="42"/>
      <c r="BY27" s="42"/>
      <c r="BZ27" s="42"/>
      <c r="CA27" s="42"/>
      <c r="CB27" s="42"/>
      <c r="CC27" s="42"/>
      <c r="CD27" s="42"/>
    </row>
    <row r="28" spans="1:82" x14ac:dyDescent="0.4">
      <c r="A28" s="42"/>
      <c r="B28" s="42"/>
      <c r="C28" s="42"/>
      <c r="D28" s="42"/>
      <c r="E28" s="42"/>
      <c r="F28" s="42"/>
      <c r="AI28" s="42"/>
      <c r="AJ28" s="42"/>
      <c r="AK28" s="42"/>
      <c r="AL28" s="42"/>
      <c r="AM28" s="42"/>
      <c r="AN28" s="42"/>
      <c r="AO28" s="42"/>
      <c r="AP28" s="42"/>
      <c r="AQ28" s="42"/>
      <c r="AR28" s="42"/>
      <c r="AS28" s="42"/>
      <c r="AT28" s="42"/>
      <c r="AU28" s="42"/>
      <c r="AV28" s="42"/>
      <c r="AW28" s="42"/>
      <c r="AX28" s="42"/>
      <c r="AY28" s="42"/>
      <c r="AZ28" s="42"/>
      <c r="BA28" s="42"/>
      <c r="BB28" s="42"/>
      <c r="BC28" s="42"/>
      <c r="BD28" s="42"/>
      <c r="BE28" s="42"/>
      <c r="BF28" s="42"/>
      <c r="BG28" s="42"/>
      <c r="BH28" s="42"/>
      <c r="BI28" s="42"/>
      <c r="BJ28" s="42"/>
      <c r="BK28" s="42"/>
      <c r="BL28" s="42"/>
      <c r="BM28" s="42"/>
      <c r="BN28" s="42"/>
      <c r="BO28" s="42"/>
      <c r="BP28" s="42"/>
      <c r="BQ28" s="42"/>
      <c r="BR28" s="42"/>
      <c r="BS28" s="42"/>
      <c r="BT28" s="42"/>
      <c r="BU28" s="42"/>
      <c r="BV28" s="42"/>
      <c r="BW28" s="42"/>
      <c r="BX28" s="42"/>
      <c r="BY28" s="42"/>
      <c r="BZ28" s="42"/>
      <c r="CA28" s="42"/>
      <c r="CB28" s="42"/>
      <c r="CC28" s="42"/>
      <c r="CD28" s="42"/>
    </row>
    <row r="29" spans="1:82" x14ac:dyDescent="0.4">
      <c r="A29" s="42"/>
      <c r="B29" s="42"/>
      <c r="C29" s="42"/>
      <c r="D29" s="42"/>
      <c r="E29" s="42"/>
      <c r="F29" s="42"/>
      <c r="AI29" s="42"/>
      <c r="AJ29" s="42"/>
      <c r="AK29" s="42"/>
      <c r="AL29" s="42"/>
      <c r="AM29" s="42"/>
      <c r="AN29" s="42"/>
      <c r="AO29" s="42"/>
      <c r="AP29" s="42"/>
      <c r="AQ29" s="42"/>
      <c r="AR29" s="42"/>
      <c r="AS29" s="42"/>
      <c r="AT29" s="42"/>
      <c r="AU29" s="42"/>
      <c r="AV29" s="42"/>
      <c r="AW29" s="42"/>
      <c r="AX29" s="42"/>
      <c r="AY29" s="42"/>
      <c r="AZ29" s="42"/>
      <c r="BA29" s="42"/>
      <c r="BB29" s="42"/>
      <c r="BC29" s="42"/>
      <c r="BD29" s="42"/>
      <c r="BE29" s="42"/>
      <c r="BF29" s="42"/>
      <c r="BG29" s="42"/>
      <c r="BH29" s="42"/>
      <c r="BI29" s="42"/>
      <c r="BJ29" s="42"/>
      <c r="BK29" s="42"/>
      <c r="BL29" s="42"/>
      <c r="BM29" s="42"/>
      <c r="BN29" s="42"/>
      <c r="BO29" s="42"/>
      <c r="BP29" s="42"/>
      <c r="BQ29" s="42"/>
      <c r="BR29" s="42"/>
      <c r="BS29" s="42"/>
      <c r="BT29" s="42"/>
      <c r="BU29" s="42"/>
      <c r="BV29" s="42"/>
      <c r="BW29" s="42"/>
      <c r="BX29" s="42"/>
      <c r="BY29" s="42"/>
      <c r="BZ29" s="42"/>
      <c r="CA29" s="42"/>
      <c r="CB29" s="42"/>
      <c r="CC29" s="42"/>
      <c r="CD29" s="42"/>
    </row>
    <row r="30" spans="1:82" x14ac:dyDescent="0.4">
      <c r="A30" s="42"/>
      <c r="B30" s="42"/>
      <c r="C30" s="42"/>
      <c r="D30" s="42"/>
      <c r="E30" s="42"/>
      <c r="F30" s="42"/>
      <c r="AI30" s="42"/>
      <c r="AJ30" s="42"/>
      <c r="AK30" s="42"/>
      <c r="AL30" s="42"/>
      <c r="AM30" s="42"/>
      <c r="AN30" s="42"/>
      <c r="AO30" s="42"/>
      <c r="AP30" s="42"/>
      <c r="AQ30" s="42"/>
      <c r="AR30" s="42"/>
      <c r="AS30" s="42"/>
      <c r="AT30" s="42"/>
      <c r="AU30" s="42"/>
      <c r="AV30" s="42"/>
      <c r="AW30" s="42"/>
      <c r="AX30" s="42"/>
      <c r="AY30" s="42"/>
      <c r="AZ30" s="42"/>
      <c r="BA30" s="42"/>
      <c r="BB30" s="42"/>
      <c r="BC30" s="42"/>
      <c r="BD30" s="42"/>
      <c r="BE30" s="42"/>
      <c r="BF30" s="42"/>
      <c r="BG30" s="42"/>
      <c r="BH30" s="42"/>
      <c r="BI30" s="42"/>
      <c r="BJ30" s="42"/>
      <c r="BK30" s="42"/>
      <c r="BL30" s="42"/>
      <c r="BM30" s="42"/>
      <c r="BN30" s="42"/>
      <c r="BO30" s="42"/>
      <c r="BP30" s="42"/>
      <c r="BQ30" s="42"/>
      <c r="BR30" s="42"/>
      <c r="BS30" s="42"/>
      <c r="BT30" s="42"/>
      <c r="BU30" s="42"/>
      <c r="BV30" s="42"/>
      <c r="BW30" s="42"/>
      <c r="BX30" s="42"/>
      <c r="BY30" s="42"/>
      <c r="BZ30" s="42"/>
      <c r="CA30" s="42"/>
      <c r="CB30" s="42"/>
      <c r="CC30" s="42"/>
      <c r="CD30" s="42"/>
    </row>
    <row r="31" spans="1:82" x14ac:dyDescent="0.4">
      <c r="A31" s="42"/>
      <c r="B31" s="42"/>
      <c r="C31" s="42"/>
      <c r="D31" s="42"/>
      <c r="E31" s="42"/>
      <c r="F31" s="42"/>
      <c r="AI31" s="42"/>
      <c r="AJ31" s="42"/>
      <c r="AK31" s="42"/>
      <c r="AL31" s="42"/>
      <c r="AM31" s="42"/>
      <c r="AN31" s="42"/>
      <c r="AO31" s="42"/>
      <c r="AP31" s="42"/>
      <c r="AQ31" s="42"/>
      <c r="AR31" s="42"/>
      <c r="AS31" s="42"/>
      <c r="AT31" s="42"/>
      <c r="AU31" s="42"/>
      <c r="AV31" s="42"/>
      <c r="AW31" s="42"/>
      <c r="AX31" s="42"/>
      <c r="AY31" s="42"/>
      <c r="AZ31" s="42"/>
      <c r="BA31" s="42"/>
      <c r="BB31" s="42"/>
      <c r="BC31" s="42"/>
      <c r="BD31" s="42"/>
      <c r="BE31" s="42"/>
      <c r="BF31" s="42"/>
      <c r="BG31" s="42"/>
      <c r="BH31" s="42"/>
      <c r="BI31" s="42"/>
      <c r="BJ31" s="42"/>
      <c r="BK31" s="42"/>
      <c r="BL31" s="42"/>
      <c r="BM31" s="42"/>
      <c r="BN31" s="42"/>
      <c r="BO31" s="42"/>
      <c r="BP31" s="42"/>
      <c r="BQ31" s="42"/>
      <c r="BR31" s="42"/>
      <c r="BS31" s="42"/>
      <c r="BT31" s="42"/>
      <c r="BU31" s="42"/>
      <c r="BV31" s="42"/>
      <c r="BW31" s="42"/>
      <c r="BX31" s="42"/>
      <c r="BY31" s="42"/>
      <c r="BZ31" s="42"/>
      <c r="CA31" s="42"/>
      <c r="CB31" s="42"/>
      <c r="CC31" s="42"/>
      <c r="CD31" s="42"/>
    </row>
    <row r="32" spans="1:82" x14ac:dyDescent="0.4">
      <c r="A32" s="42"/>
      <c r="B32" s="42"/>
      <c r="C32" s="42"/>
      <c r="D32" s="42"/>
      <c r="E32" s="42"/>
      <c r="F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c r="BJ32" s="42"/>
      <c r="BK32" s="42"/>
      <c r="BL32" s="42"/>
      <c r="BM32" s="42"/>
      <c r="BN32" s="42"/>
      <c r="BO32" s="42"/>
      <c r="BP32" s="42"/>
      <c r="BQ32" s="42"/>
      <c r="BR32" s="42"/>
      <c r="BS32" s="42"/>
      <c r="BT32" s="42"/>
      <c r="BU32" s="42"/>
      <c r="BV32" s="42"/>
      <c r="BW32" s="42"/>
      <c r="BX32" s="42"/>
      <c r="BY32" s="42"/>
      <c r="BZ32" s="42"/>
      <c r="CA32" s="42"/>
      <c r="CB32" s="42"/>
      <c r="CC32" s="42"/>
      <c r="CD32" s="42"/>
    </row>
    <row r="33" spans="1:82" x14ac:dyDescent="0.4">
      <c r="A33" s="42"/>
      <c r="B33" s="42"/>
      <c r="C33" s="42"/>
      <c r="D33" s="42"/>
      <c r="E33" s="42"/>
      <c r="F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c r="BJ33" s="42"/>
      <c r="BK33" s="42"/>
      <c r="BL33" s="42"/>
      <c r="BM33" s="42"/>
      <c r="BN33" s="42"/>
      <c r="BO33" s="42"/>
      <c r="BP33" s="42"/>
      <c r="BQ33" s="42"/>
      <c r="BR33" s="42"/>
      <c r="BS33" s="42"/>
      <c r="BT33" s="42"/>
      <c r="BU33" s="42"/>
      <c r="BV33" s="42"/>
      <c r="BW33" s="42"/>
      <c r="BX33" s="42"/>
      <c r="BY33" s="42"/>
      <c r="BZ33" s="42"/>
      <c r="CA33" s="42"/>
      <c r="CB33" s="42"/>
      <c r="CC33" s="42"/>
      <c r="CD33" s="42"/>
    </row>
    <row r="34" spans="1:82" x14ac:dyDescent="0.4">
      <c r="A34" s="42"/>
      <c r="B34" s="42"/>
      <c r="C34" s="42"/>
      <c r="D34" s="42"/>
      <c r="E34" s="42"/>
      <c r="F34" s="42"/>
      <c r="AI34" s="42"/>
      <c r="AJ34" s="42"/>
      <c r="AK34" s="42"/>
      <c r="AL34" s="42"/>
      <c r="AM34" s="42"/>
      <c r="AN34" s="42"/>
      <c r="AO34" s="42"/>
      <c r="AP34" s="42"/>
      <c r="AQ34" s="42"/>
      <c r="AR34" s="42"/>
      <c r="AS34" s="42"/>
      <c r="AT34" s="42"/>
      <c r="AU34" s="42"/>
      <c r="AV34" s="42"/>
      <c r="AW34" s="42"/>
      <c r="AX34" s="42"/>
      <c r="AY34" s="42"/>
      <c r="AZ34" s="42"/>
      <c r="BA34" s="42"/>
      <c r="BB34" s="42"/>
      <c r="BC34" s="42"/>
      <c r="BD34" s="42"/>
      <c r="BE34" s="42"/>
      <c r="BF34" s="42"/>
      <c r="BG34" s="42"/>
      <c r="BH34" s="42"/>
      <c r="BI34" s="42"/>
      <c r="BJ34" s="42"/>
      <c r="BK34" s="42"/>
      <c r="BL34" s="42"/>
      <c r="BM34" s="42"/>
      <c r="BN34" s="42"/>
      <c r="BO34" s="42"/>
      <c r="BP34" s="42"/>
      <c r="BQ34" s="42"/>
      <c r="BR34" s="42"/>
      <c r="BS34" s="42"/>
      <c r="BT34" s="42"/>
      <c r="BU34" s="42"/>
      <c r="BV34" s="42"/>
      <c r="BW34" s="42"/>
      <c r="BX34" s="42"/>
      <c r="BY34" s="42"/>
      <c r="BZ34" s="42"/>
      <c r="CA34" s="42"/>
      <c r="CB34" s="42"/>
      <c r="CC34" s="42"/>
      <c r="CD34" s="42"/>
    </row>
    <row r="35" spans="1:82" x14ac:dyDescent="0.4">
      <c r="A35" s="42"/>
      <c r="B35" s="42"/>
      <c r="C35" s="42"/>
      <c r="D35" s="42"/>
      <c r="E35" s="42"/>
      <c r="F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c r="BX35" s="42"/>
      <c r="BY35" s="42"/>
      <c r="BZ35" s="42"/>
      <c r="CA35" s="42"/>
      <c r="CB35" s="42"/>
      <c r="CC35" s="42"/>
      <c r="CD35" s="42"/>
    </row>
    <row r="36" spans="1:82" x14ac:dyDescent="0.4">
      <c r="A36" s="42"/>
      <c r="B36" s="42"/>
      <c r="C36" s="42"/>
      <c r="D36" s="42"/>
      <c r="E36" s="42"/>
      <c r="F36" s="42"/>
      <c r="AI36" s="42"/>
      <c r="AJ36" s="42"/>
      <c r="AK36" s="42"/>
      <c r="AL36" s="42"/>
      <c r="AM36" s="42"/>
      <c r="AN36" s="42"/>
      <c r="AO36" s="42"/>
      <c r="AP36" s="42"/>
      <c r="AQ36" s="42"/>
      <c r="AR36" s="42"/>
      <c r="AS36" s="42"/>
      <c r="AT36" s="42"/>
      <c r="AU36" s="42"/>
      <c r="AV36" s="42"/>
      <c r="AW36" s="42"/>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c r="BX36" s="42"/>
      <c r="BY36" s="42"/>
      <c r="BZ36" s="42"/>
      <c r="CA36" s="42"/>
      <c r="CB36" s="42"/>
      <c r="CC36" s="42"/>
      <c r="CD36" s="42"/>
    </row>
    <row r="37" spans="1:82" x14ac:dyDescent="0.4">
      <c r="A37" s="42"/>
      <c r="B37" s="42"/>
      <c r="C37" s="42"/>
      <c r="D37" s="42"/>
      <c r="E37" s="42"/>
      <c r="F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c r="BX37" s="42"/>
      <c r="BY37" s="42"/>
      <c r="BZ37" s="42"/>
      <c r="CA37" s="42"/>
      <c r="CB37" s="42"/>
      <c r="CC37" s="42"/>
      <c r="CD37" s="42"/>
    </row>
    <row r="38" spans="1:82" x14ac:dyDescent="0.4">
      <c r="A38" s="42"/>
      <c r="B38" s="42"/>
      <c r="C38" s="42"/>
      <c r="D38" s="42"/>
      <c r="E38" s="42"/>
      <c r="F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c r="BX38" s="42"/>
      <c r="BY38" s="42"/>
      <c r="BZ38" s="42"/>
      <c r="CA38" s="42"/>
      <c r="CB38" s="42"/>
      <c r="CC38" s="42"/>
      <c r="CD38" s="42"/>
    </row>
  </sheetData>
  <sheetProtection autoFilter="0"/>
  <autoFilter ref="H6:V6" xr:uid="{A5DF8368-E06E-4DEE-BD48-61FF9E8E4959}"/>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34" r:id="rId8" name="ReportSubmitControl_1tb1">
          <controlPr defaultSize="0" autoLine="0" autoPict="0" r:id="rId9">
            <anchor moveWithCells="1" sizeWithCells="1">
              <from>
                <xdr:col>0</xdr:col>
                <xdr:colOff>0</xdr:colOff>
                <xdr:row>0</xdr:row>
                <xdr:rowOff>0</xdr:rowOff>
              </from>
              <to>
                <xdr:col>6</xdr:col>
                <xdr:colOff>97971</xdr:colOff>
                <xdr:row>0</xdr:row>
                <xdr:rowOff>0</xdr:rowOff>
              </to>
            </anchor>
          </controlPr>
        </control>
      </mc:Choice>
      <mc:Fallback>
        <control shapeId="3134" r:id="rId8" name="ReportSubmitControl_1tb1"/>
      </mc:Fallback>
    </mc:AlternateContent>
    <mc:AlternateContent xmlns:mc="http://schemas.openxmlformats.org/markup-compatibility/2006">
      <mc:Choice Requires="x14">
        <control shapeId="3133" r:id="rId10" name="ReportSubmitManagerControltb1">
          <controlPr defaultSize="0" autoLine="0" autoPict="0" r:id="rId11">
            <anchor moveWithCells="1" sizeWithCells="1">
              <from>
                <xdr:col>0</xdr:col>
                <xdr:colOff>0</xdr:colOff>
                <xdr:row>0</xdr:row>
                <xdr:rowOff>0</xdr:rowOff>
              </from>
              <to>
                <xdr:col>6</xdr:col>
                <xdr:colOff>97971</xdr:colOff>
                <xdr:row>0</xdr:row>
                <xdr:rowOff>0</xdr:rowOff>
              </to>
            </anchor>
          </controlPr>
        </control>
      </mc:Choice>
      <mc:Fallback>
        <control shapeId="3133" r:id="rId10" name="ReportSubmitManagerControltb1"/>
      </mc:Fallback>
    </mc:AlternateContent>
    <mc:AlternateContent xmlns:mc="http://schemas.openxmlformats.org/markup-compatibility/2006">
      <mc:Choice Requires="x14">
        <control shapeId="3132" r:id="rId12" name="MultipleReportManagerInfotb1">
          <controlPr defaultSize="0" autoLine="0" autoPict="0" r:id="rId13">
            <anchor moveWithCells="1" sizeWithCells="1">
              <from>
                <xdr:col>0</xdr:col>
                <xdr:colOff>0</xdr:colOff>
                <xdr:row>0</xdr:row>
                <xdr:rowOff>0</xdr:rowOff>
              </from>
              <to>
                <xdr:col>6</xdr:col>
                <xdr:colOff>97971</xdr:colOff>
                <xdr:row>0</xdr:row>
                <xdr:rowOff>0</xdr:rowOff>
              </to>
            </anchor>
          </controlPr>
        </control>
      </mc:Choice>
      <mc:Fallback>
        <control shapeId="3132" r:id="rId12" name="MultipleReportManagerInfotb1"/>
      </mc:Fallback>
    </mc:AlternateContent>
    <mc:AlternateContent xmlns:mc="http://schemas.openxmlformats.org/markup-compatibility/2006">
      <mc:Choice Requires="x14">
        <control shapeId="3131" r:id="rId14" name="ConnectionDescriptorsInfotb1">
          <controlPr defaultSize="0" autoLine="0" autoPict="0" r:id="rId15">
            <anchor moveWithCells="1" sizeWithCells="1">
              <from>
                <xdr:col>0</xdr:col>
                <xdr:colOff>0</xdr:colOff>
                <xdr:row>0</xdr:row>
                <xdr:rowOff>0</xdr:rowOff>
              </from>
              <to>
                <xdr:col>6</xdr:col>
                <xdr:colOff>97971</xdr:colOff>
                <xdr:row>0</xdr:row>
                <xdr:rowOff>0</xdr:rowOff>
              </to>
            </anchor>
          </controlPr>
        </control>
      </mc:Choice>
      <mc:Fallback>
        <control shapeId="3131" r:id="rId14" name="ConnectionDescriptorsInfotb1"/>
      </mc:Fallback>
    </mc:AlternateContent>
    <mc:AlternateContent xmlns:mc="http://schemas.openxmlformats.org/markup-compatibility/2006">
      <mc:Choice Requires="x14">
        <control shapeId="3130" r:id="rId16" name="AnalyzerDynReport000tb1">
          <controlPr defaultSize="0" autoLine="0" autoPict="0" r:id="rId17">
            <anchor moveWithCells="1" sizeWithCells="1">
              <from>
                <xdr:col>0</xdr:col>
                <xdr:colOff>0</xdr:colOff>
                <xdr:row>0</xdr:row>
                <xdr:rowOff>0</xdr:rowOff>
              </from>
              <to>
                <xdr:col>6</xdr:col>
                <xdr:colOff>97971</xdr:colOff>
                <xdr:row>0</xdr:row>
                <xdr:rowOff>0</xdr:rowOff>
              </to>
            </anchor>
          </controlPr>
        </control>
      </mc:Choice>
      <mc:Fallback>
        <control shapeId="3130" r:id="rId16" name="AnalyzerDynReport000tb1"/>
      </mc:Fallback>
    </mc:AlternateContent>
    <mc:AlternateContent xmlns:mc="http://schemas.openxmlformats.org/markup-compatibility/2006">
      <mc:Choice Requires="x14">
        <control shapeId="3119" r:id="rId18" name="TextBox2">
          <controlPr defaultSize="0" disabled="1" autoLine="0" r:id="rId19">
            <anchor>
              <from>
                <xdr:col>8</xdr:col>
                <xdr:colOff>631371</xdr:colOff>
                <xdr:row>2</xdr:row>
                <xdr:rowOff>152400</xdr:rowOff>
              </from>
              <to>
                <xdr:col>8</xdr:col>
                <xdr:colOff>636814</xdr:colOff>
                <xdr:row>2</xdr:row>
                <xdr:rowOff>157843</xdr:rowOff>
              </to>
            </anchor>
          </controlPr>
        </control>
      </mc:Choice>
      <mc:Fallback>
        <control shapeId="3119" r:id="rId18" name="TextBox2"/>
      </mc:Fallback>
    </mc:AlternateContent>
    <mc:AlternateContent xmlns:mc="http://schemas.openxmlformats.org/markup-compatibility/2006">
      <mc:Choice Requires="x14">
        <control shapeId="3115" r:id="rId20" name="TextBox1">
          <controlPr defaultSize="0" disabled="1" autoLine="0" r:id="rId21">
            <anchor>
              <from>
                <xdr:col>0</xdr:col>
                <xdr:colOff>38100</xdr:colOff>
                <xdr:row>2</xdr:row>
                <xdr:rowOff>152400</xdr:rowOff>
              </from>
              <to>
                <xdr:col>0</xdr:col>
                <xdr:colOff>43543</xdr:colOff>
                <xdr:row>2</xdr:row>
                <xdr:rowOff>157843</xdr:rowOff>
              </to>
            </anchor>
          </controlPr>
        </control>
      </mc:Choice>
      <mc:Fallback>
        <control shapeId="3115" r:id="rId20" name="TextBox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135" r:id="rId24" name="ConnectionDescriptorsInfoHCtb1">
          <controlPr defaultSize="0" autoLine="0" r:id="rId25">
            <anchor moveWithCells="1">
              <from>
                <xdr:col>10</xdr:col>
                <xdr:colOff>0</xdr:colOff>
                <xdr:row>6</xdr:row>
                <xdr:rowOff>0</xdr:rowOff>
              </from>
              <to>
                <xdr:col>11</xdr:col>
                <xdr:colOff>310243</xdr:colOff>
                <xdr:row>6</xdr:row>
                <xdr:rowOff>5443</xdr:rowOff>
              </to>
            </anchor>
          </controlPr>
        </control>
      </mc:Choice>
      <mc:Fallback>
        <control shapeId="3135" r:id="rId24" name="ConnectionDescriptorsInfoHCtb1"/>
      </mc:Fallback>
    </mc:AlternateContent>
    <mc:AlternateContent xmlns:mc="http://schemas.openxmlformats.org/markup-compatibility/2006">
      <mc:Choice Requires="x14">
        <control shapeId="3136" r:id="rId26" name="ConnectionDescriptorsInfoDCtb1">
          <controlPr defaultSize="0" autoLine="0" r:id="rId27">
            <anchor moveWithCells="1">
              <from>
                <xdr:col>10</xdr:col>
                <xdr:colOff>0</xdr:colOff>
                <xdr:row>6</xdr:row>
                <xdr:rowOff>0</xdr:rowOff>
              </from>
              <to>
                <xdr:col>11</xdr:col>
                <xdr:colOff>310243</xdr:colOff>
                <xdr:row>6</xdr:row>
                <xdr:rowOff>5443</xdr:rowOff>
              </to>
            </anchor>
          </controlPr>
        </control>
      </mc:Choice>
      <mc:Fallback>
        <control shapeId="3136" r:id="rId26" name="ConnectionDescriptorsInfoDCtb1"/>
      </mc:Fallback>
    </mc:AlternateContent>
    <mc:AlternateContent xmlns:mc="http://schemas.openxmlformats.org/markup-compatibility/2006">
      <mc:Choice Requires="x14">
        <control shapeId="3137" r:id="rId28" name="MultipleReportManagerInfoHCtb1">
          <controlPr defaultSize="0" autoLine="0" r:id="rId29">
            <anchor moveWithCells="1">
              <from>
                <xdr:col>10</xdr:col>
                <xdr:colOff>0</xdr:colOff>
                <xdr:row>6</xdr:row>
                <xdr:rowOff>0</xdr:rowOff>
              </from>
              <to>
                <xdr:col>11</xdr:col>
                <xdr:colOff>310243</xdr:colOff>
                <xdr:row>6</xdr:row>
                <xdr:rowOff>5443</xdr:rowOff>
              </to>
            </anchor>
          </controlPr>
        </control>
      </mc:Choice>
      <mc:Fallback>
        <control shapeId="3137" r:id="rId28" name="MultipleReportManagerInfoHCtb1"/>
      </mc:Fallback>
    </mc:AlternateContent>
    <mc:AlternateContent xmlns:mc="http://schemas.openxmlformats.org/markup-compatibility/2006">
      <mc:Choice Requires="x14">
        <control shapeId="3138" r:id="rId30" name="MultipleReportManagerInfoDCtb1">
          <controlPr defaultSize="0" autoLine="0" r:id="rId31">
            <anchor moveWithCells="1">
              <from>
                <xdr:col>10</xdr:col>
                <xdr:colOff>0</xdr:colOff>
                <xdr:row>6</xdr:row>
                <xdr:rowOff>0</xdr:rowOff>
              </from>
              <to>
                <xdr:col>11</xdr:col>
                <xdr:colOff>310243</xdr:colOff>
                <xdr:row>6</xdr:row>
                <xdr:rowOff>5443</xdr:rowOff>
              </to>
            </anchor>
          </controlPr>
        </control>
      </mc:Choice>
      <mc:Fallback>
        <control shapeId="3138" r:id="rId30" name="MultipleReportManagerInfoDCtb1"/>
      </mc:Fallback>
    </mc:AlternateContent>
    <mc:AlternateContent xmlns:mc="http://schemas.openxmlformats.org/markup-compatibility/2006">
      <mc:Choice Requires="x14">
        <control shapeId="3139" r:id="rId32" name="ReportSubmitManagerControlHCtb1">
          <controlPr defaultSize="0" autoLine="0" r:id="rId33">
            <anchor moveWithCells="1">
              <from>
                <xdr:col>10</xdr:col>
                <xdr:colOff>0</xdr:colOff>
                <xdr:row>6</xdr:row>
                <xdr:rowOff>0</xdr:rowOff>
              </from>
              <to>
                <xdr:col>11</xdr:col>
                <xdr:colOff>310243</xdr:colOff>
                <xdr:row>6</xdr:row>
                <xdr:rowOff>5443</xdr:rowOff>
              </to>
            </anchor>
          </controlPr>
        </control>
      </mc:Choice>
      <mc:Fallback>
        <control shapeId="3139" r:id="rId32" name="ReportSubmitManagerControlHCtb1"/>
      </mc:Fallback>
    </mc:AlternateContent>
    <mc:AlternateContent xmlns:mc="http://schemas.openxmlformats.org/markup-compatibility/2006">
      <mc:Choice Requires="x14">
        <control shapeId="3140" r:id="rId34" name="ReportSubmitManagerControlDCtb1">
          <controlPr defaultSize="0" autoLine="0" r:id="rId35">
            <anchor moveWithCells="1">
              <from>
                <xdr:col>10</xdr:col>
                <xdr:colOff>0</xdr:colOff>
                <xdr:row>6</xdr:row>
                <xdr:rowOff>0</xdr:rowOff>
              </from>
              <to>
                <xdr:col>11</xdr:col>
                <xdr:colOff>310243</xdr:colOff>
                <xdr:row>6</xdr:row>
                <xdr:rowOff>5443</xdr:rowOff>
              </to>
            </anchor>
          </controlPr>
        </control>
      </mc:Choice>
      <mc:Fallback>
        <control shapeId="3140" r:id="rId34" name="ReportSubmitManagerControlDCtb1"/>
      </mc:Fallback>
    </mc:AlternateContent>
    <mc:AlternateContent xmlns:mc="http://schemas.openxmlformats.org/markup-compatibility/2006">
      <mc:Choice Requires="x14">
        <control shapeId="3141" r:id="rId36" name="ReportSubmitControl_1HCtb1">
          <controlPr defaultSize="0" autoLine="0" r:id="rId37">
            <anchor moveWithCells="1">
              <from>
                <xdr:col>10</xdr:col>
                <xdr:colOff>0</xdr:colOff>
                <xdr:row>6</xdr:row>
                <xdr:rowOff>0</xdr:rowOff>
              </from>
              <to>
                <xdr:col>11</xdr:col>
                <xdr:colOff>310243</xdr:colOff>
                <xdr:row>6</xdr:row>
                <xdr:rowOff>5443</xdr:rowOff>
              </to>
            </anchor>
          </controlPr>
        </control>
      </mc:Choice>
      <mc:Fallback>
        <control shapeId="3141" r:id="rId36" name="ReportSubmitControl_1HCtb1"/>
      </mc:Fallback>
    </mc:AlternateContent>
    <mc:AlternateContent xmlns:mc="http://schemas.openxmlformats.org/markup-compatibility/2006">
      <mc:Choice Requires="x14">
        <control shapeId="3142" r:id="rId38" name="ReportSubmitControl_1DCtb1">
          <controlPr defaultSize="0" autoLine="0" r:id="rId39">
            <anchor moveWithCells="1">
              <from>
                <xdr:col>10</xdr:col>
                <xdr:colOff>0</xdr:colOff>
                <xdr:row>6</xdr:row>
                <xdr:rowOff>0</xdr:rowOff>
              </from>
              <to>
                <xdr:col>11</xdr:col>
                <xdr:colOff>310243</xdr:colOff>
                <xdr:row>6</xdr:row>
                <xdr:rowOff>5443</xdr:rowOff>
              </to>
            </anchor>
          </controlPr>
        </control>
      </mc:Choice>
      <mc:Fallback>
        <control shapeId="3142" r:id="rId38" name="ReportSubmitControl_1DCtb1"/>
      </mc:Fallback>
    </mc:AlternateContent>
    <mc:AlternateContent xmlns:mc="http://schemas.openxmlformats.org/markup-compatibility/2006">
      <mc:Choice Requires="x14">
        <control shapeId="3146" r:id="rId40" name="AnalyzerDynReportHC000tb1">
          <controlPr defaultSize="0" autoLine="0" r:id="rId41">
            <anchor moveWithCells="1">
              <from>
                <xdr:col>10</xdr:col>
                <xdr:colOff>0</xdr:colOff>
                <xdr:row>6</xdr:row>
                <xdr:rowOff>0</xdr:rowOff>
              </from>
              <to>
                <xdr:col>11</xdr:col>
                <xdr:colOff>310243</xdr:colOff>
                <xdr:row>6</xdr:row>
                <xdr:rowOff>5443</xdr:rowOff>
              </to>
            </anchor>
          </controlPr>
        </control>
      </mc:Choice>
      <mc:Fallback>
        <control shapeId="3146" r:id="rId40" name="AnalyzerDynReportHC000tb1"/>
      </mc:Fallback>
    </mc:AlternateContent>
    <mc:AlternateContent xmlns:mc="http://schemas.openxmlformats.org/markup-compatibility/2006">
      <mc:Choice Requires="x14">
        <control shapeId="3147" r:id="rId42" name="AnalyzerDynReportDC000tb1">
          <controlPr defaultSize="0" autoLine="0" r:id="rId43">
            <anchor moveWithCells="1">
              <from>
                <xdr:col>10</xdr:col>
                <xdr:colOff>0</xdr:colOff>
                <xdr:row>6</xdr:row>
                <xdr:rowOff>0</xdr:rowOff>
              </from>
              <to>
                <xdr:col>11</xdr:col>
                <xdr:colOff>310243</xdr:colOff>
                <xdr:row>6</xdr:row>
                <xdr:rowOff>5443</xdr:rowOff>
              </to>
            </anchor>
          </controlPr>
        </control>
      </mc:Choice>
      <mc:Fallback>
        <control shapeId="3147" r:id="rId42" name="AnalyzerDynReportDC000tb1"/>
      </mc:Fallback>
    </mc:AlternateContent>
    <mc:AlternateContent xmlns:mc="http://schemas.openxmlformats.org/markup-compatibility/2006">
      <mc:Choice Requires="x14">
        <control shapeId="3574" r:id="rId44" name="SimulateForecast">
          <controlPr defaultSize="0" autoLine="0" r:id="rId45">
            <anchor moveWithCells="1">
              <from>
                <xdr:col>8</xdr:col>
                <xdr:colOff>789214</xdr:colOff>
                <xdr:row>2</xdr:row>
                <xdr:rowOff>114300</xdr:rowOff>
              </from>
              <to>
                <xdr:col>9</xdr:col>
                <xdr:colOff>1208314</xdr:colOff>
                <xdr:row>2</xdr:row>
                <xdr:rowOff>571500</xdr:rowOff>
              </to>
            </anchor>
          </controlPr>
        </control>
      </mc:Choice>
      <mc:Fallback>
        <control shapeId="3574" r:id="rId44" name="SimulateForecas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Run Simulation</favorite>
  <bookSettings xmlns="">
    <scenarios>
      <value>__BASELINE</value>
    </scenarios>
    <simulations>
      <value>__PLAN</value>
    </simulations>
    <planningUnits>
      <planningVersion>__BASELINE</planningVersion>
      <planningScenario>__PLAN</planningScenario>
      <timeRelativeFromDays>0</timeRelativeFromDays>
      <timeRelativeToDays>51</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F40A2ADA-1941-4777-9EE8-39622F296D2B}">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SapIbpChartFeeder</vt: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2023-08-16T11:52:29Z</dcterms:modified>
</cp:coreProperties>
</file>