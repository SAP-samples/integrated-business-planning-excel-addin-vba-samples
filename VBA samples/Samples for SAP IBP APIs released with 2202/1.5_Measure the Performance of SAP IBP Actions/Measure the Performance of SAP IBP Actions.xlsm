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5_Measure the Performance of SAP IBP Actions/"/>
    </mc:Choice>
  </mc:AlternateContent>
  <xr:revisionPtr revIDLastSave="15" documentId="8_{10636F55-2C09-4C84-A444-17F886AE9134}" xr6:coauthVersionLast="47" xr6:coauthVersionMax="47" xr10:uidLastSave="{DECC66A4-32BD-40E5-A25A-16669A8EF8CF}"/>
  <bookViews>
    <workbookView xWindow="-103" yWindow="-103" windowWidth="22149" windowHeight="11949" tabRatio="374" firstSheet="1" activeTab="1" xr2:uid="{00000000-000D-0000-FFFF-FFFF00000000}"/>
  </bookViews>
  <sheets>
    <sheet name="IBPFormattingSheet" sheetId="7" state="hidden" r:id="rId1"/>
    <sheet name="Testing" sheetId="15" r:id="rId2"/>
    <sheet name="Test 1"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'Test 1'!$H$3:$V$3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2">"EUR"</definedName>
    <definedName name="SOP_CURRTOID" localSheetId="2">"EUR"</definedName>
    <definedName name="SOP_Favorite_Name">"Performance Test"</definedName>
    <definedName name="SOP_Filter" localSheetId="2">{"Product ID = HT_001","Location ID = HD_DC_CA_E"}</definedName>
    <definedName name="SOP_Filter">{" "}</definedName>
    <definedName name="SOP_Filter_Criteria_Count" localSheetId="2">2</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"SAP6"</definedName>
    <definedName name="SOP_Planning_Scope">"17.02.2022 - 31.12.2023 | Baseline | Base Version"</definedName>
    <definedName name="SOP_Refresh_Timestamp">44587.7362152778</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P3" i="5"/>
  <c r="Q3" i="5"/>
  <c r="O3" i="5"/>
  <c r="U3" i="5"/>
  <c r="K3" i="5"/>
  <c r="S3" i="5"/>
  <c r="L3" i="5"/>
  <c r="V3" i="5"/>
  <c r="I4" i="5"/>
  <c r="T3" i="5"/>
  <c r="M3" i="5"/>
  <c r="Q1" i="5"/>
  <c r="J7" i="5"/>
  <c r="J5" i="5"/>
  <c r="H4" i="5"/>
  <c r="J9" i="5"/>
  <c r="J6" i="5"/>
  <c r="J8" i="5"/>
  <c r="J4" i="5"/>
  <c r="R3" i="5"/>
  <c r="N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4" authorId="0" shapeId="0" xr:uid="{6A080261-466E-4F04-B247-DC928153DBA2}">
      <text>
        <r>
          <rPr>
            <sz val="9"/>
            <color indexed="81"/>
            <rFont val="Tahoma"/>
            <family val="2"/>
          </rPr>
          <t>1503 is fixed</t>
        </r>
      </text>
    </comment>
    <comment ref="S4" authorId="0" shapeId="0" xr:uid="{39CB4B47-8E71-4C3E-892F-DF63F0D0ACF3}">
      <text>
        <r>
          <rPr>
            <sz val="9"/>
            <color indexed="81"/>
            <rFont val="Tahoma"/>
            <family val="2"/>
          </rPr>
          <t>100 is fixed</t>
        </r>
      </text>
    </comment>
    <comment ref="T4" authorId="0" shapeId="0" xr:uid="{F65FA12A-E65A-498F-A753-B0C7B6B81341}">
      <text>
        <r>
          <rPr>
            <sz val="9"/>
            <color indexed="81"/>
            <rFont val="Tahoma"/>
            <family val="2"/>
          </rPr>
          <t>100 is fixed</t>
        </r>
      </text>
    </comment>
    <comment ref="U4" authorId="0" shapeId="0" xr:uid="{B5036840-F0BF-43E4-8BBD-35EDD27CE751}">
      <text>
        <r>
          <rPr>
            <sz val="9"/>
            <color indexed="81"/>
            <rFont val="Tahoma"/>
            <family val="2"/>
          </rPr>
          <t>100 is fixed</t>
        </r>
      </text>
    </comment>
  </commentList>
</comments>
</file>

<file path=xl/sharedStrings.xml><?xml version="1.0" encoding="utf-8"?>
<sst xmlns="http://schemas.openxmlformats.org/spreadsheetml/2006/main" count="110" uniqueCount="38">
  <si>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</si>
  <si>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</si>
  <si>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</si>
  <si>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</si>
  <si>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</si>
  <si>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</si>
  <si>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</si>
  <si>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</si>
  <si>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</si>
  <si>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</si>
  <si>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</si>
  <si>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</si>
  <si>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</si>
  <si>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</si>
  <si>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</si>
  <si>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</si>
  <si>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</si>
  <si>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</si>
  <si>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</si>
  <si>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</si>
  <si>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</si>
  <si>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</si>
  <si>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</si>
  <si>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</si>
  <si>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</si>
  <si>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</si>
  <si>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</si>
  <si>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</si>
  <si>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</si>
  <si>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</si>
  <si>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</si>
  <si>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Test Step</t>
  </si>
  <si>
    <t>Time Elapsed (sec)</t>
  </si>
  <si>
    <t>Run Forecast in Simulation</t>
  </si>
  <si>
    <t>Refresh</t>
  </si>
  <si>
    <t>Simulate</t>
  </si>
  <si>
    <t>Save</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</si>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</sst>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5"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A5A5A5"/>
      </patternFill>
    </fill>
  </fills>
  <borders count="4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s>
  <cellStyleXfs count="3">
    <xf numFmtId="0" fontId="0" fillId="0" borderId="0"/>
    <xf numFmtId="0" fontId="15" fillId="7" borderId="0" applyNumberFormat="0" applyBorder="0" applyAlignment="0" applyProtection="0"/>
    <xf numFmtId="0" fontId="12" fillId="12" borderId="39" applyNumberFormat="0" applyAlignment="0" applyProtection="0"/>
  </cellStyleXfs>
  <cellXfs count="105">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1"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12" fillId="12" borderId="3" xfId="2" applyBorder="1" applyAlignment="1">
      <alignment horizontal="center"/>
    </xf>
    <xf numFmtId="0" fontId="0" fillId="0" borderId="3" xfId="0" applyFill="1" applyBorder="1"/>
    <xf numFmtId="164" fontId="23" fillId="11" borderId="0" xfId="0" applyNumberFormat="1" applyFont="1" applyFill="1" applyBorder="1" applyAlignment="1" applyProtection="1">
      <alignment horizontal="right" vertical="center"/>
      <protection locked="0"/>
    </xf>
    <xf numFmtId="165" fontId="23" fillId="11" borderId="0" xfId="0" applyNumberFormat="1" applyFont="1" applyFill="1" applyBorder="1" applyAlignment="1" applyProtection="1">
      <alignment horizontal="righ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12" fillId="12" borderId="40" xfId="2" applyBorder="1" applyAlignment="1">
      <alignment horizontal="center"/>
    </xf>
    <xf numFmtId="0" fontId="12" fillId="12" borderId="41" xfId="2" applyBorder="1" applyAlignment="1">
      <alignment horizontal="center"/>
    </xf>
    <xf numFmtId="0" fontId="12" fillId="12" borderId="42" xfId="2" applyBorder="1" applyAlignment="1">
      <alignment horizontal="center"/>
    </xf>
    <xf numFmtId="0" fontId="0" fillId="0" borderId="3" xfId="0" applyFont="1" applyFill="1" applyBorder="1" applyAlignment="1">
      <alignment horizontal="left"/>
    </xf>
    <xf numFmtId="0" fontId="24" fillId="0" borderId="3" xfId="0" applyFont="1" applyFill="1" applyBorder="1" applyAlignment="1">
      <alignment horizontal="left"/>
    </xf>
    <xf numFmtId="0" fontId="0" fillId="0" borderId="3" xfId="0" applyFill="1" applyBorder="1" applyAlignment="1">
      <alignment horizontal="left"/>
    </xf>
    <xf numFmtId="0" fontId="19" fillId="9" borderId="0" xfId="0" quotePrefix="1" applyFont="1" applyFill="1" applyBorder="1" applyAlignment="1" applyProtection="1">
      <alignment horizontal="left" vertical="top" wrapText="1" indent="5"/>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3">
    <cellStyle name="Accent6" xfId="1" builtinId="49"/>
    <cellStyle name="Check Cell 2" xfId="2" xr:uid="{40CC7E88-401C-413F-9804-D49B81C627EB}"/>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4.emf"/><Relationship Id="rId17" Type="http://schemas.openxmlformats.org/officeDocument/2006/relationships/image" Target="../media/image9.emf"/><Relationship Id="rId2" Type="http://schemas.openxmlformats.org/officeDocument/2006/relationships/image" Target="../media/image19.emf"/><Relationship Id="rId16" Type="http://schemas.openxmlformats.org/officeDocument/2006/relationships/image" Target="../media/image10.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5.emf"/><Relationship Id="rId5" Type="http://schemas.openxmlformats.org/officeDocument/2006/relationships/image" Target="../media/image22.emf"/><Relationship Id="rId1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21.emf"/><Relationship Id="rId9" Type="http://schemas.openxmlformats.org/officeDocument/2006/relationships/image" Target="../media/image17.emf"/><Relationship Id="rId1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21771</xdr:rowOff>
        </xdr:from>
        <xdr:to>
          <xdr:col>5</xdr:col>
          <xdr:colOff>5443</xdr:colOff>
          <xdr:row>5</xdr:row>
          <xdr:rowOff>114300</xdr:rowOff>
        </xdr:to>
        <xdr:sp macro="" textlink="">
          <xdr:nvSpPr>
            <xdr:cNvPr id="16385" name="RunUpgradeTest"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21771</xdr:rowOff>
        </xdr:from>
        <xdr:to>
          <xdr:col>8</xdr:col>
          <xdr:colOff>533400</xdr:colOff>
          <xdr:row>3</xdr:row>
          <xdr:rowOff>125186</xdr:rowOff>
        </xdr:to>
        <xdr:sp macro="" textlink="">
          <xdr:nvSpPr>
            <xdr:cNvPr id="16386" name="ResetStatus"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ustomProperty" Target="../customProperty3.bin"/><Relationship Id="rId7" Type="http://schemas.openxmlformats.org/officeDocument/2006/relationships/image" Target="../media/image5.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7" Type="http://schemas.openxmlformats.org/officeDocument/2006/relationships/image" Target="../media/image7.png"/><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8.emf"/><Relationship Id="rId41" Type="http://schemas.openxmlformats.org/officeDocument/2006/relationships/image" Target="../media/image24.emf"/><Relationship Id="rId1" Type="http://schemas.openxmlformats.org/officeDocument/2006/relationships/printerSettings" Target="../printerSettings/printerSettings3.bin"/><Relationship Id="rId6" Type="http://schemas.openxmlformats.org/officeDocument/2006/relationships/vmlDrawing" Target="../drawings/vmlDrawing3.vml"/><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5" Type="http://schemas.openxmlformats.org/officeDocument/2006/relationships/drawing" Target="../drawings/drawing3.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10" Type="http://schemas.openxmlformats.org/officeDocument/2006/relationships/control" Target="../activeX/activeX8.xml"/><Relationship Id="rId19" Type="http://schemas.openxmlformats.org/officeDocument/2006/relationships/image" Target="../media/image13.emf"/><Relationship Id="rId31" Type="http://schemas.openxmlformats.org/officeDocument/2006/relationships/image" Target="../media/image19.emf"/><Relationship Id="rId44" Type="http://schemas.openxmlformats.org/officeDocument/2006/relationships/comments" Target="../comments2.xml"/><Relationship Id="rId4" Type="http://schemas.openxmlformats.org/officeDocument/2006/relationships/customProperty" Target="../customProperty6.bin"/><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8" Type="http://schemas.openxmlformats.org/officeDocument/2006/relationships/control" Target="../activeX/activeX7.xml"/><Relationship Id="rId3" Type="http://schemas.openxmlformats.org/officeDocument/2006/relationships/customProperty" Target="../customProperty5.bin"/><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3" t="s">
        <v>24</v>
      </c>
      <c r="C1" s="83"/>
      <c r="D1" s="83"/>
      <c r="E1" s="83"/>
      <c r="F1" s="83"/>
      <c r="G1" s="83"/>
      <c r="H1" s="83"/>
      <c r="I1" s="83"/>
      <c r="J1" s="83"/>
      <c r="K1" s="83"/>
      <c r="L1" s="83"/>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4" t="s">
        <v>25</v>
      </c>
      <c r="C5" s="85"/>
      <c r="D5" s="85"/>
      <c r="E5" s="85"/>
      <c r="F5" s="85"/>
      <c r="G5" s="85"/>
      <c r="H5" s="85"/>
      <c r="I5" s="85"/>
      <c r="J5" s="85"/>
      <c r="K5" s="85"/>
      <c r="L5" s="86"/>
      <c r="Q5" s="23" t="s">
        <v>16</v>
      </c>
    </row>
    <row r="6" spans="1:17" ht="28.4" customHeight="1" thickBot="1" x14ac:dyDescent="0.4">
      <c r="A6" s="2"/>
      <c r="B6" s="87"/>
      <c r="C6" s="88"/>
      <c r="D6" s="88"/>
      <c r="E6" s="88"/>
      <c r="F6" s="88"/>
      <c r="G6" s="88"/>
      <c r="H6" s="88"/>
      <c r="I6" s="88"/>
      <c r="J6" s="88"/>
      <c r="K6" s="88"/>
      <c r="L6" s="89"/>
      <c r="Q6" s="24" t="s">
        <v>17</v>
      </c>
    </row>
    <row r="7" spans="1:17" ht="22" customHeight="1" x14ac:dyDescent="0.35">
      <c r="A7" s="2"/>
      <c r="B7" s="90" t="s">
        <v>8</v>
      </c>
      <c r="C7" s="19"/>
      <c r="D7" s="19"/>
      <c r="E7" s="19"/>
      <c r="F7" s="19"/>
      <c r="G7" s="19"/>
      <c r="H7" s="19"/>
      <c r="I7" s="19"/>
      <c r="J7" s="19"/>
      <c r="K7" s="19"/>
      <c r="L7" s="20"/>
      <c r="Q7" s="82" t="s">
        <v>18</v>
      </c>
    </row>
    <row r="8" spans="1:17" ht="18" customHeight="1" x14ac:dyDescent="0.35">
      <c r="A8" s="2"/>
      <c r="B8" s="66"/>
      <c r="C8" s="10"/>
      <c r="D8" s="10"/>
      <c r="E8" s="10"/>
      <c r="F8" s="10"/>
      <c r="G8" s="10"/>
      <c r="H8" s="10"/>
      <c r="I8" s="10"/>
      <c r="J8" s="10"/>
      <c r="K8" s="10"/>
      <c r="L8" s="11"/>
      <c r="Q8" s="82"/>
    </row>
    <row r="9" spans="1:17" ht="17.149999999999999" customHeight="1" x14ac:dyDescent="0.35">
      <c r="A9" s="2"/>
      <c r="B9" s="66"/>
      <c r="C9" s="5"/>
      <c r="D9" s="6"/>
      <c r="E9" s="68" t="s">
        <v>1</v>
      </c>
      <c r="F9" s="69"/>
      <c r="G9" s="70"/>
      <c r="H9" s="4" t="s">
        <v>2</v>
      </c>
      <c r="I9" s="68" t="s">
        <v>3</v>
      </c>
      <c r="J9" s="69"/>
      <c r="K9" s="70"/>
      <c r="L9" s="12" t="s">
        <v>2</v>
      </c>
      <c r="Q9" s="82"/>
    </row>
    <row r="10" spans="1:17" ht="5.15" customHeight="1" x14ac:dyDescent="0.35">
      <c r="A10" s="2"/>
      <c r="B10" s="66"/>
      <c r="C10" s="71"/>
      <c r="D10" s="10"/>
      <c r="E10" s="13"/>
      <c r="F10" s="13"/>
      <c r="G10" s="13"/>
      <c r="H10" s="8"/>
      <c r="I10" s="13"/>
      <c r="J10" s="13"/>
      <c r="K10" s="13"/>
      <c r="L10" s="11"/>
      <c r="Q10" s="82"/>
    </row>
    <row r="11" spans="1:17" ht="16" customHeight="1" x14ac:dyDescent="0.35">
      <c r="A11" s="2"/>
      <c r="B11" s="66"/>
      <c r="C11" s="72"/>
      <c r="D11" s="41" t="s">
        <v>5</v>
      </c>
      <c r="E11" s="13"/>
      <c r="F11" s="34">
        <v>10000</v>
      </c>
      <c r="G11" s="13"/>
      <c r="H11" s="44" t="s">
        <v>6</v>
      </c>
      <c r="I11" s="13"/>
      <c r="J11" s="37" t="s">
        <v>7</v>
      </c>
      <c r="K11" s="13"/>
      <c r="L11" s="16" t="s">
        <v>6</v>
      </c>
      <c r="Q11" s="82"/>
    </row>
    <row r="12" spans="1:17" ht="5.15" customHeight="1" thickBot="1" x14ac:dyDescent="0.4">
      <c r="A12" s="2"/>
      <c r="B12" s="67"/>
      <c r="C12" s="74"/>
      <c r="D12" s="17"/>
      <c r="E12" s="22"/>
      <c r="F12" s="22"/>
      <c r="G12" s="22"/>
      <c r="H12" s="21"/>
      <c r="I12" s="22"/>
      <c r="J12" s="22"/>
      <c r="K12" s="22"/>
      <c r="L12" s="18"/>
      <c r="Q12" s="82"/>
    </row>
    <row r="13" spans="1:17" ht="22" customHeight="1" x14ac:dyDescent="0.35">
      <c r="A13" s="2"/>
      <c r="B13" s="66" t="s">
        <v>4</v>
      </c>
      <c r="C13" s="10"/>
      <c r="D13" s="10"/>
      <c r="E13" s="10"/>
      <c r="F13" s="10"/>
      <c r="G13" s="10"/>
      <c r="H13" s="10"/>
      <c r="I13" s="10"/>
      <c r="J13" s="10"/>
      <c r="K13" s="10"/>
      <c r="L13" s="11"/>
      <c r="Q13" s="82"/>
    </row>
    <row r="14" spans="1:17" ht="18" customHeight="1" x14ac:dyDescent="0.35">
      <c r="A14" s="2"/>
      <c r="B14" s="66"/>
      <c r="C14" s="10"/>
      <c r="D14" s="10"/>
      <c r="E14" s="10"/>
      <c r="F14" s="10"/>
      <c r="G14" s="10"/>
      <c r="H14" s="10"/>
      <c r="I14" s="10"/>
      <c r="J14" s="10"/>
      <c r="K14" s="10"/>
      <c r="L14" s="11"/>
      <c r="Q14" s="82"/>
    </row>
    <row r="15" spans="1:17" ht="17.149999999999999" customHeight="1" x14ac:dyDescent="0.35">
      <c r="A15" s="2"/>
      <c r="B15" s="66"/>
      <c r="C15" s="5"/>
      <c r="D15" s="6"/>
      <c r="E15" s="68" t="s">
        <v>1</v>
      </c>
      <c r="F15" s="69"/>
      <c r="G15" s="70"/>
      <c r="H15" s="4" t="s">
        <v>2</v>
      </c>
      <c r="I15" s="68" t="s">
        <v>3</v>
      </c>
      <c r="J15" s="69"/>
      <c r="K15" s="70"/>
      <c r="L15" s="12" t="s">
        <v>2</v>
      </c>
      <c r="Q15" s="82"/>
    </row>
    <row r="16" spans="1:17" ht="5.15" customHeight="1" x14ac:dyDescent="0.35">
      <c r="A16" s="2"/>
      <c r="B16" s="66"/>
      <c r="C16" s="71"/>
      <c r="D16" s="10"/>
      <c r="E16" s="13"/>
      <c r="F16" s="13"/>
      <c r="G16" s="13"/>
      <c r="H16" s="8"/>
      <c r="I16" s="13"/>
      <c r="J16" s="13"/>
      <c r="K16" s="13"/>
      <c r="L16" s="11"/>
      <c r="Q16" s="82"/>
    </row>
    <row r="17" spans="1:17" ht="16" customHeight="1" x14ac:dyDescent="0.35">
      <c r="A17" s="2"/>
      <c r="B17" s="66"/>
      <c r="C17" s="72"/>
      <c r="D17" s="41" t="s">
        <v>5</v>
      </c>
      <c r="E17" s="13"/>
      <c r="F17" s="34">
        <v>10000</v>
      </c>
      <c r="G17" s="13"/>
      <c r="H17" s="44" t="s">
        <v>6</v>
      </c>
      <c r="I17" s="13"/>
      <c r="J17" s="29" t="s">
        <v>7</v>
      </c>
      <c r="K17" s="13"/>
      <c r="L17" s="16" t="s">
        <v>6</v>
      </c>
      <c r="Q17" s="82"/>
    </row>
    <row r="18" spans="1:17" ht="5.15" customHeight="1" thickBot="1" x14ac:dyDescent="0.4">
      <c r="A18" s="2"/>
      <c r="B18" s="91"/>
      <c r="C18" s="92"/>
      <c r="D18" s="48"/>
      <c r="E18" s="49"/>
      <c r="F18" s="49"/>
      <c r="G18" s="49"/>
      <c r="H18" s="50"/>
      <c r="I18" s="49"/>
      <c r="J18" s="49"/>
      <c r="K18" s="49"/>
      <c r="L18" s="51"/>
      <c r="Q18" s="82"/>
    </row>
    <row r="19" spans="1:17" ht="9" customHeight="1" x14ac:dyDescent="0.35">
      <c r="A19" s="2"/>
      <c r="B19" s="2"/>
      <c r="C19" s="2"/>
      <c r="D19" s="2"/>
      <c r="E19" s="2"/>
      <c r="F19" s="2"/>
      <c r="G19" s="2"/>
      <c r="H19" s="2"/>
      <c r="I19" s="2"/>
      <c r="J19" s="2"/>
      <c r="K19" s="2"/>
      <c r="L19" s="2"/>
      <c r="Q19" s="82"/>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5" t="s">
        <v>9</v>
      </c>
      <c r="C22" s="76"/>
      <c r="D22" s="76"/>
      <c r="E22" s="76"/>
      <c r="F22" s="76"/>
      <c r="G22" s="76"/>
      <c r="H22" s="76"/>
      <c r="I22" s="76"/>
      <c r="J22" s="76"/>
      <c r="K22" s="76"/>
      <c r="L22" s="77"/>
      <c r="Q22" s="82" t="s">
        <v>28</v>
      </c>
    </row>
    <row r="23" spans="1:17" ht="28.4" customHeight="1" thickBot="1" x14ac:dyDescent="0.4">
      <c r="A23" s="2"/>
      <c r="B23" s="78"/>
      <c r="C23" s="79"/>
      <c r="D23" s="79"/>
      <c r="E23" s="79"/>
      <c r="F23" s="79"/>
      <c r="G23" s="79"/>
      <c r="H23" s="79"/>
      <c r="I23" s="79"/>
      <c r="J23" s="79"/>
      <c r="K23" s="79"/>
      <c r="L23" s="80"/>
      <c r="Q23" s="82"/>
    </row>
    <row r="24" spans="1:17" ht="16" customHeight="1" x14ac:dyDescent="0.35">
      <c r="A24" s="2"/>
      <c r="B24" s="90" t="s">
        <v>8</v>
      </c>
      <c r="C24" s="19"/>
      <c r="D24" s="19"/>
      <c r="E24" s="19"/>
      <c r="F24" s="19"/>
      <c r="G24" s="19"/>
      <c r="H24" s="19"/>
      <c r="I24" s="19"/>
      <c r="J24" s="19"/>
      <c r="K24" s="19"/>
      <c r="L24" s="20"/>
      <c r="Q24" s="82"/>
    </row>
    <row r="25" spans="1:17" ht="18" customHeight="1" x14ac:dyDescent="0.35">
      <c r="A25" s="2"/>
      <c r="B25" s="66"/>
      <c r="C25" s="5"/>
      <c r="D25" s="6"/>
      <c r="E25" s="68" t="s">
        <v>1</v>
      </c>
      <c r="F25" s="69"/>
      <c r="G25" s="70"/>
      <c r="H25" s="4" t="s">
        <v>2</v>
      </c>
      <c r="I25" s="68" t="s">
        <v>3</v>
      </c>
      <c r="J25" s="69"/>
      <c r="K25" s="70"/>
      <c r="L25" s="12" t="s">
        <v>2</v>
      </c>
      <c r="Q25" s="82"/>
    </row>
    <row r="26" spans="1:17" ht="5.15" customHeight="1" x14ac:dyDescent="0.35">
      <c r="A26" s="2"/>
      <c r="B26" s="66"/>
      <c r="C26" s="72"/>
      <c r="D26" s="10"/>
      <c r="E26" s="13"/>
      <c r="F26" s="13"/>
      <c r="G26" s="13"/>
      <c r="H26" s="9"/>
      <c r="I26" s="13"/>
      <c r="J26" s="13"/>
      <c r="K26" s="13"/>
      <c r="L26" s="11"/>
      <c r="Q26" s="82"/>
    </row>
    <row r="27" spans="1:17" ht="16" customHeight="1" x14ac:dyDescent="0.35">
      <c r="A27" s="2"/>
      <c r="B27" s="66"/>
      <c r="C27" s="72"/>
      <c r="D27" s="41" t="s">
        <v>26</v>
      </c>
      <c r="E27" s="13"/>
      <c r="F27" s="14">
        <v>10000</v>
      </c>
      <c r="G27" s="13"/>
      <c r="H27" s="44" t="s">
        <v>6</v>
      </c>
      <c r="I27" s="13"/>
      <c r="J27" s="15" t="s">
        <v>7</v>
      </c>
      <c r="K27" s="13"/>
      <c r="L27" s="16" t="s">
        <v>6</v>
      </c>
      <c r="Q27" s="82"/>
    </row>
    <row r="28" spans="1:17" ht="5.15" customHeight="1" x14ac:dyDescent="0.35">
      <c r="A28" s="2"/>
      <c r="B28" s="66"/>
      <c r="C28" s="73"/>
      <c r="D28" s="42"/>
      <c r="E28" s="7"/>
      <c r="F28" s="7"/>
      <c r="G28" s="7"/>
      <c r="H28" s="6"/>
      <c r="I28" s="7"/>
      <c r="J28" s="7"/>
      <c r="K28" s="7"/>
      <c r="L28" s="43"/>
      <c r="Q28" s="82"/>
    </row>
    <row r="29" spans="1:17" ht="5.15" customHeight="1" x14ac:dyDescent="0.35">
      <c r="A29" s="2"/>
      <c r="B29" s="66"/>
      <c r="C29" s="72"/>
      <c r="D29" s="10"/>
      <c r="E29" s="13"/>
      <c r="F29" s="13"/>
      <c r="G29" s="13"/>
      <c r="H29" s="9"/>
      <c r="I29" s="13"/>
      <c r="J29" s="13"/>
      <c r="K29" s="13"/>
      <c r="L29" s="11"/>
      <c r="Q29" s="82"/>
    </row>
    <row r="30" spans="1:17" ht="16" customHeight="1" x14ac:dyDescent="0.4">
      <c r="A30" s="2"/>
      <c r="B30" s="66"/>
      <c r="C30" s="72"/>
      <c r="D30" s="41" t="s">
        <v>27</v>
      </c>
      <c r="E30" s="13"/>
      <c r="F30" s="14">
        <v>10000</v>
      </c>
      <c r="G30" s="13"/>
      <c r="H30" s="44" t="s">
        <v>6</v>
      </c>
      <c r="I30" s="13"/>
      <c r="J30" s="15" t="s">
        <v>7</v>
      </c>
      <c r="K30" s="13"/>
      <c r="L30" s="16" t="s">
        <v>6</v>
      </c>
      <c r="Q30" s="27"/>
    </row>
    <row r="31" spans="1:17" ht="5.15" customHeight="1" x14ac:dyDescent="0.35">
      <c r="A31" s="2"/>
      <c r="B31" s="66"/>
      <c r="C31" s="73"/>
      <c r="D31" s="42"/>
      <c r="E31" s="7"/>
      <c r="F31" s="7"/>
      <c r="G31" s="7"/>
      <c r="H31" s="6"/>
      <c r="I31" s="7"/>
      <c r="J31" s="7"/>
      <c r="K31" s="7"/>
      <c r="L31" s="43"/>
    </row>
    <row r="32" spans="1:17" ht="5.15" customHeight="1" x14ac:dyDescent="0.35">
      <c r="A32" s="2"/>
      <c r="B32" s="66"/>
      <c r="C32" s="72"/>
      <c r="D32" s="10"/>
      <c r="E32" s="13"/>
      <c r="F32" s="13"/>
      <c r="G32" s="13"/>
      <c r="H32" s="9"/>
      <c r="I32" s="13"/>
      <c r="J32" s="13"/>
      <c r="K32" s="13"/>
      <c r="L32" s="11"/>
    </row>
    <row r="33" spans="1:12" ht="16" customHeight="1" x14ac:dyDescent="0.35">
      <c r="A33" s="2"/>
      <c r="B33" s="66"/>
      <c r="C33" s="72"/>
      <c r="D33" s="41" t="s">
        <v>10</v>
      </c>
      <c r="E33" s="13"/>
      <c r="F33" s="14">
        <v>10000</v>
      </c>
      <c r="G33" s="13"/>
      <c r="H33" s="44" t="s">
        <v>6</v>
      </c>
      <c r="I33" s="13"/>
      <c r="J33" s="15" t="s">
        <v>7</v>
      </c>
      <c r="K33" s="13"/>
      <c r="L33" s="16" t="s">
        <v>6</v>
      </c>
    </row>
    <row r="34" spans="1:12" ht="5.15" customHeight="1" x14ac:dyDescent="0.35">
      <c r="A34" s="2"/>
      <c r="B34" s="66"/>
      <c r="C34" s="73"/>
      <c r="D34" s="42"/>
      <c r="E34" s="7"/>
      <c r="F34" s="7"/>
      <c r="G34" s="7"/>
      <c r="H34" s="6"/>
      <c r="I34" s="7"/>
      <c r="J34" s="7"/>
      <c r="K34" s="7"/>
      <c r="L34" s="43"/>
    </row>
    <row r="35" spans="1:12" ht="5.15" customHeight="1" x14ac:dyDescent="0.35">
      <c r="A35" s="2"/>
      <c r="B35" s="66"/>
      <c r="C35" s="72"/>
      <c r="D35" s="10"/>
      <c r="E35" s="13"/>
      <c r="F35" s="13"/>
      <c r="G35" s="13"/>
      <c r="H35" s="9"/>
      <c r="I35" s="13"/>
      <c r="J35" s="13"/>
      <c r="K35" s="13"/>
      <c r="L35" s="11"/>
    </row>
    <row r="36" spans="1:12" ht="16" customHeight="1" x14ac:dyDescent="0.35">
      <c r="A36" s="2"/>
      <c r="B36" s="66"/>
      <c r="C36" s="72"/>
      <c r="D36" s="41" t="s">
        <v>11</v>
      </c>
      <c r="E36" s="13"/>
      <c r="F36" s="14">
        <v>10000</v>
      </c>
      <c r="G36" s="13"/>
      <c r="H36" s="44" t="s">
        <v>6</v>
      </c>
      <c r="I36" s="13"/>
      <c r="J36" s="15" t="s">
        <v>7</v>
      </c>
      <c r="K36" s="13"/>
      <c r="L36" s="16" t="s">
        <v>6</v>
      </c>
    </row>
    <row r="37" spans="1:12" ht="5.15" customHeight="1" x14ac:dyDescent="0.35">
      <c r="A37" s="2"/>
      <c r="B37" s="66"/>
      <c r="C37" s="73"/>
      <c r="D37" s="42"/>
      <c r="E37" s="7"/>
      <c r="F37" s="7"/>
      <c r="G37" s="7"/>
      <c r="H37" s="6"/>
      <c r="I37" s="7"/>
      <c r="J37" s="7"/>
      <c r="K37" s="7"/>
      <c r="L37" s="43"/>
    </row>
    <row r="38" spans="1:12" ht="5.15" customHeight="1" x14ac:dyDescent="0.35">
      <c r="A38" s="2"/>
      <c r="B38" s="66"/>
      <c r="C38" s="72"/>
      <c r="D38" s="10"/>
      <c r="E38" s="13"/>
      <c r="F38" s="13"/>
      <c r="G38" s="13"/>
      <c r="H38" s="9"/>
      <c r="I38" s="13"/>
      <c r="J38" s="13"/>
      <c r="K38" s="13"/>
      <c r="L38" s="11"/>
    </row>
    <row r="39" spans="1:12" ht="16" customHeight="1" x14ac:dyDescent="0.35">
      <c r="A39" s="2"/>
      <c r="B39" s="66"/>
      <c r="C39" s="72"/>
      <c r="D39" s="41" t="s">
        <v>12</v>
      </c>
      <c r="E39" s="13"/>
      <c r="F39" s="13"/>
      <c r="G39" s="13"/>
      <c r="H39" s="9"/>
      <c r="I39" s="13"/>
      <c r="J39" s="13"/>
      <c r="K39" s="13"/>
      <c r="L39" s="11"/>
    </row>
    <row r="40" spans="1:12" ht="22" customHeight="1" x14ac:dyDescent="0.35">
      <c r="A40" s="2"/>
      <c r="B40" s="66"/>
      <c r="C40" s="40"/>
      <c r="D40" s="10"/>
      <c r="E40" s="10"/>
      <c r="F40" s="10"/>
      <c r="G40" s="10"/>
      <c r="H40" s="9"/>
      <c r="I40" s="10"/>
      <c r="J40" s="10"/>
      <c r="K40" s="10"/>
      <c r="L40" s="11"/>
    </row>
    <row r="41" spans="1:12" ht="5.15" customHeight="1" thickBot="1" x14ac:dyDescent="0.4">
      <c r="A41" s="2"/>
      <c r="B41" s="67"/>
      <c r="C41" s="45"/>
      <c r="D41" s="17"/>
      <c r="E41" s="17"/>
      <c r="F41" s="17"/>
      <c r="G41" s="17"/>
      <c r="H41" s="21"/>
      <c r="I41" s="17"/>
      <c r="J41" s="17"/>
      <c r="K41" s="17"/>
      <c r="L41" s="18"/>
    </row>
    <row r="42" spans="1:12" ht="18" customHeight="1" x14ac:dyDescent="0.35">
      <c r="A42" s="2"/>
      <c r="B42" s="65" t="s">
        <v>4</v>
      </c>
      <c r="C42" s="10"/>
      <c r="D42" s="10"/>
      <c r="E42" s="10"/>
      <c r="F42" s="10"/>
      <c r="G42" s="10"/>
      <c r="H42" s="10"/>
      <c r="I42" s="10"/>
      <c r="J42" s="10"/>
      <c r="K42" s="10"/>
      <c r="L42" s="11"/>
    </row>
    <row r="43" spans="1:12" ht="17.149999999999999" customHeight="1" x14ac:dyDescent="0.35">
      <c r="A43" s="2"/>
      <c r="B43" s="66"/>
      <c r="C43" s="5"/>
      <c r="D43" s="6"/>
      <c r="E43" s="68" t="s">
        <v>1</v>
      </c>
      <c r="F43" s="69"/>
      <c r="G43" s="70"/>
      <c r="H43" s="4" t="s">
        <v>2</v>
      </c>
      <c r="I43" s="68" t="s">
        <v>3</v>
      </c>
      <c r="J43" s="69"/>
      <c r="K43" s="70"/>
      <c r="L43" s="12" t="s">
        <v>2</v>
      </c>
    </row>
    <row r="44" spans="1:12" ht="5.15" customHeight="1" x14ac:dyDescent="0.35">
      <c r="A44" s="2"/>
      <c r="B44" s="66"/>
      <c r="C44" s="72"/>
      <c r="D44" s="10"/>
      <c r="E44" s="13"/>
      <c r="F44" s="13"/>
      <c r="G44" s="13"/>
      <c r="H44" s="9"/>
      <c r="I44" s="13"/>
      <c r="J44" s="13"/>
      <c r="K44" s="13"/>
      <c r="L44" s="11"/>
    </row>
    <row r="45" spans="1:12" ht="16" customHeight="1" x14ac:dyDescent="0.35">
      <c r="A45" s="2"/>
      <c r="B45" s="66"/>
      <c r="C45" s="72"/>
      <c r="D45" s="41" t="s">
        <v>26</v>
      </c>
      <c r="E45" s="13"/>
      <c r="F45" s="14">
        <v>10000</v>
      </c>
      <c r="G45" s="13"/>
      <c r="H45" s="44" t="s">
        <v>6</v>
      </c>
      <c r="I45" s="13"/>
      <c r="J45" s="15" t="s">
        <v>7</v>
      </c>
      <c r="K45" s="13"/>
      <c r="L45" s="16" t="s">
        <v>6</v>
      </c>
    </row>
    <row r="46" spans="1:12" ht="5.15" customHeight="1" x14ac:dyDescent="0.35">
      <c r="A46" s="2"/>
      <c r="B46" s="66"/>
      <c r="C46" s="73"/>
      <c r="D46" s="42"/>
      <c r="E46" s="7"/>
      <c r="F46" s="7"/>
      <c r="G46" s="7"/>
      <c r="H46" s="6"/>
      <c r="I46" s="7"/>
      <c r="J46" s="7"/>
      <c r="K46" s="7"/>
      <c r="L46" s="43"/>
    </row>
    <row r="47" spans="1:12" ht="5.15" customHeight="1" x14ac:dyDescent="0.35">
      <c r="A47" s="2"/>
      <c r="B47" s="66"/>
      <c r="C47" s="72"/>
      <c r="D47" s="10"/>
      <c r="E47" s="13"/>
      <c r="F47" s="13"/>
      <c r="G47" s="13"/>
      <c r="H47" s="9"/>
      <c r="I47" s="13"/>
      <c r="J47" s="13"/>
      <c r="K47" s="13"/>
      <c r="L47" s="11"/>
    </row>
    <row r="48" spans="1:12" ht="16" customHeight="1" x14ac:dyDescent="0.35">
      <c r="A48" s="2"/>
      <c r="B48" s="66"/>
      <c r="C48" s="72"/>
      <c r="D48" s="41" t="s">
        <v>27</v>
      </c>
      <c r="E48" s="13"/>
      <c r="F48" s="33">
        <v>10000</v>
      </c>
      <c r="G48" s="13"/>
      <c r="H48" s="44" t="s">
        <v>22</v>
      </c>
      <c r="I48" s="13"/>
      <c r="J48" s="28" t="s">
        <v>7</v>
      </c>
      <c r="K48" s="13"/>
      <c r="L48" s="16" t="s">
        <v>20</v>
      </c>
    </row>
    <row r="49" spans="1:12" ht="5.15" customHeight="1" x14ac:dyDescent="0.35">
      <c r="A49" s="2"/>
      <c r="B49" s="66"/>
      <c r="C49" s="73"/>
      <c r="D49" s="42"/>
      <c r="E49" s="7"/>
      <c r="F49" s="7"/>
      <c r="G49" s="7"/>
      <c r="H49" s="6"/>
      <c r="I49" s="7"/>
      <c r="J49" s="7"/>
      <c r="K49" s="7"/>
      <c r="L49" s="43"/>
    </row>
    <row r="50" spans="1:12" ht="5.15" customHeight="1" x14ac:dyDescent="0.35">
      <c r="A50" s="2"/>
      <c r="B50" s="66"/>
      <c r="C50" s="72"/>
      <c r="D50" s="10"/>
      <c r="E50" s="13"/>
      <c r="F50" s="13"/>
      <c r="G50" s="13"/>
      <c r="H50" s="9"/>
      <c r="I50" s="13"/>
      <c r="J50" s="13"/>
      <c r="K50" s="13"/>
      <c r="L50" s="11"/>
    </row>
    <row r="51" spans="1:12" ht="16" customHeight="1" x14ac:dyDescent="0.35">
      <c r="A51" s="2"/>
      <c r="B51" s="66"/>
      <c r="C51" s="72"/>
      <c r="D51" s="41" t="s">
        <v>10</v>
      </c>
      <c r="E51" s="13"/>
      <c r="F51" s="14">
        <v>10000</v>
      </c>
      <c r="G51" s="13"/>
      <c r="H51" s="44" t="s">
        <v>6</v>
      </c>
      <c r="I51" s="13"/>
      <c r="J51" s="15" t="s">
        <v>7</v>
      </c>
      <c r="K51" s="13"/>
      <c r="L51" s="16" t="s">
        <v>6</v>
      </c>
    </row>
    <row r="52" spans="1:12" ht="5.15" customHeight="1" x14ac:dyDescent="0.35">
      <c r="A52" s="2"/>
      <c r="B52" s="66"/>
      <c r="C52" s="73"/>
      <c r="D52" s="42"/>
      <c r="E52" s="7"/>
      <c r="F52" s="7"/>
      <c r="G52" s="7"/>
      <c r="H52" s="6"/>
      <c r="I52" s="7"/>
      <c r="J52" s="7"/>
      <c r="K52" s="7"/>
      <c r="L52" s="43"/>
    </row>
    <row r="53" spans="1:12" ht="5.15" customHeight="1" x14ac:dyDescent="0.35">
      <c r="A53" s="2"/>
      <c r="B53" s="66"/>
      <c r="C53" s="72"/>
      <c r="D53" s="10"/>
      <c r="E53" s="13"/>
      <c r="F53" s="13"/>
      <c r="G53" s="13"/>
      <c r="H53" s="9"/>
      <c r="I53" s="13"/>
      <c r="J53" s="13"/>
      <c r="K53" s="13"/>
      <c r="L53" s="11"/>
    </row>
    <row r="54" spans="1:12" ht="16" customHeight="1" x14ac:dyDescent="0.35">
      <c r="A54" s="2"/>
      <c r="B54" s="66"/>
      <c r="C54" s="72"/>
      <c r="D54" s="41" t="s">
        <v>11</v>
      </c>
      <c r="E54" s="13"/>
      <c r="F54" s="30">
        <v>10000</v>
      </c>
      <c r="G54" s="13"/>
      <c r="H54" s="44" t="s">
        <v>21</v>
      </c>
      <c r="I54" s="13"/>
      <c r="J54" s="15" t="s">
        <v>7</v>
      </c>
      <c r="K54" s="13"/>
      <c r="L54" s="16" t="s">
        <v>20</v>
      </c>
    </row>
    <row r="55" spans="1:12" ht="5.15" customHeight="1" x14ac:dyDescent="0.35">
      <c r="A55" s="2"/>
      <c r="B55" s="66"/>
      <c r="C55" s="73"/>
      <c r="D55" s="42"/>
      <c r="E55" s="7"/>
      <c r="F55" s="7"/>
      <c r="G55" s="7"/>
      <c r="H55" s="6"/>
      <c r="I55" s="7"/>
      <c r="J55" s="7"/>
      <c r="K55" s="7"/>
      <c r="L55" s="43"/>
    </row>
    <row r="56" spans="1:12" ht="5.15" customHeight="1" x14ac:dyDescent="0.35">
      <c r="A56" s="2"/>
      <c r="B56" s="66"/>
      <c r="C56" s="72"/>
      <c r="D56" s="10"/>
      <c r="E56" s="13"/>
      <c r="F56" s="13"/>
      <c r="G56" s="13"/>
      <c r="H56" s="9"/>
      <c r="I56" s="13"/>
      <c r="J56" s="13"/>
      <c r="K56" s="13"/>
      <c r="L56" s="11"/>
    </row>
    <row r="57" spans="1:12" ht="16" customHeight="1" x14ac:dyDescent="0.35">
      <c r="A57" s="2"/>
      <c r="B57" s="66"/>
      <c r="C57" s="72"/>
      <c r="D57" s="41" t="s">
        <v>12</v>
      </c>
      <c r="E57" s="13"/>
      <c r="F57" s="13"/>
      <c r="G57" s="13"/>
      <c r="H57" s="9"/>
      <c r="I57" s="13"/>
      <c r="J57" s="13"/>
      <c r="K57" s="13"/>
      <c r="L57" s="11"/>
    </row>
    <row r="58" spans="1:12" ht="4.95" customHeight="1" x14ac:dyDescent="0.35">
      <c r="A58" s="2"/>
      <c r="B58" s="66"/>
      <c r="C58" s="46"/>
      <c r="D58" s="41"/>
      <c r="E58" s="13"/>
      <c r="F58" s="13"/>
      <c r="G58" s="13"/>
      <c r="H58" s="9"/>
      <c r="I58" s="13"/>
      <c r="J58" s="13"/>
      <c r="K58" s="13"/>
      <c r="L58" s="11"/>
    </row>
    <row r="59" spans="1:12" x14ac:dyDescent="0.35">
      <c r="A59" s="2"/>
      <c r="B59" s="66"/>
      <c r="C59" s="46"/>
      <c r="D59" s="36" t="s">
        <v>29</v>
      </c>
      <c r="E59" s="13"/>
      <c r="F59" s="52">
        <v>10000</v>
      </c>
      <c r="G59" s="13"/>
      <c r="H59" s="44" t="s">
        <v>30</v>
      </c>
      <c r="I59" s="13"/>
      <c r="J59" s="53" t="s">
        <v>7</v>
      </c>
      <c r="K59" s="13"/>
      <c r="L59" s="16" t="s">
        <v>30</v>
      </c>
    </row>
    <row r="60" spans="1:12" ht="4.95" customHeight="1" x14ac:dyDescent="0.35">
      <c r="A60" s="2"/>
      <c r="B60" s="66"/>
      <c r="C60" s="46"/>
      <c r="D60" s="35"/>
      <c r="E60" s="7"/>
      <c r="F60" s="7"/>
      <c r="G60" s="7"/>
      <c r="H60" s="6"/>
      <c r="I60" s="7"/>
      <c r="J60" s="7"/>
      <c r="K60" s="7"/>
      <c r="L60" s="47"/>
    </row>
    <row r="61" spans="1:12" ht="22" customHeight="1" x14ac:dyDescent="0.35">
      <c r="A61" s="2"/>
      <c r="B61" s="66"/>
      <c r="C61" s="40"/>
      <c r="D61" s="10"/>
      <c r="E61" s="10"/>
      <c r="F61" s="10"/>
      <c r="G61" s="10"/>
      <c r="H61" s="9"/>
      <c r="I61" s="10"/>
      <c r="J61" s="10"/>
      <c r="K61" s="10"/>
      <c r="L61" s="11"/>
    </row>
    <row r="62" spans="1:12" ht="5.15" customHeight="1" thickBot="1" x14ac:dyDescent="0.4">
      <c r="A62" s="2"/>
      <c r="B62" s="67"/>
      <c r="C62" s="45"/>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5" t="s">
        <v>13</v>
      </c>
      <c r="C65" s="76"/>
      <c r="D65" s="76"/>
      <c r="E65" s="76"/>
      <c r="F65" s="76"/>
      <c r="G65" s="76"/>
      <c r="H65" s="76"/>
      <c r="I65" s="76"/>
      <c r="J65" s="76"/>
      <c r="K65" s="76"/>
      <c r="L65" s="77"/>
    </row>
    <row r="66" spans="1:12" ht="28.4" customHeight="1" x14ac:dyDescent="0.35">
      <c r="A66" s="2"/>
      <c r="B66" s="78"/>
      <c r="C66" s="79"/>
      <c r="D66" s="79"/>
      <c r="E66" s="79"/>
      <c r="F66" s="79"/>
      <c r="G66" s="79"/>
      <c r="H66" s="79"/>
      <c r="I66" s="79"/>
      <c r="J66" s="79"/>
      <c r="K66" s="79"/>
      <c r="L66" s="80"/>
    </row>
    <row r="67" spans="1:12" ht="21.75" customHeight="1" x14ac:dyDescent="0.35">
      <c r="A67" s="2"/>
      <c r="B67" s="65" t="s">
        <v>4</v>
      </c>
      <c r="C67" s="10"/>
      <c r="D67" s="10"/>
      <c r="E67" s="10"/>
      <c r="F67" s="10"/>
      <c r="G67" s="10"/>
      <c r="H67" s="10"/>
      <c r="I67" s="10"/>
      <c r="J67" s="10"/>
      <c r="K67" s="10"/>
      <c r="L67" s="11"/>
    </row>
    <row r="68" spans="1:12" ht="18" customHeight="1" x14ac:dyDescent="0.35">
      <c r="A68" s="2"/>
      <c r="B68" s="66"/>
      <c r="C68" s="5"/>
      <c r="D68" s="6"/>
      <c r="E68" s="68" t="s">
        <v>1</v>
      </c>
      <c r="F68" s="69"/>
      <c r="G68" s="70"/>
      <c r="H68" s="4" t="s">
        <v>2</v>
      </c>
      <c r="I68" s="68" t="s">
        <v>3</v>
      </c>
      <c r="J68" s="69"/>
      <c r="K68" s="70"/>
      <c r="L68" s="12" t="s">
        <v>2</v>
      </c>
    </row>
    <row r="69" spans="1:12" ht="5.15" customHeight="1" x14ac:dyDescent="0.35">
      <c r="A69" s="2"/>
      <c r="B69" s="66"/>
      <c r="C69" s="71"/>
      <c r="D69" s="10"/>
      <c r="E69" s="13"/>
      <c r="F69" s="13"/>
      <c r="G69" s="13"/>
      <c r="H69" s="8"/>
      <c r="I69" s="13"/>
      <c r="J69" s="13"/>
      <c r="K69" s="13"/>
      <c r="L69" s="11"/>
    </row>
    <row r="70" spans="1:12" ht="15.75" customHeight="1" x14ac:dyDescent="0.35">
      <c r="A70" s="2"/>
      <c r="B70" s="66"/>
      <c r="C70" s="72"/>
      <c r="D70" s="41" t="s">
        <v>14</v>
      </c>
      <c r="E70" s="13"/>
      <c r="F70" s="14">
        <v>10000</v>
      </c>
      <c r="G70" s="13"/>
      <c r="H70" s="44" t="s">
        <v>6</v>
      </c>
      <c r="I70" s="13"/>
      <c r="J70" s="15" t="s">
        <v>7</v>
      </c>
      <c r="K70" s="13"/>
      <c r="L70" s="16" t="s">
        <v>6</v>
      </c>
    </row>
    <row r="71" spans="1:12" ht="5.15" customHeight="1" x14ac:dyDescent="0.35">
      <c r="A71" s="2"/>
      <c r="B71" s="66"/>
      <c r="C71" s="73"/>
      <c r="D71" s="42"/>
      <c r="E71" s="7"/>
      <c r="F71" s="7"/>
      <c r="G71" s="7"/>
      <c r="H71" s="6"/>
      <c r="I71" s="7"/>
      <c r="J71" s="7"/>
      <c r="K71" s="7"/>
      <c r="L71" s="43"/>
    </row>
    <row r="72" spans="1:12" ht="5.15" customHeight="1" x14ac:dyDescent="0.35">
      <c r="A72" s="2"/>
      <c r="B72" s="66"/>
      <c r="C72" s="72"/>
      <c r="D72" s="10"/>
      <c r="E72" s="13"/>
      <c r="F72" s="13"/>
      <c r="G72" s="13"/>
      <c r="H72" s="9"/>
      <c r="I72" s="13"/>
      <c r="J72" s="13"/>
      <c r="K72" s="13"/>
      <c r="L72" s="11"/>
    </row>
    <row r="73" spans="1:12" ht="15.75" customHeight="1" x14ac:dyDescent="0.35">
      <c r="A73" s="2"/>
      <c r="B73" s="66"/>
      <c r="C73" s="72"/>
      <c r="D73" s="41" t="s">
        <v>15</v>
      </c>
      <c r="E73" s="13"/>
      <c r="F73" s="14">
        <v>10000</v>
      </c>
      <c r="G73" s="13"/>
      <c r="H73" s="44" t="s">
        <v>6</v>
      </c>
      <c r="I73" s="13"/>
      <c r="J73" s="15" t="s">
        <v>7</v>
      </c>
      <c r="K73" s="13"/>
      <c r="L73" s="16" t="s">
        <v>6</v>
      </c>
    </row>
    <row r="74" spans="1:12" ht="5.15" customHeight="1" x14ac:dyDescent="0.35">
      <c r="A74" s="2"/>
      <c r="B74" s="81"/>
      <c r="C74" s="73"/>
      <c r="D74" s="42"/>
      <c r="E74" s="7"/>
      <c r="F74" s="7"/>
      <c r="G74" s="7"/>
      <c r="H74" s="6"/>
      <c r="I74" s="7"/>
      <c r="J74" s="7"/>
      <c r="K74" s="7"/>
      <c r="L74" s="43"/>
    </row>
    <row r="75" spans="1:12" ht="21.75" customHeight="1" x14ac:dyDescent="0.35">
      <c r="A75" s="2"/>
      <c r="B75" s="65" t="s">
        <v>8</v>
      </c>
      <c r="C75" s="10"/>
      <c r="D75" s="10"/>
      <c r="E75" s="10"/>
      <c r="F75" s="10"/>
      <c r="G75" s="10"/>
      <c r="H75" s="10"/>
      <c r="I75" s="10"/>
      <c r="J75" s="10"/>
      <c r="K75" s="10"/>
      <c r="L75" s="11"/>
    </row>
    <row r="76" spans="1:12" ht="18" customHeight="1" x14ac:dyDescent="0.35">
      <c r="A76" s="2"/>
      <c r="B76" s="66"/>
      <c r="C76" s="5"/>
      <c r="D76" s="6"/>
      <c r="E76" s="68" t="s">
        <v>1</v>
      </c>
      <c r="F76" s="69"/>
      <c r="G76" s="70"/>
      <c r="H76" s="4" t="s">
        <v>2</v>
      </c>
      <c r="I76" s="68" t="s">
        <v>3</v>
      </c>
      <c r="J76" s="69"/>
      <c r="K76" s="70"/>
      <c r="L76" s="12" t="s">
        <v>2</v>
      </c>
    </row>
    <row r="77" spans="1:12" ht="5.15" customHeight="1" x14ac:dyDescent="0.35">
      <c r="A77" s="2"/>
      <c r="B77" s="66"/>
      <c r="C77" s="71"/>
      <c r="D77" s="10"/>
      <c r="E77" s="13"/>
      <c r="F77" s="13"/>
      <c r="G77" s="13"/>
      <c r="H77" s="8"/>
      <c r="I77" s="13"/>
      <c r="J77" s="13"/>
      <c r="K77" s="13"/>
      <c r="L77" s="11"/>
    </row>
    <row r="78" spans="1:12" ht="15.75" customHeight="1" x14ac:dyDescent="0.35">
      <c r="A78" s="2"/>
      <c r="B78" s="66"/>
      <c r="C78" s="72"/>
      <c r="D78" s="41" t="s">
        <v>14</v>
      </c>
      <c r="E78" s="13"/>
      <c r="F78" s="14">
        <v>10000</v>
      </c>
      <c r="G78" s="13"/>
      <c r="H78" s="44" t="s">
        <v>6</v>
      </c>
      <c r="I78" s="13"/>
      <c r="J78" s="15" t="s">
        <v>7</v>
      </c>
      <c r="K78" s="13"/>
      <c r="L78" s="16" t="s">
        <v>6</v>
      </c>
    </row>
    <row r="79" spans="1:12" ht="5.15" customHeight="1" x14ac:dyDescent="0.35">
      <c r="A79" s="2"/>
      <c r="B79" s="66"/>
      <c r="C79" s="73"/>
      <c r="D79" s="42"/>
      <c r="E79" s="7"/>
      <c r="F79" s="7"/>
      <c r="G79" s="7"/>
      <c r="H79" s="6"/>
      <c r="I79" s="7"/>
      <c r="J79" s="7"/>
      <c r="K79" s="7"/>
      <c r="L79" s="43"/>
    </row>
    <row r="80" spans="1:12" ht="5.15" customHeight="1" x14ac:dyDescent="0.35">
      <c r="A80" s="2"/>
      <c r="B80" s="66"/>
      <c r="C80" s="72"/>
      <c r="D80" s="10"/>
      <c r="E80" s="13"/>
      <c r="F80" s="13"/>
      <c r="G80" s="13"/>
      <c r="H80" s="9"/>
      <c r="I80" s="13"/>
      <c r="J80" s="13"/>
      <c r="K80" s="13"/>
      <c r="L80" s="11"/>
    </row>
    <row r="81" spans="1:12" ht="15.75" customHeight="1" x14ac:dyDescent="0.35">
      <c r="A81" s="2"/>
      <c r="B81" s="66"/>
      <c r="C81" s="72"/>
      <c r="D81" s="41" t="s">
        <v>15</v>
      </c>
      <c r="E81" s="13"/>
      <c r="F81" s="14">
        <v>10000</v>
      </c>
      <c r="G81" s="13"/>
      <c r="H81" s="44" t="s">
        <v>6</v>
      </c>
      <c r="I81" s="13"/>
      <c r="J81" s="15" t="s">
        <v>7</v>
      </c>
      <c r="K81" s="13"/>
      <c r="L81" s="16" t="s">
        <v>6</v>
      </c>
    </row>
    <row r="82" spans="1:12" ht="5.15" customHeight="1" thickBot="1" x14ac:dyDescent="0.4">
      <c r="A82" s="2"/>
      <c r="B82" s="67"/>
      <c r="C82" s="74"/>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353786</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353786</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353786</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EACB-B4C6-411B-8EE3-F00E36E08BB8}">
  <sheetPr codeName="Sheet1"/>
  <dimension ref="B6:E16"/>
  <sheetViews>
    <sheetView tabSelected="1" workbookViewId="0">
      <selection activeCell="G7" sqref="G7"/>
    </sheetView>
  </sheetViews>
  <sheetFormatPr defaultRowHeight="14.6" x14ac:dyDescent="0.4"/>
  <cols>
    <col min="5" max="5" width="16.53515625" bestFit="1" customWidth="1"/>
  </cols>
  <sheetData>
    <row r="6" spans="2:5" ht="15" thickBot="1" x14ac:dyDescent="0.45"/>
    <row r="7" spans="2:5" ht="15" thickTop="1" x14ac:dyDescent="0.4">
      <c r="B7" s="93" t="s">
        <v>31</v>
      </c>
      <c r="C7" s="94"/>
      <c r="D7" s="95"/>
      <c r="E7" s="61" t="s">
        <v>32</v>
      </c>
    </row>
    <row r="8" spans="2:5" x14ac:dyDescent="0.4">
      <c r="B8" s="96" t="s">
        <v>34</v>
      </c>
      <c r="C8" s="97"/>
      <c r="D8" s="97"/>
      <c r="E8" s="62"/>
    </row>
    <row r="9" spans="2:5" x14ac:dyDescent="0.4">
      <c r="B9" s="98" t="s">
        <v>35</v>
      </c>
      <c r="C9" s="98"/>
      <c r="D9" s="98"/>
      <c r="E9" s="62"/>
    </row>
    <row r="10" spans="2:5" x14ac:dyDescent="0.4">
      <c r="B10" s="98" t="s">
        <v>33</v>
      </c>
      <c r="C10" s="98"/>
      <c r="D10" s="98"/>
      <c r="E10" s="62"/>
    </row>
    <row r="11" spans="2:5" x14ac:dyDescent="0.4">
      <c r="B11" s="96" t="s">
        <v>36</v>
      </c>
      <c r="C11" s="96"/>
      <c r="D11" s="96"/>
      <c r="E11" s="62"/>
    </row>
    <row r="12" spans="2:5" x14ac:dyDescent="0.4">
      <c r="B12" s="98"/>
      <c r="C12" s="98"/>
      <c r="D12" s="98"/>
      <c r="E12" s="62"/>
    </row>
    <row r="13" spans="2:5" x14ac:dyDescent="0.4">
      <c r="B13" s="98"/>
      <c r="C13" s="98"/>
      <c r="D13" s="98"/>
      <c r="E13" s="62"/>
    </row>
    <row r="14" spans="2:5" x14ac:dyDescent="0.4">
      <c r="B14" s="97"/>
      <c r="C14" s="97"/>
      <c r="D14" s="97"/>
      <c r="E14" s="62"/>
    </row>
    <row r="15" spans="2:5" x14ac:dyDescent="0.4">
      <c r="B15" s="98"/>
      <c r="C15" s="98"/>
      <c r="D15" s="98"/>
      <c r="E15" s="62"/>
    </row>
    <row r="16" spans="2:5" x14ac:dyDescent="0.4">
      <c r="B16" s="98"/>
      <c r="C16" s="98"/>
      <c r="D16" s="98"/>
      <c r="E16" s="62"/>
    </row>
  </sheetData>
  <mergeCells count="10">
    <mergeCell ref="B16:D16"/>
    <mergeCell ref="B13:D13"/>
    <mergeCell ref="B10:D10"/>
    <mergeCell ref="B11:D11"/>
    <mergeCell ref="B12:D12"/>
    <mergeCell ref="B7:D7"/>
    <mergeCell ref="B8:D8"/>
    <mergeCell ref="B9:D9"/>
    <mergeCell ref="B14:D14"/>
    <mergeCell ref="B15:D15"/>
  </mergeCells>
  <pageMargins left="0.7" right="0.7" top="0.75" bottom="0.75" header="0.3" footer="0.3"/>
  <pageSetup paperSize="9"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16386" r:id="rId6" name="ResetStatus">
          <controlPr defaultSize="0" autoLine="0" r:id="rId7">
            <anchor moveWithCells="1">
              <from>
                <xdr:col>6</xdr:col>
                <xdr:colOff>0</xdr:colOff>
                <xdr:row>1</xdr:row>
                <xdr:rowOff>21771</xdr:rowOff>
              </from>
              <to>
                <xdr:col>8</xdr:col>
                <xdr:colOff>533400</xdr:colOff>
                <xdr:row>3</xdr:row>
                <xdr:rowOff>125186</xdr:rowOff>
              </to>
            </anchor>
          </controlPr>
        </control>
      </mc:Choice>
      <mc:Fallback>
        <control shapeId="16386" r:id="rId6" name="ResetStatus"/>
      </mc:Fallback>
    </mc:AlternateContent>
    <mc:AlternateContent xmlns:mc="http://schemas.openxmlformats.org/markup-compatibility/2006">
      <mc:Choice Requires="x14">
        <control shapeId="16385" r:id="rId8" name="RunUpgradeTest">
          <controlPr defaultSize="0" autoLine="0" autoPict="0" r:id="rId9">
            <anchor moveWithCells="1">
              <from>
                <xdr:col>1</xdr:col>
                <xdr:colOff>0</xdr:colOff>
                <xdr:row>1</xdr:row>
                <xdr:rowOff>21771</xdr:rowOff>
              </from>
              <to>
                <xdr:col>5</xdr:col>
                <xdr:colOff>5443</xdr:colOff>
                <xdr:row>5</xdr:row>
                <xdr:rowOff>114300</xdr:rowOff>
              </to>
            </anchor>
          </controlPr>
        </control>
      </mc:Choice>
      <mc:Fallback>
        <control shapeId="16385" r:id="rId8" name="RunUpgradeTe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99" t="s">
        <v>37</v>
      </c>
      <c r="B1" s="100"/>
      <c r="C1" s="100"/>
      <c r="D1" s="100"/>
      <c r="E1" s="100"/>
      <c r="F1" s="100"/>
      <c r="G1" s="100"/>
      <c r="H1" s="100"/>
      <c r="I1" s="100"/>
      <c r="J1" s="100"/>
      <c r="K1" s="101" t="str">
        <f>" "&amp;IFERROR(IF(SOP_Favorite_Name&lt;&gt;" ",SOP_Favorite_Name,IF(SOP_Template_Name&lt;&gt;" ",SOP_Template_Name,"Ad Hoc Planning View")),"Offline")</f>
        <v xml:space="preserve"> Performance Test</v>
      </c>
      <c r="L1" s="101"/>
      <c r="M1" s="101"/>
      <c r="N1" s="101"/>
      <c r="O1" s="101"/>
      <c r="P1" s="101"/>
      <c r="Q1" s="102" t="str">
        <f>"User: "&amp;_xll.EPMUser()&amp;"   |    Planning Area: "&amp;IFERROR(SOP_Planning_Area,"Offline")&amp;"
"&amp;"Template: "&amp;IFERROR(SOP_Template_Name,"none")</f>
        <v>User: #Error, no current connection.   |    Planning Area: SAP6
Template: template name</v>
      </c>
      <c r="R1" s="102"/>
      <c r="S1" s="102"/>
      <c r="T1" s="102"/>
      <c r="U1" s="102"/>
      <c r="V1" s="102"/>
      <c r="W1" s="54"/>
      <c r="X1" s="55"/>
      <c r="Y1" s="55"/>
      <c r="Z1" s="55"/>
      <c r="AA1" s="55"/>
      <c r="AB1" s="55"/>
      <c r="AC1" s="55"/>
      <c r="AD1" s="55"/>
      <c r="AE1" s="56"/>
      <c r="AF1" s="56"/>
      <c r="AG1" s="56"/>
      <c r="AH1" s="56"/>
      <c r="AI1" s="56"/>
      <c r="AJ1" s="56"/>
      <c r="AK1" s="56"/>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8"/>
      <c r="BS1" s="58"/>
      <c r="BT1" s="58"/>
      <c r="BU1" s="58"/>
      <c r="BV1" s="58"/>
      <c r="BW1" s="58"/>
      <c r="BX1" s="58"/>
      <c r="BY1" s="58"/>
      <c r="BZ1" s="58"/>
      <c r="CA1" s="58"/>
      <c r="CB1" s="58"/>
      <c r="CC1" s="58"/>
      <c r="CD1" s="58"/>
    </row>
    <row r="2" spans="1:82" s="31" customFormat="1" ht="60" customHeight="1" x14ac:dyDescent="0.4">
      <c r="A2" s="103"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103"/>
      <c r="C2" s="103"/>
      <c r="D2" s="103"/>
      <c r="E2" s="103"/>
      <c r="F2" s="103"/>
      <c r="G2" s="103"/>
      <c r="H2" s="103"/>
      <c r="I2" s="103"/>
      <c r="J2" s="103"/>
      <c r="K2" s="104" t="str">
        <f>"  Last Refresh: "&amp;IFERROR(YEAR(SOP_Refresh_Timestamp)&amp;"-"&amp;TEXT(SOP_Refresh_Timestamp,"MMM")&amp;"-"&amp;DAY(SOP_Refresh_Timestamp)&amp;"   "&amp;TEXT(SOP_Refresh_Timestamp,"HH:MM:SS"),"Offline")</f>
        <v xml:space="preserve">  Last Refresh: 2022-Jan-26   17:40:09</v>
      </c>
      <c r="L2" s="104"/>
      <c r="M2" s="104"/>
      <c r="N2" s="104"/>
      <c r="O2" s="104"/>
      <c r="P2" s="104"/>
      <c r="Q2" s="104"/>
      <c r="R2" s="104"/>
      <c r="S2" s="104"/>
      <c r="T2" s="104"/>
      <c r="U2" s="104"/>
      <c r="V2" s="104"/>
      <c r="W2" s="54"/>
      <c r="X2" s="55"/>
      <c r="Y2" s="55"/>
      <c r="Z2" s="55"/>
      <c r="AA2" s="55"/>
      <c r="AB2" s="55"/>
      <c r="AC2" s="55"/>
      <c r="AD2" s="55"/>
      <c r="AE2" s="56"/>
      <c r="AF2" s="56"/>
      <c r="AG2" s="56"/>
      <c r="AH2" s="56"/>
      <c r="AI2" s="56"/>
      <c r="AJ2" s="56"/>
      <c r="AK2" s="56"/>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8"/>
      <c r="BS2" s="58"/>
      <c r="BT2" s="58"/>
      <c r="BU2" s="58"/>
      <c r="BV2" s="58"/>
      <c r="BW2" s="58"/>
      <c r="BX2" s="58"/>
      <c r="BY2" s="58"/>
      <c r="BZ2" s="58"/>
      <c r="CA2" s="58"/>
      <c r="CB2" s="58"/>
      <c r="CC2" s="58"/>
      <c r="CD2" s="58"/>
    </row>
    <row r="3" spans="1:82" s="32" customFormat="1" x14ac:dyDescent="0.4">
      <c r="A3" s="60" t="str">
        <f>SOP_Heading10</f>
        <v xml:space="preserve"> </v>
      </c>
      <c r="B3" s="60" t="str">
        <f>SOP_Heading9</f>
        <v xml:space="preserve"> </v>
      </c>
      <c r="C3" s="60" t="str">
        <f>SOP_Heading8</f>
        <v xml:space="preserve"> </v>
      </c>
      <c r="D3" s="60" t="str">
        <f>SOP_Heading7</f>
        <v xml:space="preserve"> </v>
      </c>
      <c r="E3" s="60" t="str">
        <f>SOP_Heading6</f>
        <v xml:space="preserve"> </v>
      </c>
      <c r="F3" s="60" t="str">
        <f>SOP_Heading5</f>
        <v xml:space="preserve"> </v>
      </c>
      <c r="G3" s="60" t="str">
        <f>SOP_Heading4</f>
        <v xml:space="preserve"> </v>
      </c>
      <c r="H3" s="60" t="str">
        <f>SOP_Heading3</f>
        <v>Product ID</v>
      </c>
      <c r="I3" s="60" t="str">
        <f>SOP_Heading2</f>
        <v>Location ID</v>
      </c>
      <c r="J3" s="60" t="str">
        <f>SOP_Heading1</f>
        <v>Key Figure</v>
      </c>
      <c r="K3" s="37" t="str">
        <f xml:space="preserve"> _xll.EPMOlapMemberO("[PERIODID3].[].[70613]","","JAN 2021","","000")</f>
        <v>JAN 2021</v>
      </c>
      <c r="L3" s="37" t="str">
        <f xml:space="preserve"> _xll.EPMOlapMemberO("[PERIODID3].[].[70614]","","FEB 2021","","000")</f>
        <v>FEB 2021</v>
      </c>
      <c r="M3" s="37" t="str">
        <f xml:space="preserve"> _xll.EPMOlapMemberO("[PERIODID3].[].[70615]","","MAR 2021","","000")</f>
        <v>MAR 2021</v>
      </c>
      <c r="N3" s="37" t="str">
        <f xml:space="preserve"> _xll.EPMOlapMemberO("[PERIODID3].[].[70616]","","APR 2021","","000")</f>
        <v>APR 2021</v>
      </c>
      <c r="O3" s="37" t="str">
        <f xml:space="preserve"> _xll.EPMOlapMemberO("[PERIODID3].[].[70617]","","MAY 2021","","000")</f>
        <v>MAY 2021</v>
      </c>
      <c r="P3" s="37" t="str">
        <f xml:space="preserve"> _xll.EPMOlapMemberO("[PERIODID3].[].[70618]","","JUN 2021","","000")</f>
        <v>JUN 2021</v>
      </c>
      <c r="Q3" s="37" t="str">
        <f xml:space="preserve"> _xll.EPMOlapMemberO("[PERIODID3].[].[70619]","","JUL 2021","","000")</f>
        <v>JUL 2021</v>
      </c>
      <c r="R3" s="37" t="str">
        <f xml:space="preserve"> _xll.EPMOlapMemberO("[PERIODID3].[].[70620]","","AUG 2021","","000")</f>
        <v>AUG 2021</v>
      </c>
      <c r="S3" s="37" t="str">
        <f xml:space="preserve"> _xll.EPMOlapMemberO("[PERIODID3].[].[70621]","","SEP 2021","","000")</f>
        <v>SEP 2021</v>
      </c>
      <c r="T3" s="37" t="str">
        <f xml:space="preserve"> _xll.EPMOlapMemberO("[PERIODID3].[].[70622]","","OCT 2021","","000")</f>
        <v>OCT 2021</v>
      </c>
      <c r="U3" s="37" t="str">
        <f xml:space="preserve"> _xll.EPMOlapMemberO("[PERIODID3].[].[70623]","","NOV 2021","","000")</f>
        <v>NOV 2021</v>
      </c>
      <c r="V3" s="37" t="str">
        <f xml:space="preserve"> _xll.EPMOlapMemberO("[PERIODID3].[].[70624]","","DEC 2021","","000")</f>
        <v>DEC 2021</v>
      </c>
      <c r="W3"/>
      <c r="X3"/>
      <c r="Y3"/>
      <c r="Z3"/>
      <c r="AA3"/>
      <c r="AB3"/>
      <c r="AC3"/>
      <c r="AD3"/>
      <c r="AE3"/>
      <c r="AF3"/>
      <c r="AG3"/>
      <c r="AH3"/>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BK3" s="59"/>
      <c r="BL3" s="59"/>
      <c r="BM3" s="59"/>
      <c r="BN3" s="59"/>
      <c r="BO3" s="59"/>
      <c r="BP3" s="59"/>
      <c r="BQ3" s="59"/>
      <c r="BR3" s="59"/>
      <c r="BS3" s="59"/>
      <c r="BT3" s="59"/>
      <c r="BU3" s="59"/>
      <c r="BV3" s="59"/>
      <c r="BW3" s="59"/>
      <c r="BX3" s="59"/>
      <c r="BY3" s="59"/>
      <c r="BZ3" s="59"/>
      <c r="CA3" s="59"/>
      <c r="CB3" s="59"/>
      <c r="CC3" s="59"/>
      <c r="CD3" s="59"/>
    </row>
    <row r="4" spans="1:82" x14ac:dyDescent="0.4">
      <c r="A4" s="59"/>
      <c r="B4" s="59"/>
      <c r="C4" s="59"/>
      <c r="D4" s="59"/>
      <c r="E4" s="59"/>
      <c r="F4" s="59"/>
      <c r="H4" s="29" t="str">
        <f xml:space="preserve"> _xll.EPMOlapMemberO("[PRDID].[].[HT_001]","","HT_001","","000")</f>
        <v>HT_001</v>
      </c>
      <c r="I4" s="29" t="str">
        <f xml:space="preserve"> _xll.EPMOlapMemberO("[LOCID].[].[HD_DC_CA_E]","","HD_DC_CA_E","","000")</f>
        <v>HD_DC_CA_E</v>
      </c>
      <c r="J4" s="29" t="str">
        <f xml:space="preserve"> _xll.EPMOlapMemberO("[KEY_FIGURES].[].[CONSENSUSDEMAND]","","Consensus Demand without Promotion","","000")</f>
        <v>Consensus Demand without Promotion</v>
      </c>
      <c r="K4" s="39">
        <v>100</v>
      </c>
      <c r="L4" s="63">
        <v>1651.5</v>
      </c>
      <c r="M4" s="39">
        <v>50</v>
      </c>
      <c r="N4" s="39">
        <v>250</v>
      </c>
      <c r="O4" s="64">
        <v>6944</v>
      </c>
      <c r="P4" s="64">
        <v>100</v>
      </c>
      <c r="Q4" s="64">
        <v>125</v>
      </c>
      <c r="R4" s="64">
        <v>100</v>
      </c>
      <c r="S4" s="63">
        <v>100</v>
      </c>
      <c r="T4" s="63">
        <v>100</v>
      </c>
      <c r="U4" s="63">
        <v>300</v>
      </c>
      <c r="V4" s="39">
        <v>5000</v>
      </c>
      <c r="AI4" s="59"/>
      <c r="AJ4" s="59"/>
      <c r="AK4" s="59"/>
      <c r="AL4" s="59"/>
      <c r="AM4" s="59"/>
      <c r="AN4" s="59"/>
      <c r="AO4" s="59"/>
      <c r="AP4" s="59"/>
      <c r="AQ4" s="59"/>
      <c r="AR4" s="59"/>
      <c r="AS4" s="59"/>
      <c r="AT4" s="59"/>
      <c r="AU4" s="59"/>
      <c r="AV4" s="59"/>
      <c r="AW4" s="59"/>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row>
    <row r="5" spans="1:82" x14ac:dyDescent="0.4">
      <c r="A5" s="59"/>
      <c r="B5" s="59"/>
      <c r="C5" s="59"/>
      <c r="D5" s="59"/>
      <c r="E5" s="59"/>
      <c r="F5" s="59"/>
      <c r="H5" s="29"/>
      <c r="I5" s="29"/>
      <c r="J5" s="29" t="str">
        <f xml:space="preserve"> _xll.EPMOlapMemberO("[KEY_FIGURES].[].[DEMANDPLANNINGQTY]","","Demand Planning Qty","","000")</f>
        <v>Demand Planning Qty</v>
      </c>
      <c r="K5" s="34">
        <v>0</v>
      </c>
      <c r="L5" s="34">
        <v>0</v>
      </c>
      <c r="M5" s="34">
        <v>343</v>
      </c>
      <c r="N5" s="34">
        <v>0</v>
      </c>
      <c r="O5" s="34">
        <v>0</v>
      </c>
      <c r="P5" s="34"/>
      <c r="Q5" s="34"/>
      <c r="R5" s="34"/>
      <c r="S5" s="34">
        <v>0</v>
      </c>
      <c r="T5" s="34">
        <v>0</v>
      </c>
      <c r="U5" s="34">
        <v>0</v>
      </c>
      <c r="V5" s="34">
        <v>13.5</v>
      </c>
      <c r="AI5" s="59"/>
      <c r="AJ5" s="59"/>
      <c r="AK5" s="59"/>
      <c r="AL5" s="59"/>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row>
    <row r="6" spans="1:82" x14ac:dyDescent="0.4">
      <c r="A6" s="59"/>
      <c r="B6" s="59"/>
      <c r="C6" s="59"/>
      <c r="D6" s="59"/>
      <c r="E6" s="59"/>
      <c r="F6" s="59"/>
      <c r="H6" s="29"/>
      <c r="I6" s="29"/>
      <c r="J6" s="29" t="str">
        <f xml:space="preserve"> _xll.EPMOlapMemberO("[KEY_FIGURES].[].[FINALCONSENSUSDEMAND]","","Consensus Demand","","000")</f>
        <v>Consensus Demand</v>
      </c>
      <c r="K6" s="34">
        <v>100</v>
      </c>
      <c r="L6" s="34">
        <v>17316.5</v>
      </c>
      <c r="M6" s="34">
        <v>50</v>
      </c>
      <c r="N6" s="34">
        <v>250</v>
      </c>
      <c r="O6" s="34">
        <v>6944</v>
      </c>
      <c r="P6" s="34">
        <v>100</v>
      </c>
      <c r="Q6" s="34">
        <v>125</v>
      </c>
      <c r="R6" s="34">
        <v>100</v>
      </c>
      <c r="S6" s="34">
        <v>100</v>
      </c>
      <c r="T6" s="34">
        <v>100</v>
      </c>
      <c r="U6" s="34">
        <v>300</v>
      </c>
      <c r="V6" s="34">
        <v>5000</v>
      </c>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row>
    <row r="7" spans="1:82" x14ac:dyDescent="0.4">
      <c r="A7" s="59"/>
      <c r="B7" s="59"/>
      <c r="C7" s="59"/>
      <c r="D7" s="59"/>
      <c r="E7" s="59"/>
      <c r="F7" s="59"/>
      <c r="H7" s="29"/>
      <c r="I7" s="29"/>
      <c r="J7" s="29" t="str">
        <f xml:space="preserve"> _xll.EPMOlapMemberO("[KEY_FIGURES].[].[ADJDELIVQTY]","","Delivered Qty Adjusted","","000")</f>
        <v>Delivered Qty Adjusted</v>
      </c>
      <c r="K7" s="39">
        <v>2325</v>
      </c>
      <c r="L7" s="39">
        <v>2100</v>
      </c>
      <c r="M7" s="39">
        <v>2325</v>
      </c>
      <c r="N7" s="39">
        <v>1710</v>
      </c>
      <c r="O7" s="39">
        <v>1479</v>
      </c>
      <c r="P7" s="39">
        <v>1437</v>
      </c>
      <c r="Q7" s="39">
        <v>43242</v>
      </c>
      <c r="R7" s="39">
        <v>45</v>
      </c>
      <c r="S7" s="39">
        <v>0</v>
      </c>
      <c r="T7" s="39">
        <v>0</v>
      </c>
      <c r="U7" s="39">
        <v>100000</v>
      </c>
      <c r="V7" s="39">
        <v>0</v>
      </c>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row>
    <row r="8" spans="1:82" x14ac:dyDescent="0.4">
      <c r="A8" s="59"/>
      <c r="B8" s="59"/>
      <c r="C8" s="59"/>
      <c r="D8" s="59"/>
      <c r="E8" s="59"/>
      <c r="F8" s="59"/>
      <c r="H8" s="29"/>
      <c r="I8" s="29"/>
      <c r="J8" s="29" t="str">
        <f xml:space="preserve"> _xll.EPMOlapMemberO("[KEY_FIGURES].[].[ACTUALSREV]","","Actuals Revenue","","000")</f>
        <v>Actuals Revenue</v>
      </c>
      <c r="K8" s="39"/>
      <c r="L8" s="39"/>
      <c r="M8" s="39"/>
      <c r="N8" s="39"/>
      <c r="O8" s="39"/>
      <c r="P8" s="39"/>
      <c r="Q8" s="39"/>
      <c r="R8" s="39"/>
      <c r="S8" s="39"/>
      <c r="T8" s="39"/>
      <c r="U8" s="39"/>
      <c r="V8" s="3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row>
    <row r="9" spans="1:82" x14ac:dyDescent="0.4">
      <c r="A9" s="59"/>
      <c r="B9" s="59"/>
      <c r="C9" s="59"/>
      <c r="D9" s="59"/>
      <c r="E9" s="59"/>
      <c r="F9" s="59"/>
      <c r="H9" s="29"/>
      <c r="I9" s="29"/>
      <c r="J9" s="29" t="str">
        <f xml:space="preserve"> _xll.EPMOlapMemberO("[KEY_FIGURES].[].[CONFQTY]","","Confirmed Qty","","000")</f>
        <v>Confirmed Qty</v>
      </c>
      <c r="K9" s="34"/>
      <c r="L9" s="34"/>
      <c r="M9" s="34"/>
      <c r="N9" s="34"/>
      <c r="O9" s="34"/>
      <c r="P9" s="34"/>
      <c r="Q9" s="34"/>
      <c r="R9" s="34"/>
      <c r="S9" s="34"/>
      <c r="T9" s="34"/>
      <c r="U9" s="34"/>
      <c r="V9" s="34"/>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row>
    <row r="10" spans="1:82" x14ac:dyDescent="0.4">
      <c r="A10" s="59"/>
      <c r="B10" s="59"/>
      <c r="C10" s="59"/>
      <c r="D10" s="59"/>
      <c r="E10" s="59"/>
      <c r="F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row>
    <row r="11" spans="1:82" x14ac:dyDescent="0.4">
      <c r="A11" s="59"/>
      <c r="B11" s="59"/>
      <c r="C11" s="59"/>
      <c r="D11" s="59"/>
      <c r="E11" s="59"/>
      <c r="F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row>
    <row r="12" spans="1:82" x14ac:dyDescent="0.4">
      <c r="A12" s="59"/>
      <c r="B12" s="59"/>
      <c r="C12" s="59"/>
      <c r="D12" s="59"/>
      <c r="E12" s="59"/>
      <c r="F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row>
    <row r="13" spans="1:82" x14ac:dyDescent="0.4">
      <c r="A13" s="59"/>
      <c r="B13" s="59"/>
      <c r="C13" s="59"/>
      <c r="D13" s="59"/>
      <c r="E13" s="59"/>
      <c r="F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row>
    <row r="14" spans="1:82" x14ac:dyDescent="0.4">
      <c r="A14" s="59"/>
      <c r="B14" s="59"/>
      <c r="C14" s="59"/>
      <c r="D14" s="59"/>
      <c r="E14" s="59"/>
      <c r="F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row>
    <row r="15" spans="1:82" x14ac:dyDescent="0.4">
      <c r="A15" s="59"/>
      <c r="B15" s="59"/>
      <c r="C15" s="59"/>
      <c r="D15" s="59"/>
      <c r="E15" s="59"/>
      <c r="F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row>
    <row r="16" spans="1:82" x14ac:dyDescent="0.4">
      <c r="A16" s="59"/>
      <c r="B16" s="59"/>
      <c r="C16" s="59"/>
      <c r="D16" s="59"/>
      <c r="E16" s="59"/>
      <c r="F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row>
    <row r="17" spans="1:82" x14ac:dyDescent="0.4">
      <c r="A17" s="59"/>
      <c r="B17" s="59"/>
      <c r="C17" s="59"/>
      <c r="D17" s="59"/>
      <c r="E17" s="59"/>
      <c r="F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c r="BS17" s="59"/>
      <c r="BT17" s="59"/>
      <c r="BU17" s="59"/>
      <c r="BV17" s="59"/>
      <c r="BW17" s="59"/>
      <c r="BX17" s="59"/>
      <c r="BY17" s="59"/>
      <c r="BZ17" s="59"/>
      <c r="CA17" s="59"/>
      <c r="CB17" s="59"/>
      <c r="CC17" s="59"/>
      <c r="CD17" s="59"/>
    </row>
    <row r="18" spans="1:82" x14ac:dyDescent="0.4">
      <c r="A18" s="59"/>
      <c r="B18" s="59"/>
      <c r="C18" s="59"/>
      <c r="D18" s="59"/>
      <c r="E18" s="59"/>
      <c r="F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row>
    <row r="19" spans="1:82" x14ac:dyDescent="0.4">
      <c r="A19" s="59"/>
      <c r="B19" s="59"/>
      <c r="C19" s="59"/>
      <c r="D19" s="59"/>
      <c r="E19" s="59"/>
      <c r="F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W19" s="59"/>
      <c r="BX19" s="59"/>
      <c r="BY19" s="59"/>
      <c r="BZ19" s="59"/>
      <c r="CA19" s="59"/>
      <c r="CB19" s="59"/>
      <c r="CC19" s="59"/>
      <c r="CD19" s="59"/>
    </row>
    <row r="20" spans="1:82" x14ac:dyDescent="0.4">
      <c r="A20" s="59"/>
      <c r="B20" s="59"/>
      <c r="C20" s="59"/>
      <c r="D20" s="59"/>
      <c r="E20" s="59"/>
      <c r="F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row>
    <row r="21" spans="1:82" x14ac:dyDescent="0.4">
      <c r="A21" s="59"/>
      <c r="B21" s="59"/>
      <c r="C21" s="59"/>
      <c r="D21" s="59"/>
      <c r="E21" s="59"/>
      <c r="F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c r="BS21" s="59"/>
      <c r="BT21" s="59"/>
      <c r="BU21" s="59"/>
      <c r="BV21" s="59"/>
      <c r="BW21" s="59"/>
      <c r="BX21" s="59"/>
      <c r="BY21" s="59"/>
      <c r="BZ21" s="59"/>
      <c r="CA21" s="59"/>
      <c r="CB21" s="59"/>
      <c r="CC21" s="59"/>
      <c r="CD21" s="59"/>
    </row>
    <row r="22" spans="1:82" x14ac:dyDescent="0.4">
      <c r="A22" s="59"/>
      <c r="B22" s="59"/>
      <c r="C22" s="59"/>
      <c r="D22" s="59"/>
      <c r="E22" s="59"/>
      <c r="F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row>
    <row r="23" spans="1:82" x14ac:dyDescent="0.4">
      <c r="A23" s="59"/>
      <c r="B23" s="59"/>
      <c r="C23" s="59"/>
      <c r="D23" s="59"/>
      <c r="E23" s="59"/>
      <c r="F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59"/>
      <c r="BT23" s="59"/>
      <c r="BU23" s="59"/>
      <c r="BV23" s="59"/>
      <c r="BW23" s="59"/>
      <c r="BX23" s="59"/>
      <c r="BY23" s="59"/>
      <c r="BZ23" s="59"/>
      <c r="CA23" s="59"/>
      <c r="CB23" s="59"/>
      <c r="CC23" s="59"/>
      <c r="CD23" s="59"/>
    </row>
    <row r="24" spans="1:82" x14ac:dyDescent="0.4">
      <c r="A24" s="59"/>
      <c r="B24" s="59"/>
      <c r="C24" s="59"/>
      <c r="D24" s="59"/>
      <c r="E24" s="59"/>
      <c r="F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row>
    <row r="25" spans="1:82" x14ac:dyDescent="0.4">
      <c r="A25" s="59"/>
      <c r="B25" s="59"/>
      <c r="C25" s="59"/>
      <c r="D25" s="59"/>
      <c r="E25" s="59"/>
      <c r="F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c r="BS25" s="59"/>
      <c r="BT25" s="59"/>
      <c r="BU25" s="59"/>
      <c r="BV25" s="59"/>
      <c r="BW25" s="59"/>
      <c r="BX25" s="59"/>
      <c r="BY25" s="59"/>
      <c r="BZ25" s="59"/>
      <c r="CA25" s="59"/>
      <c r="CB25" s="59"/>
      <c r="CC25" s="59"/>
      <c r="CD25" s="59"/>
    </row>
    <row r="26" spans="1:82" x14ac:dyDescent="0.4">
      <c r="A26" s="59"/>
      <c r="B26" s="59"/>
      <c r="C26" s="59"/>
      <c r="D26" s="59"/>
      <c r="E26" s="59"/>
      <c r="F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row>
    <row r="27" spans="1:82" x14ac:dyDescent="0.4">
      <c r="A27" s="59"/>
      <c r="B27" s="59"/>
      <c r="C27" s="59"/>
      <c r="D27" s="59"/>
      <c r="E27" s="59"/>
      <c r="F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c r="BS27" s="59"/>
      <c r="BT27" s="59"/>
      <c r="BU27" s="59"/>
      <c r="BV27" s="59"/>
      <c r="BW27" s="59"/>
      <c r="BX27" s="59"/>
      <c r="BY27" s="59"/>
      <c r="BZ27" s="59"/>
      <c r="CA27" s="59"/>
      <c r="CB27" s="59"/>
      <c r="CC27" s="59"/>
      <c r="CD27" s="59"/>
    </row>
    <row r="28" spans="1:82" x14ac:dyDescent="0.4">
      <c r="A28" s="59"/>
      <c r="B28" s="59"/>
      <c r="C28" s="59"/>
      <c r="D28" s="59"/>
      <c r="E28" s="59"/>
      <c r="F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row>
    <row r="29" spans="1:82" x14ac:dyDescent="0.4">
      <c r="A29" s="59"/>
      <c r="B29" s="59"/>
      <c r="C29" s="59"/>
      <c r="D29" s="59"/>
      <c r="E29" s="59"/>
      <c r="F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row>
    <row r="30" spans="1:82" x14ac:dyDescent="0.4">
      <c r="A30" s="59"/>
      <c r="B30" s="59"/>
      <c r="C30" s="59"/>
      <c r="D30" s="59"/>
      <c r="E30" s="59"/>
      <c r="F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row>
    <row r="31" spans="1:82" x14ac:dyDescent="0.4">
      <c r="A31" s="59"/>
      <c r="B31" s="59"/>
      <c r="C31" s="59"/>
      <c r="D31" s="59"/>
      <c r="E31" s="59"/>
      <c r="F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c r="BS31" s="59"/>
      <c r="BT31" s="59"/>
      <c r="BU31" s="59"/>
      <c r="BV31" s="59"/>
      <c r="BW31" s="59"/>
      <c r="BX31" s="59"/>
      <c r="BY31" s="59"/>
      <c r="BZ31" s="59"/>
      <c r="CA31" s="59"/>
      <c r="CB31" s="59"/>
      <c r="CC31" s="59"/>
      <c r="CD31" s="59"/>
    </row>
    <row r="32" spans="1:82" x14ac:dyDescent="0.4">
      <c r="A32" s="59"/>
      <c r="B32" s="59"/>
      <c r="C32" s="59"/>
      <c r="D32" s="59"/>
      <c r="E32" s="59"/>
      <c r="F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59"/>
      <c r="BT32" s="59"/>
      <c r="BU32" s="59"/>
      <c r="BV32" s="59"/>
      <c r="BW32" s="59"/>
      <c r="BX32" s="59"/>
      <c r="BY32" s="59"/>
      <c r="BZ32" s="59"/>
      <c r="CA32" s="59"/>
      <c r="CB32" s="59"/>
      <c r="CC32" s="59"/>
      <c r="CD32" s="59"/>
    </row>
    <row r="33" spans="1:82" x14ac:dyDescent="0.4">
      <c r="A33" s="59"/>
      <c r="B33" s="59"/>
      <c r="C33" s="59"/>
      <c r="D33" s="59"/>
      <c r="E33" s="59"/>
      <c r="F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59"/>
      <c r="CA33" s="59"/>
      <c r="CB33" s="59"/>
      <c r="CC33" s="59"/>
      <c r="CD33" s="59"/>
    </row>
    <row r="34" spans="1:82" x14ac:dyDescent="0.4">
      <c r="A34" s="59"/>
      <c r="B34" s="59"/>
      <c r="C34" s="59"/>
      <c r="D34" s="59"/>
      <c r="E34" s="59"/>
      <c r="F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row>
    <row r="35" spans="1:82" x14ac:dyDescent="0.4">
      <c r="A35" s="59"/>
      <c r="B35" s="59"/>
      <c r="C35" s="59"/>
      <c r="D35" s="59"/>
      <c r="E35" s="59"/>
      <c r="F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59"/>
      <c r="CA35" s="59"/>
      <c r="CB35" s="59"/>
      <c r="CC35" s="59"/>
      <c r="CD35" s="5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310243</xdr:colOff>
                <xdr:row>3</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310243</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310243</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310243</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310243</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310243</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310243</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310243</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093"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3093" r:id="rId28" name="FPMExcelClientSheetOptionstb1"/>
      </mc:Fallback>
    </mc:AlternateContent>
    <mc:AlternateContent xmlns:mc="http://schemas.openxmlformats.org/markup-compatibility/2006">
      <mc:Choice Requires="x14">
        <control shapeId="3115" r:id="rId30" name="TextBox1">
          <controlPr defaultSize="0" disabled="1" autoLine="0" r:id="rId31">
            <anchor>
              <from>
                <xdr:col>0</xdr:col>
                <xdr:colOff>38100</xdr:colOff>
                <xdr:row>2</xdr:row>
                <xdr:rowOff>152400</xdr:rowOff>
              </from>
              <to>
                <xdr:col>0</xdr:col>
                <xdr:colOff>43543</xdr:colOff>
                <xdr:row>2</xdr:row>
                <xdr:rowOff>157843</xdr:rowOff>
              </to>
            </anchor>
          </controlPr>
        </control>
      </mc:Choice>
      <mc:Fallback>
        <control shapeId="3115" r:id="rId30" name="TextBox1"/>
      </mc:Fallback>
    </mc:AlternateContent>
    <mc:AlternateContent xmlns:mc="http://schemas.openxmlformats.org/markup-compatibility/2006">
      <mc:Choice Requires="x14">
        <control shapeId="3119" r:id="rId32" name="TextBox2">
          <controlPr defaultSize="0" disabled="1" autoLine="0" r:id="rId33">
            <anchor>
              <from>
                <xdr:col>8</xdr:col>
                <xdr:colOff>631371</xdr:colOff>
                <xdr:row>2</xdr:row>
                <xdr:rowOff>152400</xdr:rowOff>
              </from>
              <to>
                <xdr:col>8</xdr:col>
                <xdr:colOff>636814</xdr:colOff>
                <xdr:row>2</xdr:row>
                <xdr:rowOff>157843</xdr:rowOff>
              </to>
            </anchor>
          </controlPr>
        </control>
      </mc:Choice>
      <mc:Fallback>
        <control shapeId="3119" r:id="rId32" name="TextBox2"/>
      </mc:Fallback>
    </mc:AlternateContent>
    <mc:AlternateContent xmlns:mc="http://schemas.openxmlformats.org/markup-compatibility/2006">
      <mc:Choice Requires="x14">
        <control shapeId="3130" r:id="rId34" name="AnalyzerDynReport000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0" r:id="rId34" name="AnalyzerDynReport000tb1"/>
      </mc:Fallback>
    </mc:AlternateContent>
    <mc:AlternateContent xmlns:mc="http://schemas.openxmlformats.org/markup-compatibility/2006">
      <mc:Choice Requires="x14">
        <control shapeId="3131" r:id="rId36" name="ConnectionDescriptorsInfo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1" r:id="rId36" name="ConnectionDescriptorsInfotb1"/>
      </mc:Fallback>
    </mc:AlternateContent>
    <mc:AlternateContent xmlns:mc="http://schemas.openxmlformats.org/markup-compatibility/2006">
      <mc:Choice Requires="x14">
        <control shapeId="3132" r:id="rId38" name="MultipleReportManagerInfotb1">
          <controlPr defaultSize="0" autoLine="0" autoPict="0" r:id="rId39">
            <anchor moveWithCells="1" sizeWithCells="1">
              <from>
                <xdr:col>0</xdr:col>
                <xdr:colOff>0</xdr:colOff>
                <xdr:row>0</xdr:row>
                <xdr:rowOff>0</xdr:rowOff>
              </from>
              <to>
                <xdr:col>6</xdr:col>
                <xdr:colOff>97971</xdr:colOff>
                <xdr:row>0</xdr:row>
                <xdr:rowOff>0</xdr:rowOff>
              </to>
            </anchor>
          </controlPr>
        </control>
      </mc:Choice>
      <mc:Fallback>
        <control shapeId="3132" r:id="rId38" name="MultipleReportManagerInfotb1"/>
      </mc:Fallback>
    </mc:AlternateContent>
    <mc:AlternateContent xmlns:mc="http://schemas.openxmlformats.org/markup-compatibility/2006">
      <mc:Choice Requires="x14">
        <control shapeId="3133" r:id="rId40" name="ReportSubmitManagerControltb1">
          <controlPr defaultSize="0" autoLine="0" autoPict="0" r:id="rId41">
            <anchor moveWithCells="1" sizeWithCells="1">
              <from>
                <xdr:col>0</xdr:col>
                <xdr:colOff>0</xdr:colOff>
                <xdr:row>0</xdr:row>
                <xdr:rowOff>0</xdr:rowOff>
              </from>
              <to>
                <xdr:col>6</xdr:col>
                <xdr:colOff>97971</xdr:colOff>
                <xdr:row>0</xdr:row>
                <xdr:rowOff>0</xdr:rowOff>
              </to>
            </anchor>
          </controlPr>
        </control>
      </mc:Choice>
      <mc:Fallback>
        <control shapeId="3133" r:id="rId40" name="ReportSubmitManagerControltb1"/>
      </mc:Fallback>
    </mc:AlternateContent>
    <mc:AlternateContent xmlns:mc="http://schemas.openxmlformats.org/markup-compatibility/2006">
      <mc:Choice Requires="x14">
        <control shapeId="3134" r:id="rId42" name="ReportSubmitControl_1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4" r:id="rId42" name="ReportSubmitControl_1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Performance Test</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4E38DF8C-E276-4C3C-86B9-8AFBD4FACC9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Testing</vt:lpstr>
      <vt:lpstr>Test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2022-02-23T15:39:11Z</dcterms:modified>
</cp:coreProperties>
</file>