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5_Measure the Performance of SAP IBP Actions/"/>
    </mc:Choice>
  </mc:AlternateContent>
  <xr:revisionPtr revIDLastSave="32" documentId="8_{10636F55-2C09-4C84-A444-17F886AE9134}" xr6:coauthVersionLast="47" xr6:coauthVersionMax="47" xr10:uidLastSave="{5A6352FA-0167-46D6-BE10-238990DA15ED}"/>
  <bookViews>
    <workbookView xWindow="-103" yWindow="-103" windowWidth="22149" windowHeight="11949" tabRatio="374" firstSheet="1" activeTab="1" xr2:uid="{00000000-000D-0000-FFFF-FFFF00000000}"/>
  </bookViews>
  <sheets>
    <sheet name="IBPFormattingSheet" sheetId="16" state="hidden" r:id="rId1"/>
    <sheet name="Testing" sheetId="15" r:id="rId2"/>
    <sheet name="Test 1"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'Test 1'!$H$3:$V$3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"SID"</definedName>
    <definedName name="SOP_CurrencyToID" localSheetId="2">"EUR"</definedName>
    <definedName name="SOP_CURRTOID" localSheetId="2">"EUR"</definedName>
    <definedName name="SOP_Favorite_Name" localSheetId="0">" "</definedName>
    <definedName name="SOP_Favorite_Name">"Performance Test"</definedName>
    <definedName name="SOP_Filter" localSheetId="0">{" "}</definedName>
    <definedName name="SOP_Filter" localSheetId="2">{" "}</definedName>
    <definedName name="SOP_Filter">{" "}</definedName>
    <definedName name="SOP_Filter_Criteria_Count" localSheetId="2">0</definedName>
    <definedName name="SOP_Filter_Name" localSheetId="2">"(None)"</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 localSheetId="0">"SAP4PW"</definedName>
    <definedName name="SOP_Planning_Area">"SAP6"</definedName>
    <definedName name="SOP_Planning_Scope" localSheetId="0">" "</definedName>
    <definedName name="SOP_Planning_Scope">"No selection: The system will plan the entire data set. | TW14 2022 - TW19 2024 | Baseline | Base Version"</definedName>
    <definedName name="SOP_Refresh_Timestamp" localSheetId="0">43129.8290046296</definedName>
    <definedName name="SOP_Refresh_Timestamp">44587.7362152778</definedName>
    <definedName name="SOP_TargetCurrency" localSheetId="2">"EUR"</definedName>
    <definedName name="SOP_TargetUoM" localSheetId="2">"PC"</definedName>
    <definedName name="SOP_Template_Name" localSheetId="0">" "</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P3" i="5"/>
  <c r="Q3" i="5"/>
  <c r="O3" i="5"/>
  <c r="U3" i="5"/>
  <c r="K3" i="5"/>
  <c r="S3" i="5"/>
  <c r="L3" i="5"/>
  <c r="V3" i="5"/>
  <c r="I4" i="5"/>
  <c r="T3" i="5"/>
  <c r="M3" i="5"/>
  <c r="J7" i="5"/>
  <c r="J5" i="5"/>
  <c r="H4" i="5"/>
  <c r="J9" i="5"/>
  <c r="J6" i="5"/>
  <c r="J8" i="5"/>
  <c r="J4" i="5"/>
  <c r="R3" i="5"/>
  <c r="N3"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314331FB-1A79-476D-A18D-386D8ED5512A}">
      <text>
        <r>
          <rPr>
            <b/>
            <sz val="9"/>
            <color indexed="81"/>
            <rFont val="Tahoma"/>
            <family val="2"/>
          </rPr>
          <t>TotalMember</t>
        </r>
      </text>
    </comment>
    <comment ref="D44" authorId="0" shapeId="0" xr:uid="{34BA1BC7-D035-47BE-A8EA-51CD8CCACAE4}">
      <text>
        <r>
          <rPr>
            <b/>
            <sz val="9"/>
            <color indexed="81"/>
            <rFont val="Tahoma"/>
            <family val="2"/>
          </rPr>
          <t>Property#KEY_FIGURES#FIXING#Equals#Y</t>
        </r>
      </text>
    </comment>
    <comment ref="D65" authorId="0" shapeId="0" xr:uid="{0BB87BD7-0D0A-46E4-AB77-1A9C8EDA4EE1}">
      <text>
        <r>
          <rPr>
            <b/>
            <sz val="9"/>
            <color indexed="81"/>
            <rFont val="Tahoma"/>
            <family val="2"/>
          </rPr>
          <t>Property#PERIODID#TIMELEVEL#Equals#TOTAL</t>
        </r>
      </text>
    </comment>
    <comment ref="D68" authorId="0" shapeId="0" xr:uid="{E3032B8D-3986-438A-9258-9A44F2D38E4A}">
      <text>
        <r>
          <rPr>
            <b/>
            <sz val="9"/>
            <color indexed="81"/>
            <rFont val="Tahoma"/>
            <family val="2"/>
          </rPr>
          <t>Property#PERIODID#TIMELEVEL#Equals#PERIODID0</t>
        </r>
      </text>
    </comment>
    <comment ref="D71" authorId="0" shapeId="0" xr:uid="{39311C20-E6C9-4B28-AD82-68EF4907BFCD}">
      <text>
        <r>
          <rPr>
            <b/>
            <sz val="9"/>
            <color indexed="81"/>
            <rFont val="Tahoma"/>
            <family val="2"/>
          </rPr>
          <t>Property#PERIODID#TIMELEVEL#Equals#PERIODID1</t>
        </r>
      </text>
    </comment>
    <comment ref="D74" authorId="0" shapeId="0" xr:uid="{E3032A39-94C9-4647-BE47-882AB25CACAB}">
      <text>
        <r>
          <rPr>
            <b/>
            <sz val="9"/>
            <color indexed="81"/>
            <rFont val="Tahoma"/>
            <family val="2"/>
          </rPr>
          <t>Property#PERIODID#TIMELEVEL#Equals#PERIODID2</t>
        </r>
      </text>
    </comment>
    <comment ref="D77" authorId="0" shapeId="0" xr:uid="{08495E1A-5FB0-4BCC-9724-1511A9632C5C}">
      <text>
        <r>
          <rPr>
            <b/>
            <sz val="9"/>
            <color indexed="81"/>
            <rFont val="Tahoma"/>
            <family val="2"/>
          </rPr>
          <t>Property#PERIODID#TIMELEVEL#Equals#PERIODID3</t>
        </r>
      </text>
    </comment>
    <comment ref="D80" authorId="0" shapeId="0" xr:uid="{51D7F93D-1F14-4BCA-80AD-5F667F97073E}">
      <text>
        <r>
          <rPr>
            <b/>
            <sz val="9"/>
            <color indexed="81"/>
            <rFont val="Tahoma"/>
            <family val="2"/>
          </rPr>
          <t>Property#PERIODID#TIMELEVEL#Equals#PERIODID4</t>
        </r>
      </text>
    </comment>
    <comment ref="D83" authorId="0" shapeId="0" xr:uid="{9419FB6E-CDDF-4F14-92AC-91FA688DB9D5}">
      <text>
        <r>
          <rPr>
            <b/>
            <sz val="9"/>
            <color indexed="81"/>
            <rFont val="Tahoma"/>
            <family val="2"/>
          </rPr>
          <t>Property#PERIODID#TIMELEVEL#Equals#PERIODID5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4" authorId="0" shapeId="0" xr:uid="{6A080261-466E-4F04-B247-DC928153DBA2}">
      <text>
        <r>
          <rPr>
            <sz val="9"/>
            <color indexed="81"/>
            <rFont val="Tahoma"/>
            <family val="2"/>
          </rPr>
          <t>1503 is fixed</t>
        </r>
      </text>
    </comment>
    <comment ref="S4" authorId="0" shapeId="0" xr:uid="{39CB4B47-8E71-4C3E-892F-DF63F0D0ACF3}">
      <text>
        <r>
          <rPr>
            <sz val="9"/>
            <color indexed="81"/>
            <rFont val="Tahoma"/>
            <family val="2"/>
          </rPr>
          <t>100 is fixed</t>
        </r>
      </text>
    </comment>
    <comment ref="T4" authorId="0" shapeId="0" xr:uid="{F65FA12A-E65A-498F-A753-B0C7B6B81341}">
      <text>
        <r>
          <rPr>
            <sz val="9"/>
            <color indexed="81"/>
            <rFont val="Tahoma"/>
            <family val="2"/>
          </rPr>
          <t>100 is fixed</t>
        </r>
      </text>
    </comment>
    <comment ref="U4" authorId="0" shapeId="0" xr:uid="{B5036840-F0BF-43E4-8BBD-35EDD27CE751}">
      <text>
        <r>
          <rPr>
            <sz val="9"/>
            <color indexed="81"/>
            <rFont val="Tahoma"/>
            <family val="2"/>
          </rPr>
          <t>100 is fixed</t>
        </r>
      </text>
    </comment>
  </commentList>
</comments>
</file>

<file path=xl/sharedStrings.xml><?xml version="1.0" encoding="utf-8"?>
<sst xmlns="http://schemas.openxmlformats.org/spreadsheetml/2006/main" count="142" uniqueCount="46">
  <si>
    <t>Version_1_1</t>
  </si>
  <si>
    <t>Note: The format settings in lower sections overrides the ones in upper section if there are conflicts.</t>
  </si>
  <si>
    <t>Default Formatting</t>
  </si>
  <si>
    <t>Help</t>
  </si>
  <si>
    <t>Formatting and "Use" Column:</t>
  </si>
  <si>
    <t>Column</t>
  </si>
  <si>
    <t>Data</t>
  </si>
  <si>
    <t>Use</t>
  </si>
  <si>
    <t>Header</t>
  </si>
  <si>
    <t>Default Format</t>
  </si>
  <si>
    <t>All</t>
  </si>
  <si>
    <t>Label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</si>
  <si>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</si>
  <si>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</si>
  <si>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</si>
  <si>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</si>
  <si>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</si>
  <si>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</si>
  <si>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Local Member Default Format</t>
  </si>
  <si>
    <t>Changed Member Default Format</t>
  </si>
  <si>
    <t>Formatting on Specific Member/Property:</t>
  </si>
  <si>
    <t>None</t>
  </si>
  <si>
    <t>Pattern</t>
  </si>
  <si>
    <t>Total Member</t>
  </si>
  <si>
    <t>FontBold</t>
  </si>
  <si>
    <t>Row and Column Banding</t>
  </si>
  <si>
    <t>Odd Formatting</t>
  </si>
  <si>
    <t>Even Formatting</t>
  </si>
  <si>
    <t>Test Step</t>
  </si>
  <si>
    <t>Time Elapsed (sec)</t>
  </si>
  <si>
    <t>Refresh</t>
  </si>
  <si>
    <t>Simulate</t>
  </si>
  <si>
    <t>Run Forecast in Simulation</t>
  </si>
  <si>
    <t>Save</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</si>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</sst>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sz val="8"/>
      <color rgb="FF000000"/>
      <name val="Tahoma"/>
      <family val="2"/>
    </font>
    <font>
      <sz val="11"/>
      <color rgb="FF000000"/>
      <name val="Calibri"/>
      <family val="2"/>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A5A5A5"/>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s>
  <cellStyleXfs count="3">
    <xf numFmtId="0" fontId="0" fillId="0" borderId="0"/>
    <xf numFmtId="0" fontId="12" fillId="7" borderId="0" applyNumberFormat="0" applyBorder="0" applyAlignment="0" applyProtection="0"/>
    <xf numFmtId="0" fontId="9" fillId="12" borderId="34" applyNumberFormat="0" applyAlignment="0" applyProtection="0"/>
  </cellStyleXfs>
  <cellXfs count="107">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0" fontId="12" fillId="9" borderId="0" xfId="0" applyFont="1" applyFill="1"/>
    <xf numFmtId="0" fontId="0" fillId="10" borderId="0" xfId="0" applyFill="1"/>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9" fillId="10" borderId="0" xfId="0" applyFont="1" applyFill="1" applyAlignment="1" applyProtection="1">
      <alignment horizontal="right" vertical="center"/>
      <protection locked="0"/>
    </xf>
    <xf numFmtId="0" fontId="15" fillId="0" borderId="0" xfId="0" applyFont="1" applyAlignment="1">
      <alignment horizontal="center"/>
    </xf>
    <xf numFmtId="3" fontId="20" fillId="11" borderId="0" xfId="0" applyNumberFormat="1" applyFont="1" applyFill="1" applyAlignment="1" applyProtection="1">
      <alignment horizontal="right" vertical="center"/>
      <protection locked="0"/>
    </xf>
    <xf numFmtId="0" fontId="4" fillId="0" borderId="0" xfId="0" applyFont="1" applyAlignment="1">
      <alignment horizontal="left" vertic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2" fillId="9" borderId="0" xfId="0" applyFont="1" applyFill="1" applyAlignment="1">
      <alignment horizontal="right" vertical="center"/>
    </xf>
    <xf numFmtId="0" fontId="9" fillId="9" borderId="0" xfId="0" applyFont="1" applyFill="1" applyAlignment="1">
      <alignment horizontal="left" vertical="center"/>
    </xf>
    <xf numFmtId="0" fontId="12" fillId="9" borderId="0" xfId="1" applyFill="1" applyBorder="1" applyAlignment="1" applyProtection="1"/>
    <xf numFmtId="0" fontId="9" fillId="10" borderId="0" xfId="0" applyFont="1" applyFill="1"/>
    <xf numFmtId="0" fontId="9" fillId="12" borderId="3" xfId="2" applyBorder="1" applyAlignment="1">
      <alignment horizontal="center"/>
    </xf>
    <xf numFmtId="0" fontId="0" fillId="0" borderId="3" xfId="0" applyBorder="1"/>
    <xf numFmtId="164" fontId="20" fillId="11" borderId="0" xfId="0" applyNumberFormat="1" applyFont="1" applyFill="1" applyAlignment="1" applyProtection="1">
      <alignment horizontal="right" vertical="center"/>
      <protection locked="0"/>
    </xf>
    <xf numFmtId="165" fontId="20" fillId="11" borderId="0" xfId="0" applyNumberFormat="1" applyFont="1" applyFill="1" applyAlignment="1" applyProtection="1">
      <alignment horizontal="right" vertical="center"/>
      <protection locked="0"/>
    </xf>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9" fillId="12" borderId="35" xfId="2" applyBorder="1" applyAlignment="1">
      <alignment horizontal="center"/>
    </xf>
    <xf numFmtId="0" fontId="9" fillId="12" borderId="36" xfId="2" applyBorder="1" applyAlignment="1">
      <alignment horizontal="center"/>
    </xf>
    <xf numFmtId="0" fontId="9" fillId="12" borderId="37" xfId="2" applyBorder="1" applyAlignment="1">
      <alignment horizontal="center"/>
    </xf>
    <xf numFmtId="0" fontId="0" fillId="0" borderId="3" xfId="0" applyBorder="1" applyAlignment="1">
      <alignment horizontal="left"/>
    </xf>
    <xf numFmtId="0" fontId="21" fillId="0" borderId="3" xfId="0" applyFont="1" applyBorder="1" applyAlignment="1">
      <alignment horizontal="left"/>
    </xf>
    <xf numFmtId="0" fontId="16" fillId="9" borderId="0" xfId="0" quotePrefix="1" applyFont="1" applyFill="1" applyAlignment="1">
      <alignment horizontal="left" vertical="top" wrapText="1" indent="5"/>
    </xf>
    <xf numFmtId="0" fontId="16" fillId="9" borderId="0" xfId="0" quotePrefix="1" applyFont="1" applyFill="1" applyAlignment="1">
      <alignment horizontal="left" vertical="top" indent="5"/>
    </xf>
    <xf numFmtId="0" fontId="17" fillId="9" borderId="0" xfId="0" applyFont="1" applyFill="1" applyAlignment="1">
      <alignment horizontal="left" vertical="center"/>
    </xf>
    <xf numFmtId="0" fontId="18" fillId="9" borderId="0" xfId="0" applyFont="1" applyFill="1" applyAlignment="1">
      <alignment horizontal="right" vertical="top" wrapText="1"/>
    </xf>
    <xf numFmtId="0" fontId="19" fillId="9" borderId="0" xfId="0" quotePrefix="1" applyFont="1" applyFill="1" applyAlignment="1">
      <alignment horizontal="left" vertical="top" wrapText="1" indent="5"/>
    </xf>
    <xf numFmtId="0" fontId="18" fillId="9" borderId="0" xfId="0" applyFont="1" applyFill="1" applyAlignment="1">
      <alignment horizontal="left" vertical="top"/>
    </xf>
    <xf numFmtId="0" fontId="0" fillId="0" borderId="0" xfId="0" applyAlignment="1">
      <alignment horizontal="center"/>
    </xf>
    <xf numFmtId="0" fontId="0" fillId="0" borderId="23" xfId="0" applyBorder="1" applyAlignment="1">
      <alignment horizontal="center"/>
    </xf>
    <xf numFmtId="0" fontId="0" fillId="1" borderId="0" xfId="0" applyFill="1" applyAlignment="1">
      <alignment horizontal="center"/>
    </xf>
    <xf numFmtId="0" fontId="9" fillId="10" borderId="0" xfId="0" applyFont="1" applyFill="1" applyAlignment="1" applyProtection="1">
      <alignment horizontal="left" vertical="center"/>
      <protection locked="0"/>
    </xf>
    <xf numFmtId="0" fontId="0" fillId="1" borderId="31" xfId="0" applyFill="1" applyBorder="1" applyAlignment="1">
      <alignment horizontal="center"/>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8" borderId="0" xfId="0" applyNumberFormat="1" applyFont="1" applyFill="1" applyAlignment="1" applyProtection="1">
      <alignment horizontal="right" vertical="center"/>
      <protection locked="0"/>
    </xf>
    <xf numFmtId="3" fontId="11" fillId="6" borderId="0" xfId="0" applyNumberFormat="1" applyFont="1" applyFill="1" applyAlignment="1" applyProtection="1">
      <alignment horizontal="right" vertical="center"/>
      <protection locked="0"/>
    </xf>
    <xf numFmtId="3" fontId="25" fillId="8" borderId="0" xfId="0" applyNumberFormat="1" applyFont="1" applyFill="1" applyAlignment="1" applyProtection="1">
      <alignment horizontal="right" vertical="center"/>
      <protection locked="0"/>
    </xf>
    <xf numFmtId="0" fontId="21" fillId="0" borderId="0" xfId="0" applyFont="1" applyAlignment="1" applyProtection="1">
      <alignment horizontal="left" vertical="center"/>
      <protection locked="0"/>
    </xf>
    <xf numFmtId="0" fontId="26" fillId="0" borderId="0" xfId="0" quotePrefix="1" applyFont="1" applyAlignment="1">
      <alignment horizontal="left" vertical="center"/>
    </xf>
    <xf numFmtId="3" fontId="27"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5" fillId="0" borderId="0" xfId="0" applyNumberFormat="1" applyFont="1" applyAlignment="1" applyProtection="1">
      <alignment horizontal="righ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0" fillId="18" borderId="0" xfId="0" applyFill="1" applyAlignment="1" applyProtection="1">
      <alignment horizontal="left" vertical="center"/>
      <protection locked="0"/>
    </xf>
    <xf numFmtId="0" fontId="11" fillId="0" borderId="0" xfId="0" applyFont="1" applyAlignment="1" applyProtection="1">
      <alignment horizontal="right" vertical="center"/>
      <protection locked="0"/>
    </xf>
  </cellXfs>
  <cellStyles count="3">
    <cellStyle name="Accent6" xfId="1" builtinId="49"/>
    <cellStyle name="Check Cell 2" xfId="2" xr:uid="{40CC7E88-401C-413F-9804-D49B81C627EB}"/>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3" Type="http://schemas.openxmlformats.org/officeDocument/2006/relationships/image" Target="../media/image22.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 Type="http://schemas.openxmlformats.org/officeDocument/2006/relationships/image" Target="../media/image23.emf"/><Relationship Id="rId16" Type="http://schemas.openxmlformats.org/officeDocument/2006/relationships/image" Target="../media/image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5" Type="http://schemas.openxmlformats.org/officeDocument/2006/relationships/image" Target="../media/image20.emf"/><Relationship Id="rId15" Type="http://schemas.openxmlformats.org/officeDocument/2006/relationships/image" Target="../media/image1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391AAA92-E6FC-49B5-BC48-13526E434C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A1803421-125B-48AF-B1B8-B0E28711B6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6C07A94D-E628-4327-BE68-1A2D45B84E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465EFF68-1B97-4E05-8F4B-67C68E8335B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C64EC185-3A6A-4734-BE29-92BC5BADE7A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8438" name="Group Box 6" hidden="1">
              <a:extLst>
                <a:ext uri="{63B3BB69-23CF-44E3-9099-C40C66FF867C}">
                  <a14:compatExt spid="_x0000_s18438"/>
                </a:ext>
                <a:ext uri="{FF2B5EF4-FFF2-40B4-BE49-F238E27FC236}">
                  <a16:creationId xmlns:a16="http://schemas.microsoft.com/office/drawing/2014/main" id="{81AFDF3B-BE0D-437E-B3D3-40289E0DDC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8439" name="cbUseDefaultLevelFirst" hidden="1">
              <a:extLst>
                <a:ext uri="{63B3BB69-23CF-44E3-9099-C40C66FF867C}">
                  <a14:compatExt spid="_x0000_s18439"/>
                </a:ext>
                <a:ext uri="{FF2B5EF4-FFF2-40B4-BE49-F238E27FC236}">
                  <a16:creationId xmlns:a16="http://schemas.microsoft.com/office/drawing/2014/main" id="{17B00060-DD45-48BC-98C7-9C62B57A2E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8440" name="Group Box 8" hidden="1">
              <a:extLst>
                <a:ext uri="{63B3BB69-23CF-44E3-9099-C40C66FF867C}">
                  <a14:compatExt spid="_x0000_s18440"/>
                </a:ext>
                <a:ext uri="{FF2B5EF4-FFF2-40B4-BE49-F238E27FC236}">
                  <a16:creationId xmlns:a16="http://schemas.microsoft.com/office/drawing/2014/main" id="{44651051-B08E-49AE-8477-D6FD987287BB}"/>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8441" name="cbUseDefaultLevelSecond" hidden="1">
              <a:extLst>
                <a:ext uri="{63B3BB69-23CF-44E3-9099-C40C66FF867C}">
                  <a14:compatExt spid="_x0000_s18441"/>
                </a:ext>
                <a:ext uri="{FF2B5EF4-FFF2-40B4-BE49-F238E27FC236}">
                  <a16:creationId xmlns:a16="http://schemas.microsoft.com/office/drawing/2014/main" id="{9F5E9DE6-8C64-487A-AB09-6BA419D458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8442" name="cbApplyMemberFormatting" hidden="1">
              <a:extLst>
                <a:ext uri="{63B3BB69-23CF-44E3-9099-C40C66FF867C}">
                  <a14:compatExt spid="_x0000_s18442"/>
                </a:ext>
                <a:ext uri="{FF2B5EF4-FFF2-40B4-BE49-F238E27FC236}">
                  <a16:creationId xmlns:a16="http://schemas.microsoft.com/office/drawing/2014/main" id="{1F460BD5-A10F-4422-AF94-61FAE762F7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8443" name="Group Box 11" hidden="1">
              <a:extLst>
                <a:ext uri="{63B3BB69-23CF-44E3-9099-C40C66FF867C}">
                  <a14:compatExt spid="_x0000_s18443"/>
                </a:ext>
                <a:ext uri="{FF2B5EF4-FFF2-40B4-BE49-F238E27FC236}">
                  <a16:creationId xmlns:a16="http://schemas.microsoft.com/office/drawing/2014/main" id="{914CAAF5-7081-4B76-9211-51D93DB7D01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8444" name="obMemberRowFirst" hidden="1">
              <a:extLst>
                <a:ext uri="{63B3BB69-23CF-44E3-9099-C40C66FF867C}">
                  <a14:compatExt spid="_x0000_s18444"/>
                </a:ext>
                <a:ext uri="{FF2B5EF4-FFF2-40B4-BE49-F238E27FC236}">
                  <a16:creationId xmlns:a16="http://schemas.microsoft.com/office/drawing/2014/main" id="{355C5FCB-4922-4D22-BF3F-FAB61C6E4CB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8445" name="obMemberColumnFirst" hidden="1">
              <a:extLst>
                <a:ext uri="{63B3BB69-23CF-44E3-9099-C40C66FF867C}">
                  <a14:compatExt spid="_x0000_s18445"/>
                </a:ext>
                <a:ext uri="{FF2B5EF4-FFF2-40B4-BE49-F238E27FC236}">
                  <a16:creationId xmlns:a16="http://schemas.microsoft.com/office/drawing/2014/main" id="{61CA0F96-506A-4A2E-B81B-CA271D5828A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8446" name="cbApplyCalculatedMemberFirst" hidden="1">
              <a:extLst>
                <a:ext uri="{63B3BB69-23CF-44E3-9099-C40C66FF867C}">
                  <a14:compatExt spid="_x0000_s18446"/>
                </a:ext>
                <a:ext uri="{FF2B5EF4-FFF2-40B4-BE49-F238E27FC236}">
                  <a16:creationId xmlns:a16="http://schemas.microsoft.com/office/drawing/2014/main" id="{2B940FD3-C7FA-41D3-BEF1-8C1EC7AC0FB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8447" name="cbApplyImputableMemberFirst" hidden="1">
              <a:extLst>
                <a:ext uri="{63B3BB69-23CF-44E3-9099-C40C66FF867C}">
                  <a14:compatExt spid="_x0000_s18447"/>
                </a:ext>
                <a:ext uri="{FF2B5EF4-FFF2-40B4-BE49-F238E27FC236}">
                  <a16:creationId xmlns:a16="http://schemas.microsoft.com/office/drawing/2014/main" id="{869BC0E4-1A61-4D5F-A2E8-ECA640B1D8E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8448" name="cbApplyLocalMemberFirst" hidden="1">
              <a:extLst>
                <a:ext uri="{63B3BB69-23CF-44E3-9099-C40C66FF867C}">
                  <a14:compatExt spid="_x0000_s18448"/>
                </a:ext>
                <a:ext uri="{FF2B5EF4-FFF2-40B4-BE49-F238E27FC236}">
                  <a16:creationId xmlns:a16="http://schemas.microsoft.com/office/drawing/2014/main" id="{C1FD76E3-670F-41A0-8AFE-DAC3751E23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8449" name="cbApplyChangedMemberFirst" hidden="1">
              <a:extLst>
                <a:ext uri="{63B3BB69-23CF-44E3-9099-C40C66FF867C}">
                  <a14:compatExt spid="_x0000_s18449"/>
                </a:ext>
                <a:ext uri="{FF2B5EF4-FFF2-40B4-BE49-F238E27FC236}">
                  <a16:creationId xmlns:a16="http://schemas.microsoft.com/office/drawing/2014/main" id="{E16DF0E7-A4DB-45C2-8FFD-D472BFE04C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8450" name="cbApplySpecificMemberFirst" hidden="1">
              <a:extLst>
                <a:ext uri="{63B3BB69-23CF-44E3-9099-C40C66FF867C}">
                  <a14:compatExt spid="_x0000_s18450"/>
                </a:ext>
                <a:ext uri="{FF2B5EF4-FFF2-40B4-BE49-F238E27FC236}">
                  <a16:creationId xmlns:a16="http://schemas.microsoft.com/office/drawing/2014/main" id="{38D48F93-31E1-4884-ABC0-9FE1A5495C7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8451" name="AddMemberFirst" hidden="1">
              <a:extLst>
                <a:ext uri="{63B3BB69-23CF-44E3-9099-C40C66FF867C}">
                  <a14:compatExt spid="_x0000_s18451"/>
                </a:ext>
                <a:ext uri="{FF2B5EF4-FFF2-40B4-BE49-F238E27FC236}">
                  <a16:creationId xmlns:a16="http://schemas.microsoft.com/office/drawing/2014/main" id="{59F108EB-F478-4BCC-892C-458616A39D2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8452" name="cbApplyCalculatedMemberSecond" hidden="1">
              <a:extLst>
                <a:ext uri="{63B3BB69-23CF-44E3-9099-C40C66FF867C}">
                  <a14:compatExt spid="_x0000_s18452"/>
                </a:ext>
                <a:ext uri="{FF2B5EF4-FFF2-40B4-BE49-F238E27FC236}">
                  <a16:creationId xmlns:a16="http://schemas.microsoft.com/office/drawing/2014/main" id="{318F9648-8568-47C8-81F2-A44E17951F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8453" name="cbApplyImputableMemberSecond" hidden="1">
              <a:extLst>
                <a:ext uri="{63B3BB69-23CF-44E3-9099-C40C66FF867C}">
                  <a14:compatExt spid="_x0000_s18453"/>
                </a:ext>
                <a:ext uri="{FF2B5EF4-FFF2-40B4-BE49-F238E27FC236}">
                  <a16:creationId xmlns:a16="http://schemas.microsoft.com/office/drawing/2014/main" id="{5BFFDBC4-5703-42F2-A687-E0644E4C992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8454" name="cbApplyLocalMemberSecond" hidden="1">
              <a:extLst>
                <a:ext uri="{63B3BB69-23CF-44E3-9099-C40C66FF867C}">
                  <a14:compatExt spid="_x0000_s18454"/>
                </a:ext>
                <a:ext uri="{FF2B5EF4-FFF2-40B4-BE49-F238E27FC236}">
                  <a16:creationId xmlns:a16="http://schemas.microsoft.com/office/drawing/2014/main" id="{30707AD7-28A0-4F8E-A65B-76BE2278ADD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8455" name="cbApplyChangedMemberSecond" hidden="1">
              <a:extLst>
                <a:ext uri="{63B3BB69-23CF-44E3-9099-C40C66FF867C}">
                  <a14:compatExt spid="_x0000_s18455"/>
                </a:ext>
                <a:ext uri="{FF2B5EF4-FFF2-40B4-BE49-F238E27FC236}">
                  <a16:creationId xmlns:a16="http://schemas.microsoft.com/office/drawing/2014/main" id="{17A8604E-D419-44B3-9D7C-99702FD7E7A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8456" name="cbApplySpecificMemberSecond" hidden="1">
              <a:extLst>
                <a:ext uri="{63B3BB69-23CF-44E3-9099-C40C66FF867C}">
                  <a14:compatExt spid="_x0000_s18456"/>
                </a:ext>
                <a:ext uri="{FF2B5EF4-FFF2-40B4-BE49-F238E27FC236}">
                  <a16:creationId xmlns:a16="http://schemas.microsoft.com/office/drawing/2014/main" id="{045C99AE-C3A2-4792-809F-5A0EFD6844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8457" name="AddMemberSecond" hidden="1">
              <a:extLst>
                <a:ext uri="{63B3BB69-23CF-44E3-9099-C40C66FF867C}">
                  <a14:compatExt spid="_x0000_s18457"/>
                </a:ext>
                <a:ext uri="{FF2B5EF4-FFF2-40B4-BE49-F238E27FC236}">
                  <a16:creationId xmlns:a16="http://schemas.microsoft.com/office/drawing/2014/main" id="{5B2AAA9B-DB8C-4CAA-8962-F6A1978D8A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8458" name="cbApplyOddEvenFormatting" hidden="1">
              <a:extLst>
                <a:ext uri="{63B3BB69-23CF-44E3-9099-C40C66FF867C}">
                  <a14:compatExt spid="_x0000_s18458"/>
                </a:ext>
                <a:ext uri="{FF2B5EF4-FFF2-40B4-BE49-F238E27FC236}">
                  <a16:creationId xmlns:a16="http://schemas.microsoft.com/office/drawing/2014/main" id="{B6F80077-AFAC-41BB-899B-537B195DAD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8459" name="Group Box 27" hidden="1">
              <a:extLst>
                <a:ext uri="{63B3BB69-23CF-44E3-9099-C40C66FF867C}">
                  <a14:compatExt spid="_x0000_s18459"/>
                </a:ext>
                <a:ext uri="{FF2B5EF4-FFF2-40B4-BE49-F238E27FC236}">
                  <a16:creationId xmlns:a16="http://schemas.microsoft.com/office/drawing/2014/main" id="{C7A91F4D-9127-49F0-8C0C-026442768C0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8460" name="obOddEvenRowFirst" hidden="1">
              <a:extLst>
                <a:ext uri="{63B3BB69-23CF-44E3-9099-C40C66FF867C}">
                  <a14:compatExt spid="_x0000_s18460"/>
                </a:ext>
                <a:ext uri="{FF2B5EF4-FFF2-40B4-BE49-F238E27FC236}">
                  <a16:creationId xmlns:a16="http://schemas.microsoft.com/office/drawing/2014/main" id="{3AD231CD-CBFE-4C19-9586-BC1CBE80E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8461" name="obOddEvenColumnFirst" hidden="1">
              <a:extLst>
                <a:ext uri="{63B3BB69-23CF-44E3-9099-C40C66FF867C}">
                  <a14:compatExt spid="_x0000_s18461"/>
                </a:ext>
                <a:ext uri="{FF2B5EF4-FFF2-40B4-BE49-F238E27FC236}">
                  <a16:creationId xmlns:a16="http://schemas.microsoft.com/office/drawing/2014/main" id="{D83E11F9-A7F4-4894-84F8-A99FF5AD94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8462" name="cbUseOddFirst" hidden="1">
              <a:extLst>
                <a:ext uri="{63B3BB69-23CF-44E3-9099-C40C66FF867C}">
                  <a14:compatExt spid="_x0000_s18462"/>
                </a:ext>
                <a:ext uri="{FF2B5EF4-FFF2-40B4-BE49-F238E27FC236}">
                  <a16:creationId xmlns:a16="http://schemas.microsoft.com/office/drawing/2014/main" id="{0288AC2B-59C3-4C23-A9EA-1A9EB5B14BD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8463" name="cbUseEvenFirst" hidden="1">
              <a:extLst>
                <a:ext uri="{63B3BB69-23CF-44E3-9099-C40C66FF867C}">
                  <a14:compatExt spid="_x0000_s18463"/>
                </a:ext>
                <a:ext uri="{FF2B5EF4-FFF2-40B4-BE49-F238E27FC236}">
                  <a16:creationId xmlns:a16="http://schemas.microsoft.com/office/drawing/2014/main" id="{0CD26013-2D8E-4B16-A1E7-C5EE2B3AA1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8464" name="cbUseOddSecond" hidden="1">
              <a:extLst>
                <a:ext uri="{63B3BB69-23CF-44E3-9099-C40C66FF867C}">
                  <a14:compatExt spid="_x0000_s18464"/>
                </a:ext>
                <a:ext uri="{FF2B5EF4-FFF2-40B4-BE49-F238E27FC236}">
                  <a16:creationId xmlns:a16="http://schemas.microsoft.com/office/drawing/2014/main" id="{B8C4BE5A-2D82-4BEB-A8CF-72A951907FE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8465" name="cbUseEvenSecond" hidden="1">
              <a:extLst>
                <a:ext uri="{63B3BB69-23CF-44E3-9099-C40C66FF867C}">
                  <a14:compatExt spid="_x0000_s18465"/>
                </a:ext>
                <a:ext uri="{FF2B5EF4-FFF2-40B4-BE49-F238E27FC236}">
                  <a16:creationId xmlns:a16="http://schemas.microsoft.com/office/drawing/2014/main" id="{F7850B28-6FC4-4A89-9589-86DA4AF134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8466" name="AddedMember2_1" hidden="1">
              <a:extLst>
                <a:ext uri="{63B3BB69-23CF-44E3-9099-C40C66FF867C}">
                  <a14:compatExt spid="_x0000_s18466"/>
                </a:ext>
                <a:ext uri="{FF2B5EF4-FFF2-40B4-BE49-F238E27FC236}">
                  <a16:creationId xmlns:a16="http://schemas.microsoft.com/office/drawing/2014/main" id="{2E9CBC5D-6502-4867-BE4F-FDC2C9F336E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8467" name="ChangeMember2_1" hidden="1">
              <a:extLst>
                <a:ext uri="{63B3BB69-23CF-44E3-9099-C40C66FF867C}">
                  <a14:compatExt spid="_x0000_s18467"/>
                </a:ext>
                <a:ext uri="{FF2B5EF4-FFF2-40B4-BE49-F238E27FC236}">
                  <a16:creationId xmlns:a16="http://schemas.microsoft.com/office/drawing/2014/main" id="{88BF7165-0783-471F-89D0-56B76B0CF5F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8468" name="UpMember2_1" hidden="1">
              <a:extLst>
                <a:ext uri="{63B3BB69-23CF-44E3-9099-C40C66FF867C}">
                  <a14:compatExt spid="_x0000_s18468"/>
                </a:ext>
                <a:ext uri="{FF2B5EF4-FFF2-40B4-BE49-F238E27FC236}">
                  <a16:creationId xmlns:a16="http://schemas.microsoft.com/office/drawing/2014/main" id="{CA7EB4C8-370A-4651-8933-7F12CC867F4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8469" name="DownMember2_1" hidden="1">
              <a:extLst>
                <a:ext uri="{63B3BB69-23CF-44E3-9099-C40C66FF867C}">
                  <a14:compatExt spid="_x0000_s18469"/>
                </a:ext>
                <a:ext uri="{FF2B5EF4-FFF2-40B4-BE49-F238E27FC236}">
                  <a16:creationId xmlns:a16="http://schemas.microsoft.com/office/drawing/2014/main" id="{9A908292-C7B1-4791-BBD8-518963E0ECB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8470" name="AddedMember2_2" hidden="1">
              <a:extLst>
                <a:ext uri="{63B3BB69-23CF-44E3-9099-C40C66FF867C}">
                  <a14:compatExt spid="_x0000_s18470"/>
                </a:ext>
                <a:ext uri="{FF2B5EF4-FFF2-40B4-BE49-F238E27FC236}">
                  <a16:creationId xmlns:a16="http://schemas.microsoft.com/office/drawing/2014/main" id="{97BED6E8-E61B-49E8-9567-62609A6AD54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8471" name="ChangeMember2_2" hidden="1">
              <a:extLst>
                <a:ext uri="{63B3BB69-23CF-44E3-9099-C40C66FF867C}">
                  <a14:compatExt spid="_x0000_s18471"/>
                </a:ext>
                <a:ext uri="{FF2B5EF4-FFF2-40B4-BE49-F238E27FC236}">
                  <a16:creationId xmlns:a16="http://schemas.microsoft.com/office/drawing/2014/main" id="{DDAE3ED8-255E-4DD1-B4C2-913C35A0955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8472" name="UpMember2_2" hidden="1">
              <a:extLst>
                <a:ext uri="{63B3BB69-23CF-44E3-9099-C40C66FF867C}">
                  <a14:compatExt spid="_x0000_s18472"/>
                </a:ext>
                <a:ext uri="{FF2B5EF4-FFF2-40B4-BE49-F238E27FC236}">
                  <a16:creationId xmlns:a16="http://schemas.microsoft.com/office/drawing/2014/main" id="{F9103D42-4CB5-4996-8030-BF51FA9E881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8473" name="DownMember2_2" hidden="1">
              <a:extLst>
                <a:ext uri="{63B3BB69-23CF-44E3-9099-C40C66FF867C}">
                  <a14:compatExt spid="_x0000_s18473"/>
                </a:ext>
                <a:ext uri="{FF2B5EF4-FFF2-40B4-BE49-F238E27FC236}">
                  <a16:creationId xmlns:a16="http://schemas.microsoft.com/office/drawing/2014/main" id="{95608E9B-12F7-46D3-88D4-78F6AF12A16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8474" name="AddedMember2_3" hidden="1">
              <a:extLst>
                <a:ext uri="{63B3BB69-23CF-44E3-9099-C40C66FF867C}">
                  <a14:compatExt spid="_x0000_s18474"/>
                </a:ext>
                <a:ext uri="{FF2B5EF4-FFF2-40B4-BE49-F238E27FC236}">
                  <a16:creationId xmlns:a16="http://schemas.microsoft.com/office/drawing/2014/main" id="{74250403-C8C7-44D5-BB64-1B92AEB775D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8475" name="ChangeMember2_3" hidden="1">
              <a:extLst>
                <a:ext uri="{63B3BB69-23CF-44E3-9099-C40C66FF867C}">
                  <a14:compatExt spid="_x0000_s18475"/>
                </a:ext>
                <a:ext uri="{FF2B5EF4-FFF2-40B4-BE49-F238E27FC236}">
                  <a16:creationId xmlns:a16="http://schemas.microsoft.com/office/drawing/2014/main" id="{9B14791D-517B-422D-801B-0D9E4DFAFD5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8476" name="UpMember2_3" hidden="1">
              <a:extLst>
                <a:ext uri="{63B3BB69-23CF-44E3-9099-C40C66FF867C}">
                  <a14:compatExt spid="_x0000_s18476"/>
                </a:ext>
                <a:ext uri="{FF2B5EF4-FFF2-40B4-BE49-F238E27FC236}">
                  <a16:creationId xmlns:a16="http://schemas.microsoft.com/office/drawing/2014/main" id="{BF2CA68E-9F79-455E-AE34-4E5A244E7CF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8477" name="DownMember2_3" hidden="1">
              <a:extLst>
                <a:ext uri="{63B3BB69-23CF-44E3-9099-C40C66FF867C}">
                  <a14:compatExt spid="_x0000_s18477"/>
                </a:ext>
                <a:ext uri="{FF2B5EF4-FFF2-40B4-BE49-F238E27FC236}">
                  <a16:creationId xmlns:a16="http://schemas.microsoft.com/office/drawing/2014/main" id="{491B2544-6B46-4CF7-927A-927296F8296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8478" name="AddedMember2_4" hidden="1">
              <a:extLst>
                <a:ext uri="{63B3BB69-23CF-44E3-9099-C40C66FF867C}">
                  <a14:compatExt spid="_x0000_s18478"/>
                </a:ext>
                <a:ext uri="{FF2B5EF4-FFF2-40B4-BE49-F238E27FC236}">
                  <a16:creationId xmlns:a16="http://schemas.microsoft.com/office/drawing/2014/main" id="{2A52B0F2-F980-4C06-8C94-4DFC9E37FA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8479" name="ChangeMember2_4" hidden="1">
              <a:extLst>
                <a:ext uri="{63B3BB69-23CF-44E3-9099-C40C66FF867C}">
                  <a14:compatExt spid="_x0000_s18479"/>
                </a:ext>
                <a:ext uri="{FF2B5EF4-FFF2-40B4-BE49-F238E27FC236}">
                  <a16:creationId xmlns:a16="http://schemas.microsoft.com/office/drawing/2014/main" id="{DA17DA55-B56E-408C-B5AE-754936282F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8480" name="UpMember2_4" hidden="1">
              <a:extLst>
                <a:ext uri="{63B3BB69-23CF-44E3-9099-C40C66FF867C}">
                  <a14:compatExt spid="_x0000_s18480"/>
                </a:ext>
                <a:ext uri="{FF2B5EF4-FFF2-40B4-BE49-F238E27FC236}">
                  <a16:creationId xmlns:a16="http://schemas.microsoft.com/office/drawing/2014/main" id="{62905CE6-848E-49D2-A160-F3086F0493C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8481" name="DownMember2_4" hidden="1">
              <a:extLst>
                <a:ext uri="{63B3BB69-23CF-44E3-9099-C40C66FF867C}">
                  <a14:compatExt spid="_x0000_s18481"/>
                </a:ext>
                <a:ext uri="{FF2B5EF4-FFF2-40B4-BE49-F238E27FC236}">
                  <a16:creationId xmlns:a16="http://schemas.microsoft.com/office/drawing/2014/main" id="{EBB0C16A-DE69-4E32-8EBE-039DBB86124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8482" name="AddedMember2_5" hidden="1">
              <a:extLst>
                <a:ext uri="{63B3BB69-23CF-44E3-9099-C40C66FF867C}">
                  <a14:compatExt spid="_x0000_s18482"/>
                </a:ext>
                <a:ext uri="{FF2B5EF4-FFF2-40B4-BE49-F238E27FC236}">
                  <a16:creationId xmlns:a16="http://schemas.microsoft.com/office/drawing/2014/main" id="{13F25127-FBBC-4D16-B62B-CDFB73AA63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8483" name="ChangeMember2_5" hidden="1">
              <a:extLst>
                <a:ext uri="{63B3BB69-23CF-44E3-9099-C40C66FF867C}">
                  <a14:compatExt spid="_x0000_s18483"/>
                </a:ext>
                <a:ext uri="{FF2B5EF4-FFF2-40B4-BE49-F238E27FC236}">
                  <a16:creationId xmlns:a16="http://schemas.microsoft.com/office/drawing/2014/main" id="{C8B48F68-E1CA-4D1C-AA78-F58CCB2067F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8484" name="UpMember2_5" hidden="1">
              <a:extLst>
                <a:ext uri="{63B3BB69-23CF-44E3-9099-C40C66FF867C}">
                  <a14:compatExt spid="_x0000_s18484"/>
                </a:ext>
                <a:ext uri="{FF2B5EF4-FFF2-40B4-BE49-F238E27FC236}">
                  <a16:creationId xmlns:a16="http://schemas.microsoft.com/office/drawing/2014/main" id="{C4043433-59E8-42B6-90FD-340B1E75FC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8485" name="DownMember2_5" hidden="1">
              <a:extLst>
                <a:ext uri="{63B3BB69-23CF-44E3-9099-C40C66FF867C}">
                  <a14:compatExt spid="_x0000_s18485"/>
                </a:ext>
                <a:ext uri="{FF2B5EF4-FFF2-40B4-BE49-F238E27FC236}">
                  <a16:creationId xmlns:a16="http://schemas.microsoft.com/office/drawing/2014/main" id="{61CE3F38-9845-44A8-913F-446FB730D04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8486" name="AddedMember2_6" hidden="1">
              <a:extLst>
                <a:ext uri="{63B3BB69-23CF-44E3-9099-C40C66FF867C}">
                  <a14:compatExt spid="_x0000_s18486"/>
                </a:ext>
                <a:ext uri="{FF2B5EF4-FFF2-40B4-BE49-F238E27FC236}">
                  <a16:creationId xmlns:a16="http://schemas.microsoft.com/office/drawing/2014/main" id="{183EC80D-E8F8-4703-B01F-F6AADFB93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8487" name="ChangeMember2_6" hidden="1">
              <a:extLst>
                <a:ext uri="{63B3BB69-23CF-44E3-9099-C40C66FF867C}">
                  <a14:compatExt spid="_x0000_s18487"/>
                </a:ext>
                <a:ext uri="{FF2B5EF4-FFF2-40B4-BE49-F238E27FC236}">
                  <a16:creationId xmlns:a16="http://schemas.microsoft.com/office/drawing/2014/main" id="{919251C0-EBEE-4FC7-8369-1F426D8E3EE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8488" name="UpMember2_6" hidden="1">
              <a:extLst>
                <a:ext uri="{63B3BB69-23CF-44E3-9099-C40C66FF867C}">
                  <a14:compatExt spid="_x0000_s18488"/>
                </a:ext>
                <a:ext uri="{FF2B5EF4-FFF2-40B4-BE49-F238E27FC236}">
                  <a16:creationId xmlns:a16="http://schemas.microsoft.com/office/drawing/2014/main" id="{A27B4139-BA76-4FB4-A37A-1EBC55E9750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8489" name="DownMember2_6" hidden="1">
              <a:extLst>
                <a:ext uri="{63B3BB69-23CF-44E3-9099-C40C66FF867C}">
                  <a14:compatExt spid="_x0000_s18489"/>
                </a:ext>
                <a:ext uri="{FF2B5EF4-FFF2-40B4-BE49-F238E27FC236}">
                  <a16:creationId xmlns:a16="http://schemas.microsoft.com/office/drawing/2014/main" id="{F6368C63-A282-42DE-8151-4D12259E5F0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8490" name="AddedMember2_7" hidden="1">
              <a:extLst>
                <a:ext uri="{63B3BB69-23CF-44E3-9099-C40C66FF867C}">
                  <a14:compatExt spid="_x0000_s18490"/>
                </a:ext>
                <a:ext uri="{FF2B5EF4-FFF2-40B4-BE49-F238E27FC236}">
                  <a16:creationId xmlns:a16="http://schemas.microsoft.com/office/drawing/2014/main" id="{83E5ECE5-7A6D-43BC-A9E7-85258F83ED3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8491" name="ChangeMember2_7" hidden="1">
              <a:extLst>
                <a:ext uri="{63B3BB69-23CF-44E3-9099-C40C66FF867C}">
                  <a14:compatExt spid="_x0000_s18491"/>
                </a:ext>
                <a:ext uri="{FF2B5EF4-FFF2-40B4-BE49-F238E27FC236}">
                  <a16:creationId xmlns:a16="http://schemas.microsoft.com/office/drawing/2014/main" id="{6D0405E9-DD1C-4DC1-9355-33FC40F4EDD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8492" name="UpMember2_7" hidden="1">
              <a:extLst>
                <a:ext uri="{63B3BB69-23CF-44E3-9099-C40C66FF867C}">
                  <a14:compatExt spid="_x0000_s18492"/>
                </a:ext>
                <a:ext uri="{FF2B5EF4-FFF2-40B4-BE49-F238E27FC236}">
                  <a16:creationId xmlns:a16="http://schemas.microsoft.com/office/drawing/2014/main" id="{DF870CCC-C380-4228-BA48-AE06942BE94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8493" name="DownMember2_7" hidden="1">
              <a:extLst>
                <a:ext uri="{63B3BB69-23CF-44E3-9099-C40C66FF867C}">
                  <a14:compatExt spid="_x0000_s18493"/>
                </a:ext>
                <a:ext uri="{FF2B5EF4-FFF2-40B4-BE49-F238E27FC236}">
                  <a16:creationId xmlns:a16="http://schemas.microsoft.com/office/drawing/2014/main" id="{D7979B19-75DE-4766-9131-93C8ED679B1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8494" name="AddedMember1_1" hidden="1">
              <a:extLst>
                <a:ext uri="{63B3BB69-23CF-44E3-9099-C40C66FF867C}">
                  <a14:compatExt spid="_x0000_s18494"/>
                </a:ext>
                <a:ext uri="{FF2B5EF4-FFF2-40B4-BE49-F238E27FC236}">
                  <a16:creationId xmlns:a16="http://schemas.microsoft.com/office/drawing/2014/main" id="{E7EA0695-8D9E-4061-9A2B-9A6534AB4E3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8495" name="ChangeMember1_1" hidden="1">
              <a:extLst>
                <a:ext uri="{63B3BB69-23CF-44E3-9099-C40C66FF867C}">
                  <a14:compatExt spid="_x0000_s18495"/>
                </a:ext>
                <a:ext uri="{FF2B5EF4-FFF2-40B4-BE49-F238E27FC236}">
                  <a16:creationId xmlns:a16="http://schemas.microsoft.com/office/drawing/2014/main" id="{AFCDBE59-81DD-4404-92C0-9898C3C96E5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8496" name="UpMember1_1" hidden="1">
              <a:extLst>
                <a:ext uri="{63B3BB69-23CF-44E3-9099-C40C66FF867C}">
                  <a14:compatExt spid="_x0000_s18496"/>
                </a:ext>
                <a:ext uri="{FF2B5EF4-FFF2-40B4-BE49-F238E27FC236}">
                  <a16:creationId xmlns:a16="http://schemas.microsoft.com/office/drawing/2014/main" id="{0E044E37-A144-4589-ADAA-72F6290F782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8497" name="DownMember1_1" hidden="1">
              <a:extLst>
                <a:ext uri="{63B3BB69-23CF-44E3-9099-C40C66FF867C}">
                  <a14:compatExt spid="_x0000_s18497"/>
                </a:ext>
                <a:ext uri="{FF2B5EF4-FFF2-40B4-BE49-F238E27FC236}">
                  <a16:creationId xmlns:a16="http://schemas.microsoft.com/office/drawing/2014/main" id="{1025DE5F-3FFE-4FC8-B338-49E90858724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8498" name="AddedMember1_2" hidden="1">
              <a:extLst>
                <a:ext uri="{63B3BB69-23CF-44E3-9099-C40C66FF867C}">
                  <a14:compatExt spid="_x0000_s18498"/>
                </a:ext>
                <a:ext uri="{FF2B5EF4-FFF2-40B4-BE49-F238E27FC236}">
                  <a16:creationId xmlns:a16="http://schemas.microsoft.com/office/drawing/2014/main" id="{AA0ED436-52AD-49FA-82DE-9157E94C5C8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8499" name="ChangeMember1_2" hidden="1">
              <a:extLst>
                <a:ext uri="{63B3BB69-23CF-44E3-9099-C40C66FF867C}">
                  <a14:compatExt spid="_x0000_s18499"/>
                </a:ext>
                <a:ext uri="{FF2B5EF4-FFF2-40B4-BE49-F238E27FC236}">
                  <a16:creationId xmlns:a16="http://schemas.microsoft.com/office/drawing/2014/main" id="{C6E45E2B-F728-4EE4-BF68-CEDA28A59F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8500" name="UpMember1_2" hidden="1">
              <a:extLst>
                <a:ext uri="{63B3BB69-23CF-44E3-9099-C40C66FF867C}">
                  <a14:compatExt spid="_x0000_s18500"/>
                </a:ext>
                <a:ext uri="{FF2B5EF4-FFF2-40B4-BE49-F238E27FC236}">
                  <a16:creationId xmlns:a16="http://schemas.microsoft.com/office/drawing/2014/main" id="{C9E1E346-6394-46FA-A229-A612D999900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8501" name="DownMember1_2" hidden="1">
              <a:extLst>
                <a:ext uri="{63B3BB69-23CF-44E3-9099-C40C66FF867C}">
                  <a14:compatExt spid="_x0000_s18501"/>
                </a:ext>
                <a:ext uri="{FF2B5EF4-FFF2-40B4-BE49-F238E27FC236}">
                  <a16:creationId xmlns:a16="http://schemas.microsoft.com/office/drawing/2014/main" id="{448BE6FD-7F13-4410-9C2C-E8683F805FE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21771</xdr:rowOff>
        </xdr:from>
        <xdr:to>
          <xdr:col>5</xdr:col>
          <xdr:colOff>5443</xdr:colOff>
          <xdr:row>5</xdr:row>
          <xdr:rowOff>114300</xdr:rowOff>
        </xdr:to>
        <xdr:sp macro="" textlink="">
          <xdr:nvSpPr>
            <xdr:cNvPr id="16385" name="RunUpgradeTest"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21771</xdr:rowOff>
        </xdr:from>
        <xdr:to>
          <xdr:col>8</xdr:col>
          <xdr:colOff>533400</xdr:colOff>
          <xdr:row>3</xdr:row>
          <xdr:rowOff>125186</xdr:rowOff>
        </xdr:to>
        <xdr:sp macro="" textlink="">
          <xdr:nvSpPr>
            <xdr:cNvPr id="16386" name="ResetStatus"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ustomProperty" Target="../customProperty3.bin"/><Relationship Id="rId7" Type="http://schemas.openxmlformats.org/officeDocument/2006/relationships/image" Target="../media/image4.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22.emf"/><Relationship Id="rId21" Type="http://schemas.openxmlformats.org/officeDocument/2006/relationships/image" Target="../media/image13.emf"/><Relationship Id="rId34" Type="http://schemas.openxmlformats.org/officeDocument/2006/relationships/control" Target="../activeX/activeX19.xml"/><Relationship Id="rId42" Type="http://schemas.openxmlformats.org/officeDocument/2006/relationships/control" Target="../activeX/activeX23.xml"/><Relationship Id="rId7" Type="http://schemas.openxmlformats.org/officeDocument/2006/relationships/image" Target="../media/image6.png"/><Relationship Id="rId2" Type="http://schemas.openxmlformats.org/officeDocument/2006/relationships/customProperty" Target="../customProperty4.bin"/><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7.emf"/><Relationship Id="rId41" Type="http://schemas.openxmlformats.org/officeDocument/2006/relationships/image" Target="../media/image23.emf"/><Relationship Id="rId1" Type="http://schemas.openxmlformats.org/officeDocument/2006/relationships/printerSettings" Target="../printerSettings/printerSettings3.bin"/><Relationship Id="rId6" Type="http://schemas.openxmlformats.org/officeDocument/2006/relationships/vmlDrawing" Target="../drawings/vmlDrawing3.vml"/><Relationship Id="rId11" Type="http://schemas.openxmlformats.org/officeDocument/2006/relationships/image" Target="../media/image8.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21.emf"/><Relationship Id="rId40" Type="http://schemas.openxmlformats.org/officeDocument/2006/relationships/control" Target="../activeX/activeX22.xml"/><Relationship Id="rId5" Type="http://schemas.openxmlformats.org/officeDocument/2006/relationships/drawing" Target="../drawings/drawing3.x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12.emf"/><Relationship Id="rId31" Type="http://schemas.openxmlformats.org/officeDocument/2006/relationships/image" Target="../media/image18.emf"/><Relationship Id="rId44" Type="http://schemas.openxmlformats.org/officeDocument/2006/relationships/comments" Target="../comments2.xml"/><Relationship Id="rId4" Type="http://schemas.openxmlformats.org/officeDocument/2006/relationships/customProperty" Target="../customProperty6.bin"/><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6.emf"/><Relationship Id="rId30" Type="http://schemas.openxmlformats.org/officeDocument/2006/relationships/control" Target="../activeX/activeX17.xml"/><Relationship Id="rId35" Type="http://schemas.openxmlformats.org/officeDocument/2006/relationships/image" Target="../media/image20.emf"/><Relationship Id="rId43" Type="http://schemas.openxmlformats.org/officeDocument/2006/relationships/image" Target="../media/image24.emf"/><Relationship Id="rId8" Type="http://schemas.openxmlformats.org/officeDocument/2006/relationships/control" Target="../activeX/activeX6.xml"/><Relationship Id="rId3" Type="http://schemas.openxmlformats.org/officeDocument/2006/relationships/customProperty" Target="../customProperty5.bin"/><Relationship Id="rId12" Type="http://schemas.openxmlformats.org/officeDocument/2006/relationships/control" Target="../activeX/activeX8.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111-FE5F-4298-AA42-EDADEB33BC2D}">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66" t="s">
        <v>35</v>
      </c>
      <c r="C1" s="66"/>
      <c r="D1" s="66"/>
      <c r="E1" s="66"/>
      <c r="F1" s="66"/>
      <c r="G1" s="66"/>
      <c r="H1" s="66"/>
      <c r="I1" s="66"/>
      <c r="J1" s="66"/>
      <c r="K1" s="66"/>
      <c r="L1" s="66"/>
    </row>
    <row r="2" spans="1:17" ht="15.75" customHeight="1" x14ac:dyDescent="0.4">
      <c r="A2" s="28" t="s">
        <v>0</v>
      </c>
      <c r="B2" s="2"/>
      <c r="C2" s="2"/>
      <c r="D2" s="2"/>
      <c r="E2" s="2"/>
      <c r="G2" s="2"/>
      <c r="H2" s="2"/>
      <c r="I2" s="2"/>
      <c r="J2" s="85"/>
      <c r="K2" s="2"/>
      <c r="L2" s="2"/>
    </row>
    <row r="3" spans="1:17" ht="15.75" customHeight="1" x14ac:dyDescent="0.4">
      <c r="A3" s="2"/>
      <c r="B3" s="3" t="s">
        <v>1</v>
      </c>
      <c r="C3" s="2"/>
      <c r="D3" s="2"/>
      <c r="E3" s="2"/>
      <c r="F3" s="85"/>
      <c r="G3" s="2"/>
      <c r="H3" s="2"/>
      <c r="I3" s="2"/>
      <c r="J3" s="85"/>
      <c r="K3" s="2"/>
      <c r="L3" s="2"/>
    </row>
    <row r="4" spans="1:17" ht="18" customHeight="1" thickBot="1" x14ac:dyDescent="0.45">
      <c r="A4" s="2"/>
      <c r="B4" s="2"/>
      <c r="C4" s="2"/>
      <c r="D4" s="2"/>
      <c r="E4" s="2"/>
      <c r="F4" s="85"/>
      <c r="G4" s="2"/>
      <c r="H4" s="2"/>
      <c r="I4" s="2"/>
      <c r="J4" s="85"/>
      <c r="K4" s="2"/>
      <c r="L4" s="2"/>
    </row>
    <row r="5" spans="1:17" ht="28.4" customHeight="1" x14ac:dyDescent="0.35">
      <c r="A5" s="2"/>
      <c r="B5" s="67" t="s">
        <v>2</v>
      </c>
      <c r="C5" s="68"/>
      <c r="D5" s="68"/>
      <c r="E5" s="68"/>
      <c r="F5" s="68"/>
      <c r="G5" s="68"/>
      <c r="H5" s="68"/>
      <c r="I5" s="68"/>
      <c r="J5" s="68"/>
      <c r="K5" s="68"/>
      <c r="L5" s="69"/>
      <c r="Q5" s="16" t="s">
        <v>3</v>
      </c>
    </row>
    <row r="6" spans="1:17" ht="28.4" customHeight="1" thickBot="1" x14ac:dyDescent="0.4">
      <c r="A6" s="2"/>
      <c r="B6" s="70"/>
      <c r="C6" s="71"/>
      <c r="D6" s="71"/>
      <c r="E6" s="71"/>
      <c r="F6" s="71"/>
      <c r="G6" s="71"/>
      <c r="H6" s="71"/>
      <c r="I6" s="71"/>
      <c r="J6" s="71"/>
      <c r="K6" s="71"/>
      <c r="L6" s="72"/>
      <c r="Q6" s="17" t="s">
        <v>4</v>
      </c>
    </row>
    <row r="7" spans="1:17" ht="21.9" customHeight="1" x14ac:dyDescent="0.4">
      <c r="A7" s="2"/>
      <c r="B7" s="73" t="s">
        <v>5</v>
      </c>
      <c r="C7" s="14"/>
      <c r="D7" s="14"/>
      <c r="E7" s="14"/>
      <c r="F7" s="86"/>
      <c r="G7" s="14"/>
      <c r="H7" s="14"/>
      <c r="I7" s="14"/>
      <c r="J7" s="86"/>
      <c r="K7" s="14"/>
      <c r="L7" s="15"/>
      <c r="Q7" s="65" t="s">
        <v>36</v>
      </c>
    </row>
    <row r="8" spans="1:17" ht="18" customHeight="1" x14ac:dyDescent="0.4">
      <c r="A8" s="2"/>
      <c r="B8" s="49"/>
      <c r="C8" s="2"/>
      <c r="D8" s="2"/>
      <c r="E8" s="2"/>
      <c r="F8" s="85"/>
      <c r="G8" s="2"/>
      <c r="H8" s="2"/>
      <c r="I8" s="2"/>
      <c r="J8" s="85"/>
      <c r="K8" s="2"/>
      <c r="L8" s="10"/>
      <c r="Q8" s="65"/>
    </row>
    <row r="9" spans="1:17" ht="17.149999999999999" customHeight="1" x14ac:dyDescent="0.35">
      <c r="A9" s="2"/>
      <c r="B9" s="49"/>
      <c r="C9" s="5"/>
      <c r="D9" s="6"/>
      <c r="E9" s="51" t="s">
        <v>6</v>
      </c>
      <c r="F9" s="52"/>
      <c r="G9" s="53"/>
      <c r="H9" s="4" t="s">
        <v>7</v>
      </c>
      <c r="I9" s="51" t="s">
        <v>8</v>
      </c>
      <c r="J9" s="52"/>
      <c r="K9" s="53"/>
      <c r="L9" s="11" t="s">
        <v>7</v>
      </c>
      <c r="Q9" s="65"/>
    </row>
    <row r="10" spans="1:17" ht="5.15" customHeight="1" x14ac:dyDescent="0.4">
      <c r="A10" s="2"/>
      <c r="B10" s="49"/>
      <c r="C10" s="54"/>
      <c r="D10" s="2"/>
      <c r="E10" s="12"/>
      <c r="F10" s="87"/>
      <c r="G10" s="12"/>
      <c r="H10" s="8"/>
      <c r="I10" s="12"/>
      <c r="J10" s="87"/>
      <c r="K10" s="12"/>
      <c r="L10" s="10"/>
      <c r="Q10" s="65"/>
    </row>
    <row r="11" spans="1:17" ht="15.9" customHeight="1" x14ac:dyDescent="0.35">
      <c r="A11" s="2"/>
      <c r="B11" s="49"/>
      <c r="C11" s="55"/>
      <c r="D11" s="30" t="s">
        <v>9</v>
      </c>
      <c r="E11" s="12"/>
      <c r="F11" s="24">
        <v>10000</v>
      </c>
      <c r="G11" s="12"/>
      <c r="H11" s="31" t="s">
        <v>21</v>
      </c>
      <c r="I11" s="12"/>
      <c r="J11" s="88" t="s">
        <v>11</v>
      </c>
      <c r="K11" s="12"/>
      <c r="L11" s="13" t="s">
        <v>10</v>
      </c>
      <c r="Q11" s="65"/>
    </row>
    <row r="12" spans="1:17" ht="5.15" customHeight="1" thickBot="1" x14ac:dyDescent="0.45">
      <c r="A12" s="2"/>
      <c r="B12" s="50"/>
      <c r="C12" s="57"/>
      <c r="D12" s="32"/>
      <c r="E12" s="33"/>
      <c r="F12" s="89"/>
      <c r="G12" s="33"/>
      <c r="H12" s="34"/>
      <c r="I12" s="33"/>
      <c r="J12" s="89"/>
      <c r="K12" s="33"/>
      <c r="L12" s="35"/>
      <c r="Q12" s="65"/>
    </row>
    <row r="13" spans="1:17" ht="21.9" customHeight="1" x14ac:dyDescent="0.4">
      <c r="A13" s="2"/>
      <c r="B13" s="49" t="s">
        <v>12</v>
      </c>
      <c r="C13" s="2"/>
      <c r="D13" s="2"/>
      <c r="E13" s="2"/>
      <c r="F13" s="85"/>
      <c r="G13" s="2"/>
      <c r="H13" s="2"/>
      <c r="I13" s="2"/>
      <c r="J13" s="85"/>
      <c r="K13" s="2"/>
      <c r="L13" s="10"/>
      <c r="Q13" s="65"/>
    </row>
    <row r="14" spans="1:17" ht="18" customHeight="1" x14ac:dyDescent="0.4">
      <c r="A14" s="2"/>
      <c r="B14" s="49"/>
      <c r="C14" s="2"/>
      <c r="D14" s="2"/>
      <c r="E14" s="2"/>
      <c r="F14" s="85"/>
      <c r="G14" s="2"/>
      <c r="H14" s="2"/>
      <c r="I14" s="2"/>
      <c r="J14" s="85"/>
      <c r="K14" s="2"/>
      <c r="L14" s="10"/>
      <c r="Q14" s="65"/>
    </row>
    <row r="15" spans="1:17" ht="17.149999999999999" customHeight="1" x14ac:dyDescent="0.35">
      <c r="A15" s="2"/>
      <c r="B15" s="49"/>
      <c r="C15" s="5"/>
      <c r="D15" s="6"/>
      <c r="E15" s="51" t="s">
        <v>6</v>
      </c>
      <c r="F15" s="52"/>
      <c r="G15" s="53"/>
      <c r="H15" s="4" t="s">
        <v>7</v>
      </c>
      <c r="I15" s="51" t="s">
        <v>8</v>
      </c>
      <c r="J15" s="52"/>
      <c r="K15" s="53"/>
      <c r="L15" s="11" t="s">
        <v>7</v>
      </c>
      <c r="Q15" s="65"/>
    </row>
    <row r="16" spans="1:17" ht="5.15" customHeight="1" x14ac:dyDescent="0.4">
      <c r="A16" s="2"/>
      <c r="B16" s="49"/>
      <c r="C16" s="54"/>
      <c r="D16" s="2"/>
      <c r="E16" s="12"/>
      <c r="F16" s="87"/>
      <c r="G16" s="12"/>
      <c r="H16" s="8"/>
      <c r="I16" s="12"/>
      <c r="J16" s="87"/>
      <c r="K16" s="12"/>
      <c r="L16" s="10"/>
      <c r="Q16" s="65"/>
    </row>
    <row r="17" spans="1:17" ht="15.9" customHeight="1" x14ac:dyDescent="0.35">
      <c r="A17" s="2"/>
      <c r="B17" s="49"/>
      <c r="C17" s="55"/>
      <c r="D17" s="30" t="s">
        <v>9</v>
      </c>
      <c r="E17" s="12"/>
      <c r="F17" s="24">
        <v>10000</v>
      </c>
      <c r="G17" s="12"/>
      <c r="H17" s="31" t="s">
        <v>10</v>
      </c>
      <c r="I17" s="12"/>
      <c r="J17" s="21" t="s">
        <v>11</v>
      </c>
      <c r="K17" s="12"/>
      <c r="L17" s="13" t="s">
        <v>10</v>
      </c>
      <c r="Q17" s="65"/>
    </row>
    <row r="18" spans="1:17" ht="5.15" customHeight="1" thickBot="1" x14ac:dyDescent="0.45">
      <c r="A18" s="2"/>
      <c r="B18" s="50"/>
      <c r="C18" s="57"/>
      <c r="D18" s="32"/>
      <c r="E18" s="33"/>
      <c r="F18" s="89"/>
      <c r="G18" s="33"/>
      <c r="H18" s="34"/>
      <c r="I18" s="33"/>
      <c r="J18" s="89"/>
      <c r="K18" s="33"/>
      <c r="L18" s="35"/>
      <c r="Q18" s="65"/>
    </row>
    <row r="19" spans="1:17" ht="9" customHeight="1" x14ac:dyDescent="0.4">
      <c r="A19" s="2"/>
      <c r="B19" s="2"/>
      <c r="C19" s="2"/>
      <c r="D19" s="2"/>
      <c r="E19" s="2"/>
      <c r="F19" s="85"/>
      <c r="G19" s="2"/>
      <c r="H19" s="2"/>
      <c r="I19" s="2"/>
      <c r="J19" s="85"/>
      <c r="K19" s="2"/>
      <c r="L19" s="2"/>
      <c r="Q19" s="65"/>
    </row>
    <row r="20" spans="1:17" ht="24.65" customHeight="1" x14ac:dyDescent="0.4">
      <c r="A20" s="2"/>
      <c r="B20" s="2"/>
      <c r="C20" s="2"/>
      <c r="D20" s="2"/>
      <c r="E20" s="2"/>
      <c r="F20" s="85"/>
      <c r="G20" s="2"/>
      <c r="H20" s="2"/>
      <c r="I20" s="2"/>
      <c r="J20" s="85"/>
      <c r="K20" s="2"/>
      <c r="L20" s="2"/>
      <c r="Q20" s="18"/>
    </row>
    <row r="21" spans="1:17" ht="15" customHeight="1" thickBot="1" x14ac:dyDescent="0.45">
      <c r="A21" s="2"/>
      <c r="B21" s="2"/>
      <c r="C21" s="2"/>
      <c r="D21" s="2"/>
      <c r="E21" s="2"/>
      <c r="F21" s="85"/>
      <c r="G21" s="2"/>
      <c r="H21" s="2"/>
      <c r="I21" s="2"/>
      <c r="J21" s="85"/>
      <c r="K21" s="2"/>
      <c r="L21" s="2"/>
      <c r="Q21" s="19" t="s">
        <v>13</v>
      </c>
    </row>
    <row r="22" spans="1:17" ht="28.4" customHeight="1" x14ac:dyDescent="0.35">
      <c r="A22" s="2"/>
      <c r="B22" s="58" t="s">
        <v>14</v>
      </c>
      <c r="C22" s="59"/>
      <c r="D22" s="59"/>
      <c r="E22" s="59"/>
      <c r="F22" s="59"/>
      <c r="G22" s="59"/>
      <c r="H22" s="59"/>
      <c r="I22" s="59"/>
      <c r="J22" s="59"/>
      <c r="K22" s="59"/>
      <c r="L22" s="60"/>
      <c r="Q22" s="65" t="s">
        <v>15</v>
      </c>
    </row>
    <row r="23" spans="1:17" ht="28.4" customHeight="1" x14ac:dyDescent="0.35">
      <c r="A23" s="2"/>
      <c r="B23" s="61"/>
      <c r="C23" s="62"/>
      <c r="D23" s="62"/>
      <c r="E23" s="62"/>
      <c r="F23" s="62"/>
      <c r="G23" s="62"/>
      <c r="H23" s="62"/>
      <c r="I23" s="62"/>
      <c r="J23" s="62"/>
      <c r="K23" s="62"/>
      <c r="L23" s="63"/>
      <c r="Q23" s="65"/>
    </row>
    <row r="24" spans="1:17" ht="18" customHeight="1" x14ac:dyDescent="0.4">
      <c r="A24" s="2"/>
      <c r="B24" s="48" t="s">
        <v>12</v>
      </c>
      <c r="C24" s="2"/>
      <c r="D24" s="2"/>
      <c r="E24" s="2"/>
      <c r="F24" s="85"/>
      <c r="G24" s="2"/>
      <c r="H24" s="2"/>
      <c r="I24" s="2"/>
      <c r="J24" s="85"/>
      <c r="K24" s="2"/>
      <c r="L24" s="10"/>
      <c r="Q24" s="65"/>
    </row>
    <row r="25" spans="1:17" ht="17.149999999999999" customHeight="1" x14ac:dyDescent="0.35">
      <c r="A25" s="2"/>
      <c r="B25" s="49"/>
      <c r="C25" s="5"/>
      <c r="D25" s="6"/>
      <c r="E25" s="51" t="s">
        <v>6</v>
      </c>
      <c r="F25" s="52"/>
      <c r="G25" s="53"/>
      <c r="H25" s="4" t="s">
        <v>7</v>
      </c>
      <c r="I25" s="51" t="s">
        <v>8</v>
      </c>
      <c r="J25" s="52"/>
      <c r="K25" s="53"/>
      <c r="L25" s="11" t="s">
        <v>7</v>
      </c>
      <c r="Q25" s="65"/>
    </row>
    <row r="26" spans="1:17" ht="5.15" customHeight="1" x14ac:dyDescent="0.4">
      <c r="A26" s="2"/>
      <c r="B26" s="49"/>
      <c r="C26" s="55"/>
      <c r="D26" s="2"/>
      <c r="E26" s="12"/>
      <c r="F26" s="87"/>
      <c r="G26" s="12"/>
      <c r="H26" s="9"/>
      <c r="I26" s="12"/>
      <c r="J26" s="87"/>
      <c r="K26" s="12"/>
      <c r="L26" s="10"/>
      <c r="Q26" s="65"/>
    </row>
    <row r="27" spans="1:17" ht="15.9" customHeight="1" x14ac:dyDescent="0.35">
      <c r="A27" s="2"/>
      <c r="B27" s="49"/>
      <c r="C27" s="55"/>
      <c r="D27" s="30" t="s">
        <v>16</v>
      </c>
      <c r="E27" s="12"/>
      <c r="F27" s="24">
        <v>10000</v>
      </c>
      <c r="G27" s="12"/>
      <c r="H27" s="31" t="s">
        <v>10</v>
      </c>
      <c r="I27" s="12"/>
      <c r="J27" s="90" t="s">
        <v>11</v>
      </c>
      <c r="K27" s="12"/>
      <c r="L27" s="13" t="s">
        <v>10</v>
      </c>
      <c r="Q27" s="65"/>
    </row>
    <row r="28" spans="1:17" ht="5.15" customHeight="1" x14ac:dyDescent="0.4">
      <c r="A28" s="2"/>
      <c r="B28" s="49"/>
      <c r="C28" s="56"/>
      <c r="D28" s="46"/>
      <c r="E28" s="7"/>
      <c r="F28" s="91"/>
      <c r="G28" s="7"/>
      <c r="H28" s="6"/>
      <c r="I28" s="7"/>
      <c r="J28" s="91"/>
      <c r="K28" s="7"/>
      <c r="L28" s="47"/>
      <c r="Q28" s="65"/>
    </row>
    <row r="29" spans="1:17" ht="5.15" customHeight="1" x14ac:dyDescent="0.4">
      <c r="A29" s="2"/>
      <c r="B29" s="49"/>
      <c r="C29" s="55"/>
      <c r="D29" s="2"/>
      <c r="E29" s="12"/>
      <c r="F29" s="87"/>
      <c r="G29" s="12"/>
      <c r="H29" s="9"/>
      <c r="I29" s="12"/>
      <c r="J29" s="87"/>
      <c r="K29" s="12"/>
      <c r="L29" s="10"/>
      <c r="Q29" s="65"/>
    </row>
    <row r="30" spans="1:17" ht="15.9" customHeight="1" x14ac:dyDescent="0.4">
      <c r="A30" s="2"/>
      <c r="B30" s="49"/>
      <c r="C30" s="55"/>
      <c r="D30" s="30" t="s">
        <v>17</v>
      </c>
      <c r="E30" s="12"/>
      <c r="F30" s="92">
        <v>10000</v>
      </c>
      <c r="G30" s="12"/>
      <c r="H30" s="31" t="s">
        <v>10</v>
      </c>
      <c r="I30" s="12"/>
      <c r="J30" s="90" t="s">
        <v>11</v>
      </c>
      <c r="K30" s="12"/>
      <c r="L30" s="13" t="s">
        <v>21</v>
      </c>
      <c r="Q30" s="20"/>
    </row>
    <row r="31" spans="1:17" ht="5.15" customHeight="1" x14ac:dyDescent="0.4">
      <c r="A31" s="2"/>
      <c r="B31" s="49"/>
      <c r="C31" s="56"/>
      <c r="D31" s="46"/>
      <c r="E31" s="7"/>
      <c r="F31" s="91"/>
      <c r="G31" s="7"/>
      <c r="H31" s="6"/>
      <c r="I31" s="7"/>
      <c r="J31" s="91"/>
      <c r="K31" s="7"/>
      <c r="L31" s="47"/>
    </row>
    <row r="32" spans="1:17" ht="5.15" customHeight="1" x14ac:dyDescent="0.4">
      <c r="A32" s="2"/>
      <c r="B32" s="49"/>
      <c r="C32" s="55"/>
      <c r="D32" s="2"/>
      <c r="E32" s="12"/>
      <c r="F32" s="87"/>
      <c r="G32" s="12"/>
      <c r="H32" s="9"/>
      <c r="I32" s="12"/>
      <c r="J32" s="87"/>
      <c r="K32" s="12"/>
      <c r="L32" s="10"/>
    </row>
    <row r="33" spans="1:12" ht="15.9" customHeight="1" x14ac:dyDescent="0.35">
      <c r="A33" s="2"/>
      <c r="B33" s="49"/>
      <c r="C33" s="55"/>
      <c r="D33" s="30" t="s">
        <v>18</v>
      </c>
      <c r="E33" s="12"/>
      <c r="F33" s="24">
        <v>10000</v>
      </c>
      <c r="G33" s="12"/>
      <c r="H33" s="31" t="s">
        <v>10</v>
      </c>
      <c r="I33" s="12"/>
      <c r="J33" s="90" t="s">
        <v>11</v>
      </c>
      <c r="K33" s="12"/>
      <c r="L33" s="13" t="s">
        <v>10</v>
      </c>
    </row>
    <row r="34" spans="1:12" ht="5.15" customHeight="1" x14ac:dyDescent="0.4">
      <c r="A34" s="2"/>
      <c r="B34" s="49"/>
      <c r="C34" s="56"/>
      <c r="D34" s="46"/>
      <c r="E34" s="7"/>
      <c r="F34" s="91"/>
      <c r="G34" s="7"/>
      <c r="H34" s="6"/>
      <c r="I34" s="7"/>
      <c r="J34" s="91"/>
      <c r="K34" s="7"/>
      <c r="L34" s="47"/>
    </row>
    <row r="35" spans="1:12" ht="5.15" customHeight="1" x14ac:dyDescent="0.4">
      <c r="A35" s="2"/>
      <c r="B35" s="49"/>
      <c r="C35" s="55"/>
      <c r="D35" s="2"/>
      <c r="E35" s="12"/>
      <c r="F35" s="87"/>
      <c r="G35" s="12"/>
      <c r="H35" s="9"/>
      <c r="I35" s="12"/>
      <c r="J35" s="87"/>
      <c r="K35" s="12"/>
      <c r="L35" s="10"/>
    </row>
    <row r="36" spans="1:12" ht="15.9" customHeight="1" x14ac:dyDescent="0.35">
      <c r="A36" s="2"/>
      <c r="B36" s="49"/>
      <c r="C36" s="55"/>
      <c r="D36" s="30" t="s">
        <v>19</v>
      </c>
      <c r="E36" s="12"/>
      <c r="F36" s="93">
        <v>10000</v>
      </c>
      <c r="G36" s="12"/>
      <c r="H36" s="31" t="s">
        <v>22</v>
      </c>
      <c r="I36" s="12"/>
      <c r="J36" s="90" t="s">
        <v>11</v>
      </c>
      <c r="K36" s="12"/>
      <c r="L36" s="13" t="s">
        <v>21</v>
      </c>
    </row>
    <row r="37" spans="1:12" ht="5.15" customHeight="1" x14ac:dyDescent="0.4">
      <c r="A37" s="2"/>
      <c r="B37" s="49"/>
      <c r="C37" s="56"/>
      <c r="D37" s="46"/>
      <c r="E37" s="7"/>
      <c r="F37" s="91"/>
      <c r="G37" s="7"/>
      <c r="H37" s="6"/>
      <c r="I37" s="7"/>
      <c r="J37" s="91"/>
      <c r="K37" s="7"/>
      <c r="L37" s="47"/>
    </row>
    <row r="38" spans="1:12" ht="5.15" customHeight="1" x14ac:dyDescent="0.4">
      <c r="A38" s="2"/>
      <c r="B38" s="49"/>
      <c r="C38" s="55"/>
      <c r="D38" s="2"/>
      <c r="E38" s="12"/>
      <c r="F38" s="87"/>
      <c r="G38" s="12"/>
      <c r="H38" s="9"/>
      <c r="I38" s="12"/>
      <c r="J38" s="87"/>
      <c r="K38" s="12"/>
      <c r="L38" s="10"/>
    </row>
    <row r="39" spans="1:12" ht="15.9" customHeight="1" x14ac:dyDescent="0.4">
      <c r="A39" s="2"/>
      <c r="B39" s="49"/>
      <c r="C39" s="55"/>
      <c r="D39" s="30" t="s">
        <v>20</v>
      </c>
      <c r="E39" s="12"/>
      <c r="F39" s="87"/>
      <c r="G39" s="12"/>
      <c r="H39" s="9"/>
      <c r="I39" s="12"/>
      <c r="J39" s="87"/>
      <c r="K39" s="12"/>
      <c r="L39" s="10"/>
    </row>
    <row r="40" spans="1:12" ht="5.15" customHeight="1" x14ac:dyDescent="0.4">
      <c r="A40" s="2"/>
      <c r="B40" s="49"/>
      <c r="C40" s="44"/>
      <c r="D40" s="30"/>
      <c r="E40" s="12"/>
      <c r="F40" s="87"/>
      <c r="G40" s="12"/>
      <c r="H40" s="9"/>
      <c r="I40" s="12"/>
      <c r="J40" s="87"/>
      <c r="K40" s="12"/>
      <c r="L40" s="10"/>
    </row>
    <row r="41" spans="1:12" ht="15.9" customHeight="1" x14ac:dyDescent="0.35">
      <c r="A41" s="2"/>
      <c r="B41" s="49"/>
      <c r="C41" s="44"/>
      <c r="D41" s="26" t="s">
        <v>23</v>
      </c>
      <c r="E41" s="12"/>
      <c r="F41" s="94">
        <v>10000</v>
      </c>
      <c r="G41" s="12"/>
      <c r="H41" s="31" t="s">
        <v>24</v>
      </c>
      <c r="I41" s="12"/>
      <c r="J41" s="95" t="s">
        <v>11</v>
      </c>
      <c r="K41" s="12"/>
      <c r="L41" s="13" t="s">
        <v>24</v>
      </c>
    </row>
    <row r="42" spans="1:12" ht="5.15" customHeight="1" x14ac:dyDescent="0.4">
      <c r="A42" s="2"/>
      <c r="B42" s="49"/>
      <c r="C42" s="44"/>
      <c r="D42" s="25"/>
      <c r="E42" s="7"/>
      <c r="F42" s="91"/>
      <c r="G42" s="7"/>
      <c r="H42" s="6"/>
      <c r="I42" s="7"/>
      <c r="J42" s="91"/>
      <c r="K42" s="7"/>
      <c r="L42" s="47"/>
    </row>
    <row r="43" spans="1:12" ht="5.15" customHeight="1" x14ac:dyDescent="0.4">
      <c r="A43" s="2"/>
      <c r="B43" s="49"/>
      <c r="C43" s="44"/>
      <c r="D43" s="30"/>
      <c r="E43" s="12"/>
      <c r="F43" s="87"/>
      <c r="G43" s="12"/>
      <c r="H43" s="9"/>
      <c r="I43" s="12"/>
      <c r="J43" s="87"/>
      <c r="K43" s="12"/>
      <c r="L43" s="10"/>
    </row>
    <row r="44" spans="1:12" ht="15.9" customHeight="1" x14ac:dyDescent="0.35">
      <c r="A44" s="2"/>
      <c r="B44" s="49"/>
      <c r="C44" s="44"/>
      <c r="D44" s="96" t="s">
        <v>37</v>
      </c>
      <c r="E44" s="12"/>
      <c r="F44" s="97">
        <v>10000</v>
      </c>
      <c r="G44" s="12"/>
      <c r="H44" s="31" t="s">
        <v>38</v>
      </c>
      <c r="I44" s="12"/>
      <c r="J44" s="90" t="s">
        <v>11</v>
      </c>
      <c r="K44" s="12"/>
      <c r="L44" s="13" t="s">
        <v>21</v>
      </c>
    </row>
    <row r="45" spans="1:12" ht="5.15" customHeight="1" x14ac:dyDescent="0.4">
      <c r="A45" s="2"/>
      <c r="B45" s="49"/>
      <c r="C45" s="44"/>
      <c r="D45" s="25"/>
      <c r="E45" s="7"/>
      <c r="F45" s="91"/>
      <c r="G45" s="7"/>
      <c r="H45" s="6"/>
      <c r="I45" s="7"/>
      <c r="J45" s="91"/>
      <c r="K45" s="7"/>
      <c r="L45" s="47"/>
    </row>
    <row r="46" spans="1:12" ht="21.9" customHeight="1" x14ac:dyDescent="0.4">
      <c r="A46" s="2"/>
      <c r="B46" s="49"/>
      <c r="C46" s="44"/>
      <c r="D46" s="2"/>
      <c r="E46" s="2"/>
      <c r="F46" s="85"/>
      <c r="G46" s="2"/>
      <c r="H46" s="9"/>
      <c r="I46" s="2"/>
      <c r="J46" s="85"/>
      <c r="K46" s="2"/>
      <c r="L46" s="10"/>
    </row>
    <row r="47" spans="1:12" ht="5.15" customHeight="1" thickBot="1" x14ac:dyDescent="0.45">
      <c r="A47" s="2"/>
      <c r="B47" s="50"/>
      <c r="C47" s="45"/>
      <c r="D47" s="32"/>
      <c r="E47" s="32"/>
      <c r="F47" s="98"/>
      <c r="G47" s="32"/>
      <c r="H47" s="34"/>
      <c r="I47" s="32"/>
      <c r="J47" s="98"/>
      <c r="K47" s="32"/>
      <c r="L47" s="35"/>
    </row>
    <row r="48" spans="1:12" ht="15.9" customHeight="1" x14ac:dyDescent="0.4">
      <c r="A48" s="2"/>
      <c r="B48" s="73" t="s">
        <v>5</v>
      </c>
      <c r="C48" s="14"/>
      <c r="D48" s="14"/>
      <c r="E48" s="14"/>
      <c r="F48" s="86"/>
      <c r="G48" s="14"/>
      <c r="H48" s="14"/>
      <c r="I48" s="14"/>
      <c r="J48" s="86"/>
      <c r="K48" s="14"/>
      <c r="L48" s="15"/>
    </row>
    <row r="49" spans="1:12" ht="18" customHeight="1" x14ac:dyDescent="0.35">
      <c r="A49" s="2"/>
      <c r="B49" s="49"/>
      <c r="C49" s="5"/>
      <c r="D49" s="6"/>
      <c r="E49" s="51" t="s">
        <v>6</v>
      </c>
      <c r="F49" s="52"/>
      <c r="G49" s="53"/>
      <c r="H49" s="4" t="s">
        <v>7</v>
      </c>
      <c r="I49" s="51" t="s">
        <v>8</v>
      </c>
      <c r="J49" s="52"/>
      <c r="K49" s="53"/>
      <c r="L49" s="11" t="s">
        <v>7</v>
      </c>
    </row>
    <row r="50" spans="1:12" ht="5.15" customHeight="1" x14ac:dyDescent="0.4">
      <c r="A50" s="2"/>
      <c r="B50" s="49"/>
      <c r="C50" s="55"/>
      <c r="D50" s="2"/>
      <c r="E50" s="12"/>
      <c r="F50" s="87"/>
      <c r="G50" s="12"/>
      <c r="H50" s="9"/>
      <c r="I50" s="12"/>
      <c r="J50" s="87"/>
      <c r="K50" s="12"/>
      <c r="L50" s="10"/>
    </row>
    <row r="51" spans="1:12" ht="15.9" customHeight="1" x14ac:dyDescent="0.35">
      <c r="A51" s="2"/>
      <c r="B51" s="49"/>
      <c r="C51" s="55"/>
      <c r="D51" s="30" t="s">
        <v>16</v>
      </c>
      <c r="E51" s="12"/>
      <c r="F51" s="24">
        <v>10000</v>
      </c>
      <c r="G51" s="12"/>
      <c r="H51" s="31" t="s">
        <v>10</v>
      </c>
      <c r="I51" s="12"/>
      <c r="J51" s="90" t="s">
        <v>11</v>
      </c>
      <c r="K51" s="12"/>
      <c r="L51" s="13" t="s">
        <v>10</v>
      </c>
    </row>
    <row r="52" spans="1:12" ht="5.15" customHeight="1" x14ac:dyDescent="0.4">
      <c r="A52" s="2"/>
      <c r="B52" s="49"/>
      <c r="C52" s="56"/>
      <c r="D52" s="46"/>
      <c r="E52" s="7"/>
      <c r="F52" s="91"/>
      <c r="G52" s="7"/>
      <c r="H52" s="6"/>
      <c r="I52" s="7"/>
      <c r="J52" s="91"/>
      <c r="K52" s="7"/>
      <c r="L52" s="47"/>
    </row>
    <row r="53" spans="1:12" ht="5.15" customHeight="1" x14ac:dyDescent="0.4">
      <c r="A53" s="2"/>
      <c r="B53" s="49"/>
      <c r="C53" s="55"/>
      <c r="D53" s="2"/>
      <c r="E53" s="12"/>
      <c r="F53" s="87"/>
      <c r="G53" s="12"/>
      <c r="H53" s="9"/>
      <c r="I53" s="12"/>
      <c r="J53" s="87"/>
      <c r="K53" s="12"/>
      <c r="L53" s="10"/>
    </row>
    <row r="54" spans="1:12" ht="15.9" customHeight="1" x14ac:dyDescent="0.35">
      <c r="A54" s="2"/>
      <c r="B54" s="49"/>
      <c r="C54" s="55"/>
      <c r="D54" s="30" t="s">
        <v>17</v>
      </c>
      <c r="E54" s="12"/>
      <c r="F54" s="92">
        <v>10000</v>
      </c>
      <c r="G54" s="12"/>
      <c r="H54" s="31" t="s">
        <v>22</v>
      </c>
      <c r="I54" s="12"/>
      <c r="J54" s="90" t="s">
        <v>11</v>
      </c>
      <c r="K54" s="12"/>
      <c r="L54" s="13" t="s">
        <v>21</v>
      </c>
    </row>
    <row r="55" spans="1:12" ht="5.15" customHeight="1" x14ac:dyDescent="0.4">
      <c r="A55" s="2"/>
      <c r="B55" s="49"/>
      <c r="C55" s="56"/>
      <c r="D55" s="46"/>
      <c r="E55" s="7"/>
      <c r="F55" s="91"/>
      <c r="G55" s="7"/>
      <c r="H55" s="6"/>
      <c r="I55" s="7"/>
      <c r="J55" s="91"/>
      <c r="K55" s="7"/>
      <c r="L55" s="47"/>
    </row>
    <row r="56" spans="1:12" ht="5.15" customHeight="1" x14ac:dyDescent="0.4">
      <c r="A56" s="2"/>
      <c r="B56" s="49"/>
      <c r="C56" s="55"/>
      <c r="D56" s="2"/>
      <c r="E56" s="12"/>
      <c r="F56" s="87"/>
      <c r="G56" s="12"/>
      <c r="H56" s="9"/>
      <c r="I56" s="12"/>
      <c r="J56" s="87"/>
      <c r="K56" s="12"/>
      <c r="L56" s="10"/>
    </row>
    <row r="57" spans="1:12" ht="15.9" customHeight="1" x14ac:dyDescent="0.35">
      <c r="A57" s="2"/>
      <c r="B57" s="49"/>
      <c r="C57" s="55"/>
      <c r="D57" s="30" t="s">
        <v>18</v>
      </c>
      <c r="E57" s="12"/>
      <c r="F57" s="92">
        <v>10000</v>
      </c>
      <c r="G57" s="12"/>
      <c r="H57" s="31" t="s">
        <v>10</v>
      </c>
      <c r="I57" s="12"/>
      <c r="J57" s="90" t="s">
        <v>11</v>
      </c>
      <c r="K57" s="12"/>
      <c r="L57" s="13" t="s">
        <v>10</v>
      </c>
    </row>
    <row r="58" spans="1:12" ht="5.15" customHeight="1" x14ac:dyDescent="0.4">
      <c r="A58" s="2"/>
      <c r="B58" s="49"/>
      <c r="C58" s="56"/>
      <c r="D58" s="46"/>
      <c r="E58" s="7"/>
      <c r="F58" s="91"/>
      <c r="G58" s="7"/>
      <c r="H58" s="6"/>
      <c r="I58" s="7"/>
      <c r="J58" s="91"/>
      <c r="K58" s="7"/>
      <c r="L58" s="47"/>
    </row>
    <row r="59" spans="1:12" ht="5.15" customHeight="1" x14ac:dyDescent="0.4">
      <c r="A59" s="2"/>
      <c r="B59" s="49"/>
      <c r="C59" s="55"/>
      <c r="D59" s="2"/>
      <c r="E59" s="12"/>
      <c r="F59" s="87"/>
      <c r="G59" s="12"/>
      <c r="H59" s="9"/>
      <c r="I59" s="12"/>
      <c r="J59" s="87"/>
      <c r="K59" s="12"/>
      <c r="L59" s="10"/>
    </row>
    <row r="60" spans="1:12" ht="15.9" customHeight="1" x14ac:dyDescent="0.35">
      <c r="A60" s="2"/>
      <c r="B60" s="49"/>
      <c r="C60" s="55"/>
      <c r="D60" s="30" t="s">
        <v>19</v>
      </c>
      <c r="E60" s="12"/>
      <c r="F60" s="92">
        <v>10000</v>
      </c>
      <c r="G60" s="12"/>
      <c r="H60" s="31" t="s">
        <v>10</v>
      </c>
      <c r="I60" s="12"/>
      <c r="J60" s="90" t="s">
        <v>11</v>
      </c>
      <c r="K60" s="12"/>
      <c r="L60" s="13" t="s">
        <v>10</v>
      </c>
    </row>
    <row r="61" spans="1:12" ht="5.15" customHeight="1" x14ac:dyDescent="0.4">
      <c r="A61" s="2"/>
      <c r="B61" s="49"/>
      <c r="C61" s="56"/>
      <c r="D61" s="46"/>
      <c r="E61" s="7"/>
      <c r="F61" s="91"/>
      <c r="G61" s="7"/>
      <c r="H61" s="6"/>
      <c r="I61" s="7"/>
      <c r="J61" s="91"/>
      <c r="K61" s="7"/>
      <c r="L61" s="47"/>
    </row>
    <row r="62" spans="1:12" ht="5.15" customHeight="1" x14ac:dyDescent="0.4">
      <c r="A62" s="2"/>
      <c r="B62" s="49"/>
      <c r="C62" s="55"/>
      <c r="D62" s="2"/>
      <c r="E62" s="12"/>
      <c r="F62" s="87"/>
      <c r="G62" s="12"/>
      <c r="H62" s="9"/>
      <c r="I62" s="12"/>
      <c r="J62" s="87"/>
      <c r="K62" s="12"/>
      <c r="L62" s="10"/>
    </row>
    <row r="63" spans="1:12" ht="15.9" customHeight="1" x14ac:dyDescent="0.4">
      <c r="A63" s="2"/>
      <c r="B63" s="49"/>
      <c r="C63" s="55"/>
      <c r="D63" s="30" t="s">
        <v>20</v>
      </c>
      <c r="E63" s="12"/>
      <c r="F63" s="87"/>
      <c r="G63" s="12"/>
      <c r="H63" s="9"/>
      <c r="I63" s="12"/>
      <c r="J63" s="87"/>
      <c r="K63" s="12"/>
      <c r="L63" s="10"/>
    </row>
    <row r="64" spans="1:12" ht="5.15" customHeight="1" x14ac:dyDescent="0.4">
      <c r="A64" s="2"/>
      <c r="B64" s="49"/>
      <c r="C64" s="44"/>
      <c r="D64" s="30"/>
      <c r="E64" s="12"/>
      <c r="F64" s="87"/>
      <c r="G64" s="12"/>
      <c r="H64" s="9"/>
      <c r="I64" s="12"/>
      <c r="J64" s="87"/>
      <c r="K64" s="12"/>
      <c r="L64" s="10"/>
    </row>
    <row r="65" spans="1:12" ht="15.9" customHeight="1" x14ac:dyDescent="0.35">
      <c r="A65" s="2"/>
      <c r="B65" s="49"/>
      <c r="C65" s="44"/>
      <c r="D65" s="26" t="s">
        <v>39</v>
      </c>
      <c r="E65" s="12"/>
      <c r="F65" s="99">
        <v>10000</v>
      </c>
      <c r="G65" s="12"/>
      <c r="H65" s="31" t="s">
        <v>24</v>
      </c>
      <c r="I65" s="12"/>
      <c r="J65" s="90" t="s">
        <v>11</v>
      </c>
      <c r="K65" s="12"/>
      <c r="L65" s="13" t="s">
        <v>21</v>
      </c>
    </row>
    <row r="66" spans="1:12" ht="5.15" customHeight="1" x14ac:dyDescent="0.4">
      <c r="A66" s="2"/>
      <c r="B66" s="49"/>
      <c r="C66" s="44"/>
      <c r="D66" s="25"/>
      <c r="E66" s="7"/>
      <c r="F66" s="91"/>
      <c r="G66" s="7"/>
      <c r="H66" s="6"/>
      <c r="I66" s="7"/>
      <c r="J66" s="91"/>
      <c r="K66" s="7"/>
      <c r="L66" s="47"/>
    </row>
    <row r="67" spans="1:12" ht="5.15" customHeight="1" x14ac:dyDescent="0.4">
      <c r="A67" s="2"/>
      <c r="B67" s="49"/>
      <c r="C67" s="44"/>
      <c r="D67" s="30"/>
      <c r="E67" s="12"/>
      <c r="F67" s="87"/>
      <c r="G67" s="12"/>
      <c r="H67" s="9"/>
      <c r="I67" s="12"/>
      <c r="J67" s="87"/>
      <c r="K67" s="12"/>
      <c r="L67" s="10"/>
    </row>
    <row r="68" spans="1:12" ht="15.9" customHeight="1" x14ac:dyDescent="0.35">
      <c r="A68" s="2"/>
      <c r="B68" s="49"/>
      <c r="C68" s="44"/>
      <c r="D68" s="26" t="s">
        <v>40</v>
      </c>
      <c r="E68" s="12"/>
      <c r="F68" s="24">
        <v>10000</v>
      </c>
      <c r="G68" s="12"/>
      <c r="H68" s="31" t="s">
        <v>21</v>
      </c>
      <c r="I68" s="12"/>
      <c r="J68" s="100" t="s">
        <v>11</v>
      </c>
      <c r="K68" s="12"/>
      <c r="L68" s="13" t="s">
        <v>22</v>
      </c>
    </row>
    <row r="69" spans="1:12" ht="5.15" customHeight="1" x14ac:dyDescent="0.4">
      <c r="A69" s="2"/>
      <c r="B69" s="49"/>
      <c r="C69" s="44"/>
      <c r="D69" s="25"/>
      <c r="E69" s="7"/>
      <c r="F69" s="91"/>
      <c r="G69" s="7"/>
      <c r="H69" s="6"/>
      <c r="I69" s="7"/>
      <c r="J69" s="91"/>
      <c r="K69" s="7"/>
      <c r="L69" s="47"/>
    </row>
    <row r="70" spans="1:12" ht="5.15" customHeight="1" x14ac:dyDescent="0.4">
      <c r="A70" s="2"/>
      <c r="B70" s="49"/>
      <c r="C70" s="44"/>
      <c r="D70" s="30"/>
      <c r="E70" s="12"/>
      <c r="F70" s="87"/>
      <c r="G70" s="12"/>
      <c r="H70" s="9"/>
      <c r="I70" s="12"/>
      <c r="J70" s="87"/>
      <c r="K70" s="12"/>
      <c r="L70" s="10"/>
    </row>
    <row r="71" spans="1:12" ht="15.9" customHeight="1" x14ac:dyDescent="0.35">
      <c r="A71" s="2"/>
      <c r="B71" s="49"/>
      <c r="C71" s="44"/>
      <c r="D71" s="26" t="s">
        <v>41</v>
      </c>
      <c r="E71" s="12"/>
      <c r="F71" s="24">
        <v>10000</v>
      </c>
      <c r="G71" s="12"/>
      <c r="H71" s="31" t="s">
        <v>21</v>
      </c>
      <c r="I71" s="12"/>
      <c r="J71" s="101" t="s">
        <v>11</v>
      </c>
      <c r="K71" s="12"/>
      <c r="L71" s="13" t="s">
        <v>22</v>
      </c>
    </row>
    <row r="72" spans="1:12" ht="5.15" customHeight="1" x14ac:dyDescent="0.4">
      <c r="A72" s="2"/>
      <c r="B72" s="49"/>
      <c r="C72" s="44"/>
      <c r="D72" s="25"/>
      <c r="E72" s="7"/>
      <c r="F72" s="91"/>
      <c r="G72" s="7"/>
      <c r="H72" s="6"/>
      <c r="I72" s="7"/>
      <c r="J72" s="91"/>
      <c r="K72" s="7"/>
      <c r="L72" s="47"/>
    </row>
    <row r="73" spans="1:12" ht="5.15" customHeight="1" x14ac:dyDescent="0.4">
      <c r="A73" s="2"/>
      <c r="B73" s="49"/>
      <c r="C73" s="44"/>
      <c r="D73" s="30"/>
      <c r="E73" s="12"/>
      <c r="F73" s="87"/>
      <c r="G73" s="12"/>
      <c r="H73" s="9"/>
      <c r="I73" s="12"/>
      <c r="J73" s="87"/>
      <c r="K73" s="12"/>
      <c r="L73" s="10"/>
    </row>
    <row r="74" spans="1:12" ht="15.9" customHeight="1" x14ac:dyDescent="0.35">
      <c r="A74" s="2"/>
      <c r="B74" s="49"/>
      <c r="C74" s="44"/>
      <c r="D74" s="26" t="s">
        <v>42</v>
      </c>
      <c r="E74" s="12"/>
      <c r="F74" s="24">
        <v>10000</v>
      </c>
      <c r="G74" s="12"/>
      <c r="H74" s="31" t="s">
        <v>21</v>
      </c>
      <c r="I74" s="12"/>
      <c r="J74" s="102" t="s">
        <v>11</v>
      </c>
      <c r="K74" s="12"/>
      <c r="L74" s="13" t="s">
        <v>22</v>
      </c>
    </row>
    <row r="75" spans="1:12" ht="5.15" customHeight="1" x14ac:dyDescent="0.4">
      <c r="A75" s="2"/>
      <c r="B75" s="49"/>
      <c r="C75" s="44"/>
      <c r="D75" s="25"/>
      <c r="E75" s="7"/>
      <c r="F75" s="91"/>
      <c r="G75" s="7"/>
      <c r="H75" s="6"/>
      <c r="I75" s="7"/>
      <c r="J75" s="91"/>
      <c r="K75" s="7"/>
      <c r="L75" s="47"/>
    </row>
    <row r="76" spans="1:12" ht="5.15" customHeight="1" x14ac:dyDescent="0.4">
      <c r="A76" s="2"/>
      <c r="B76" s="49"/>
      <c r="C76" s="44"/>
      <c r="D76" s="30"/>
      <c r="E76" s="12"/>
      <c r="F76" s="87"/>
      <c r="G76" s="12"/>
      <c r="H76" s="9"/>
      <c r="I76" s="12"/>
      <c r="J76" s="87"/>
      <c r="K76" s="12"/>
      <c r="L76" s="10"/>
    </row>
    <row r="77" spans="1:12" ht="15.9" customHeight="1" x14ac:dyDescent="0.35">
      <c r="A77" s="2"/>
      <c r="B77" s="49"/>
      <c r="C77" s="44"/>
      <c r="D77" s="26" t="s">
        <v>43</v>
      </c>
      <c r="E77" s="12"/>
      <c r="F77" s="24">
        <v>10000</v>
      </c>
      <c r="G77" s="12"/>
      <c r="H77" s="31" t="s">
        <v>21</v>
      </c>
      <c r="I77" s="12"/>
      <c r="J77" s="103" t="s">
        <v>11</v>
      </c>
      <c r="K77" s="12"/>
      <c r="L77" s="13" t="s">
        <v>22</v>
      </c>
    </row>
    <row r="78" spans="1:12" ht="5.15" customHeight="1" x14ac:dyDescent="0.4">
      <c r="A78" s="2"/>
      <c r="B78" s="49"/>
      <c r="C78" s="44"/>
      <c r="D78" s="25"/>
      <c r="E78" s="7"/>
      <c r="F78" s="91"/>
      <c r="G78" s="7"/>
      <c r="H78" s="6"/>
      <c r="I78" s="7"/>
      <c r="J78" s="91"/>
      <c r="K78" s="7"/>
      <c r="L78" s="47"/>
    </row>
    <row r="79" spans="1:12" ht="5.15" customHeight="1" x14ac:dyDescent="0.4">
      <c r="A79" s="2"/>
      <c r="B79" s="49"/>
      <c r="C79" s="44"/>
      <c r="D79" s="30"/>
      <c r="E79" s="12"/>
      <c r="F79" s="87"/>
      <c r="G79" s="12"/>
      <c r="H79" s="9"/>
      <c r="I79" s="12"/>
      <c r="J79" s="87"/>
      <c r="K79" s="12"/>
      <c r="L79" s="10"/>
    </row>
    <row r="80" spans="1:12" ht="15.9" customHeight="1" x14ac:dyDescent="0.35">
      <c r="A80" s="2"/>
      <c r="B80" s="49"/>
      <c r="C80" s="44"/>
      <c r="D80" s="26" t="s">
        <v>44</v>
      </c>
      <c r="E80" s="12"/>
      <c r="F80" s="24">
        <v>10000</v>
      </c>
      <c r="G80" s="12"/>
      <c r="H80" s="31" t="s">
        <v>21</v>
      </c>
      <c r="I80" s="12"/>
      <c r="J80" s="104" t="s">
        <v>11</v>
      </c>
      <c r="K80" s="12"/>
      <c r="L80" s="13" t="s">
        <v>22</v>
      </c>
    </row>
    <row r="81" spans="1:12" ht="5.15" customHeight="1" x14ac:dyDescent="0.4">
      <c r="A81" s="2"/>
      <c r="B81" s="49"/>
      <c r="C81" s="44"/>
      <c r="D81" s="25"/>
      <c r="E81" s="7"/>
      <c r="F81" s="91"/>
      <c r="G81" s="7"/>
      <c r="H81" s="6"/>
      <c r="I81" s="7"/>
      <c r="J81" s="91"/>
      <c r="K81" s="7"/>
      <c r="L81" s="47"/>
    </row>
    <row r="82" spans="1:12" ht="5.15" customHeight="1" x14ac:dyDescent="0.4">
      <c r="A82" s="2"/>
      <c r="B82" s="49"/>
      <c r="C82" s="44"/>
      <c r="D82" s="30"/>
      <c r="E82" s="12"/>
      <c r="F82" s="87"/>
      <c r="G82" s="12"/>
      <c r="H82" s="9"/>
      <c r="I82" s="12"/>
      <c r="J82" s="87"/>
      <c r="K82" s="12"/>
      <c r="L82" s="10"/>
    </row>
    <row r="83" spans="1:12" ht="15.9" customHeight="1" x14ac:dyDescent="0.35">
      <c r="A83" s="2"/>
      <c r="B83" s="49"/>
      <c r="C83" s="44"/>
      <c r="D83" s="26" t="s">
        <v>45</v>
      </c>
      <c r="E83" s="12"/>
      <c r="F83" s="24">
        <v>10000</v>
      </c>
      <c r="G83" s="12"/>
      <c r="H83" s="31" t="s">
        <v>21</v>
      </c>
      <c r="I83" s="12"/>
      <c r="J83" s="105" t="s">
        <v>11</v>
      </c>
      <c r="K83" s="12"/>
      <c r="L83" s="13" t="s">
        <v>22</v>
      </c>
    </row>
    <row r="84" spans="1:12" ht="5.15" customHeight="1" x14ac:dyDescent="0.4">
      <c r="A84" s="2"/>
      <c r="B84" s="49"/>
      <c r="C84" s="44"/>
      <c r="D84" s="25"/>
      <c r="E84" s="7"/>
      <c r="F84" s="91"/>
      <c r="G84" s="7"/>
      <c r="H84" s="6"/>
      <c r="I84" s="7"/>
      <c r="J84" s="91"/>
      <c r="K84" s="7"/>
      <c r="L84" s="47"/>
    </row>
    <row r="85" spans="1:12" ht="21.9" customHeight="1" x14ac:dyDescent="0.4">
      <c r="A85" s="2"/>
      <c r="B85" s="49"/>
      <c r="C85" s="44"/>
      <c r="D85" s="2"/>
      <c r="E85" s="2"/>
      <c r="F85" s="85"/>
      <c r="G85" s="2"/>
      <c r="H85" s="9"/>
      <c r="I85" s="2"/>
      <c r="J85" s="85"/>
      <c r="K85" s="2"/>
      <c r="L85" s="10"/>
    </row>
    <row r="86" spans="1:12" ht="5.15" customHeight="1" thickBot="1" x14ac:dyDescent="0.45">
      <c r="A86" s="2"/>
      <c r="B86" s="50"/>
      <c r="C86" s="45"/>
      <c r="D86" s="32"/>
      <c r="E86" s="32"/>
      <c r="F86" s="98"/>
      <c r="G86" s="32"/>
      <c r="H86" s="34"/>
      <c r="I86" s="32"/>
      <c r="J86" s="98"/>
      <c r="K86" s="32"/>
      <c r="L86" s="35"/>
    </row>
    <row r="87" spans="1:12" ht="24.65" customHeight="1" x14ac:dyDescent="0.4">
      <c r="A87" s="2"/>
      <c r="B87" s="2"/>
      <c r="C87" s="2"/>
      <c r="D87" s="2"/>
      <c r="E87" s="2"/>
      <c r="F87" s="85"/>
      <c r="G87" s="2"/>
      <c r="H87" s="2"/>
      <c r="I87" s="2"/>
      <c r="J87" s="85"/>
      <c r="K87" s="2"/>
      <c r="L87" s="2"/>
    </row>
    <row r="88" spans="1:12" ht="15" thickBot="1" x14ac:dyDescent="0.45">
      <c r="A88" s="2"/>
      <c r="B88" s="2"/>
      <c r="C88" s="2"/>
      <c r="D88" s="2"/>
      <c r="E88" s="2"/>
      <c r="F88" s="85"/>
      <c r="G88" s="2"/>
      <c r="H88" s="2"/>
      <c r="I88" s="2"/>
      <c r="J88" s="85"/>
      <c r="K88" s="2"/>
      <c r="L88" s="2"/>
    </row>
    <row r="89" spans="1:12" ht="28.4" customHeight="1" x14ac:dyDescent="0.35">
      <c r="A89" s="2"/>
      <c r="B89" s="58" t="s">
        <v>25</v>
      </c>
      <c r="C89" s="59"/>
      <c r="D89" s="59"/>
      <c r="E89" s="59"/>
      <c r="F89" s="59"/>
      <c r="G89" s="59"/>
      <c r="H89" s="59"/>
      <c r="I89" s="59"/>
      <c r="J89" s="59"/>
      <c r="K89" s="59"/>
      <c r="L89" s="60"/>
    </row>
    <row r="90" spans="1:12" ht="28.4" customHeight="1" x14ac:dyDescent="0.35">
      <c r="A90" s="2"/>
      <c r="B90" s="61"/>
      <c r="C90" s="62"/>
      <c r="D90" s="62"/>
      <c r="E90" s="62"/>
      <c r="F90" s="62"/>
      <c r="G90" s="62"/>
      <c r="H90" s="62"/>
      <c r="I90" s="62"/>
      <c r="J90" s="62"/>
      <c r="K90" s="62"/>
      <c r="L90" s="63"/>
    </row>
    <row r="91" spans="1:12" ht="21.75" customHeight="1" x14ac:dyDescent="0.4">
      <c r="A91" s="2"/>
      <c r="B91" s="48" t="s">
        <v>12</v>
      </c>
      <c r="C91" s="2"/>
      <c r="D91" s="2"/>
      <c r="E91" s="2"/>
      <c r="F91" s="85"/>
      <c r="G91" s="2"/>
      <c r="H91" s="2"/>
      <c r="I91" s="2"/>
      <c r="J91" s="85"/>
      <c r="K91" s="2"/>
      <c r="L91" s="10"/>
    </row>
    <row r="92" spans="1:12" ht="18" customHeight="1" x14ac:dyDescent="0.35">
      <c r="A92" s="2"/>
      <c r="B92" s="49"/>
      <c r="C92" s="5"/>
      <c r="D92" s="6"/>
      <c r="E92" s="51" t="s">
        <v>6</v>
      </c>
      <c r="F92" s="52"/>
      <c r="G92" s="53"/>
      <c r="H92" s="4" t="s">
        <v>7</v>
      </c>
      <c r="I92" s="51" t="s">
        <v>8</v>
      </c>
      <c r="J92" s="52"/>
      <c r="K92" s="53"/>
      <c r="L92" s="11" t="s">
        <v>7</v>
      </c>
    </row>
    <row r="93" spans="1:12" ht="5.15" customHeight="1" x14ac:dyDescent="0.4">
      <c r="A93" s="2"/>
      <c r="B93" s="49"/>
      <c r="C93" s="54"/>
      <c r="D93" s="2"/>
      <c r="E93" s="12"/>
      <c r="F93" s="87"/>
      <c r="G93" s="12"/>
      <c r="H93" s="8"/>
      <c r="I93" s="12"/>
      <c r="J93" s="87"/>
      <c r="K93" s="12"/>
      <c r="L93" s="10"/>
    </row>
    <row r="94" spans="1:12" ht="15.75" customHeight="1" x14ac:dyDescent="0.35">
      <c r="A94" s="2"/>
      <c r="B94" s="49"/>
      <c r="C94" s="55"/>
      <c r="D94" s="30" t="s">
        <v>26</v>
      </c>
      <c r="E94" s="12"/>
      <c r="F94" s="106">
        <v>10000</v>
      </c>
      <c r="G94" s="12"/>
      <c r="H94" s="31" t="s">
        <v>10</v>
      </c>
      <c r="I94" s="12"/>
      <c r="J94" s="90" t="s">
        <v>11</v>
      </c>
      <c r="K94" s="12"/>
      <c r="L94" s="13" t="s">
        <v>10</v>
      </c>
    </row>
    <row r="95" spans="1:12" ht="5.15" customHeight="1" x14ac:dyDescent="0.4">
      <c r="A95" s="2"/>
      <c r="B95" s="49"/>
      <c r="C95" s="56"/>
      <c r="D95" s="46"/>
      <c r="E95" s="7"/>
      <c r="F95" s="91"/>
      <c r="G95" s="7"/>
      <c r="H95" s="6"/>
      <c r="I95" s="7"/>
      <c r="J95" s="91"/>
      <c r="K95" s="7"/>
      <c r="L95" s="47"/>
    </row>
    <row r="96" spans="1:12" ht="5.15" customHeight="1" x14ac:dyDescent="0.4">
      <c r="A96" s="2"/>
      <c r="B96" s="49"/>
      <c r="C96" s="55"/>
      <c r="D96" s="2"/>
      <c r="E96" s="12"/>
      <c r="F96" s="87"/>
      <c r="G96" s="12"/>
      <c r="H96" s="9"/>
      <c r="I96" s="12"/>
      <c r="J96" s="87"/>
      <c r="K96" s="12"/>
      <c r="L96" s="10"/>
    </row>
    <row r="97" spans="1:12" ht="15.75" customHeight="1" x14ac:dyDescent="0.35">
      <c r="A97" s="2"/>
      <c r="B97" s="49"/>
      <c r="C97" s="55"/>
      <c r="D97" s="30" t="s">
        <v>27</v>
      </c>
      <c r="E97" s="12"/>
      <c r="F97" s="106">
        <v>10000</v>
      </c>
      <c r="G97" s="12"/>
      <c r="H97" s="31" t="s">
        <v>10</v>
      </c>
      <c r="I97" s="12"/>
      <c r="J97" s="90" t="s">
        <v>11</v>
      </c>
      <c r="K97" s="12"/>
      <c r="L97" s="13" t="s">
        <v>10</v>
      </c>
    </row>
    <row r="98" spans="1:12" ht="5.15" customHeight="1" x14ac:dyDescent="0.4">
      <c r="A98" s="2"/>
      <c r="B98" s="64"/>
      <c r="C98" s="56"/>
      <c r="D98" s="46"/>
      <c r="E98" s="7"/>
      <c r="F98" s="91"/>
      <c r="G98" s="7"/>
      <c r="H98" s="6"/>
      <c r="I98" s="7"/>
      <c r="J98" s="91"/>
      <c r="K98" s="7"/>
      <c r="L98" s="47"/>
    </row>
    <row r="99" spans="1:12" ht="21.75" customHeight="1" x14ac:dyDescent="0.4">
      <c r="A99" s="2"/>
      <c r="B99" s="48" t="s">
        <v>5</v>
      </c>
      <c r="C99" s="2"/>
      <c r="D99" s="2"/>
      <c r="E99" s="2"/>
      <c r="F99" s="85"/>
      <c r="G99" s="2"/>
      <c r="H99" s="2"/>
      <c r="I99" s="2"/>
      <c r="J99" s="85"/>
      <c r="K99" s="2"/>
      <c r="L99" s="10"/>
    </row>
    <row r="100" spans="1:12" ht="18" customHeight="1" x14ac:dyDescent="0.35">
      <c r="A100" s="2"/>
      <c r="B100" s="49"/>
      <c r="C100" s="5"/>
      <c r="D100" s="6"/>
      <c r="E100" s="51" t="s">
        <v>6</v>
      </c>
      <c r="F100" s="52"/>
      <c r="G100" s="53"/>
      <c r="H100" s="4" t="s">
        <v>7</v>
      </c>
      <c r="I100" s="51" t="s">
        <v>8</v>
      </c>
      <c r="J100" s="52"/>
      <c r="K100" s="53"/>
      <c r="L100" s="11" t="s">
        <v>7</v>
      </c>
    </row>
    <row r="101" spans="1:12" ht="5.15" customHeight="1" x14ac:dyDescent="0.4">
      <c r="A101" s="2"/>
      <c r="B101" s="49"/>
      <c r="C101" s="54"/>
      <c r="D101" s="2"/>
      <c r="E101" s="12"/>
      <c r="F101" s="87"/>
      <c r="G101" s="12"/>
      <c r="H101" s="8"/>
      <c r="I101" s="12"/>
      <c r="J101" s="87"/>
      <c r="K101" s="12"/>
      <c r="L101" s="10"/>
    </row>
    <row r="102" spans="1:12" ht="15.75" customHeight="1" x14ac:dyDescent="0.35">
      <c r="A102" s="2"/>
      <c r="B102" s="49"/>
      <c r="C102" s="55"/>
      <c r="D102" s="30" t="s">
        <v>26</v>
      </c>
      <c r="E102" s="12"/>
      <c r="F102" s="106">
        <v>10000</v>
      </c>
      <c r="G102" s="12"/>
      <c r="H102" s="31" t="s">
        <v>10</v>
      </c>
      <c r="I102" s="12"/>
      <c r="J102" s="90" t="s">
        <v>11</v>
      </c>
      <c r="K102" s="12"/>
      <c r="L102" s="13" t="s">
        <v>10</v>
      </c>
    </row>
    <row r="103" spans="1:12" ht="5.15" customHeight="1" x14ac:dyDescent="0.4">
      <c r="A103" s="2"/>
      <c r="B103" s="49"/>
      <c r="C103" s="56"/>
      <c r="D103" s="46"/>
      <c r="E103" s="7"/>
      <c r="F103" s="91"/>
      <c r="G103" s="7"/>
      <c r="H103" s="6"/>
      <c r="I103" s="7"/>
      <c r="J103" s="91"/>
      <c r="K103" s="7"/>
      <c r="L103" s="47"/>
    </row>
    <row r="104" spans="1:12" ht="5.15" customHeight="1" x14ac:dyDescent="0.4">
      <c r="A104" s="2"/>
      <c r="B104" s="49"/>
      <c r="C104" s="55"/>
      <c r="D104" s="2"/>
      <c r="E104" s="12"/>
      <c r="F104" s="87"/>
      <c r="G104" s="12"/>
      <c r="H104" s="9"/>
      <c r="I104" s="12"/>
      <c r="J104" s="87"/>
      <c r="K104" s="12"/>
      <c r="L104" s="10"/>
    </row>
    <row r="105" spans="1:12" ht="15.75" customHeight="1" x14ac:dyDescent="0.35">
      <c r="A105" s="2"/>
      <c r="B105" s="49"/>
      <c r="C105" s="55"/>
      <c r="D105" s="30" t="s">
        <v>27</v>
      </c>
      <c r="E105" s="12"/>
      <c r="F105" s="106">
        <v>10000</v>
      </c>
      <c r="G105" s="12"/>
      <c r="H105" s="31" t="s">
        <v>10</v>
      </c>
      <c r="I105" s="12"/>
      <c r="J105" s="90" t="s">
        <v>11</v>
      </c>
      <c r="K105" s="12"/>
      <c r="L105" s="13" t="s">
        <v>10</v>
      </c>
    </row>
    <row r="106" spans="1:12" ht="5.15" customHeight="1" thickBot="1" x14ac:dyDescent="0.45">
      <c r="A106" s="2"/>
      <c r="B106" s="50"/>
      <c r="C106" s="57"/>
      <c r="D106" s="32"/>
      <c r="E106" s="33"/>
      <c r="F106" s="89"/>
      <c r="G106" s="33"/>
      <c r="H106" s="34"/>
      <c r="I106" s="33"/>
      <c r="J106" s="89"/>
      <c r="K106" s="33"/>
      <c r="L106" s="35"/>
    </row>
    <row r="107" spans="1:12" ht="15" customHeight="1" x14ac:dyDescent="0.4">
      <c r="A107" s="2"/>
      <c r="B107" s="2"/>
      <c r="C107" s="2"/>
      <c r="D107" s="2"/>
      <c r="E107" s="2"/>
      <c r="F107" s="85"/>
      <c r="G107" s="2"/>
      <c r="H107" s="2"/>
      <c r="I107" s="2"/>
      <c r="J107" s="85"/>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8458"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8458" r:id="rId5" name="cbApplyOddEvenFormatting"/>
      </mc:Fallback>
    </mc:AlternateContent>
    <mc:AlternateContent xmlns:mc="http://schemas.openxmlformats.org/markup-compatibility/2006">
      <mc:Choice Requires="x14">
        <control shapeId="18442"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8442" r:id="rId7" name="cbApplyMemberFormatting"/>
      </mc:Fallback>
    </mc:AlternateContent>
    <mc:AlternateContent xmlns:mc="http://schemas.openxmlformats.org/markup-compatibility/2006">
      <mc:Choice Requires="x14">
        <control shapeId="18433"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8433" r:id="rId9" name="cbApplyLevelFormatting"/>
      </mc:Fallback>
    </mc:AlternateContent>
    <mc:AlternateContent xmlns:mc="http://schemas.openxmlformats.org/markup-compatibility/2006">
      <mc:Choice Requires="x14">
        <control shapeId="18434"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8435"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8436"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8437"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8438"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8439"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8440"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8441"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8443"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8444"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8445"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8446"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8447"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8448"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8449"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8450"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8451"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8452"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8453"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8454"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8455"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8456"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8457"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8459"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8460"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8461"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8462"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8463"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8464"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8465"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8466"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8467"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8468"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8469"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8470"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8471"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8472"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8473"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8474"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8475"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8476"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8477"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8478"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8479"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8480"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8481"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8482"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8483"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8484"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8485"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8486"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8487"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8488"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8489"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8490"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8491"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8492"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8493"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8494"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8495"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8496"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8497"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8498"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8499"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8500"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8501"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EACB-B4C6-411B-8EE3-F00E36E08BB8}">
  <sheetPr codeName="Sheet1"/>
  <dimension ref="B6:E16"/>
  <sheetViews>
    <sheetView tabSelected="1" workbookViewId="0">
      <selection activeCell="G7" sqref="G7"/>
    </sheetView>
  </sheetViews>
  <sheetFormatPr defaultRowHeight="14.6" x14ac:dyDescent="0.4"/>
  <cols>
    <col min="5" max="5" width="16.53515625" bestFit="1" customWidth="1"/>
  </cols>
  <sheetData>
    <row r="6" spans="2:5" ht="15" thickBot="1" x14ac:dyDescent="0.45"/>
    <row r="7" spans="2:5" ht="15" thickTop="1" x14ac:dyDescent="0.4">
      <c r="B7" s="74" t="s">
        <v>28</v>
      </c>
      <c r="C7" s="75"/>
      <c r="D7" s="76"/>
      <c r="E7" s="40" t="s">
        <v>29</v>
      </c>
    </row>
    <row r="8" spans="2:5" x14ac:dyDescent="0.4">
      <c r="B8" s="77" t="s">
        <v>30</v>
      </c>
      <c r="C8" s="78"/>
      <c r="D8" s="78"/>
      <c r="E8" s="41"/>
    </row>
    <row r="9" spans="2:5" x14ac:dyDescent="0.4">
      <c r="B9" s="77" t="s">
        <v>31</v>
      </c>
      <c r="C9" s="77"/>
      <c r="D9" s="77"/>
      <c r="E9" s="41"/>
    </row>
    <row r="10" spans="2:5" x14ac:dyDescent="0.4">
      <c r="B10" s="77" t="s">
        <v>32</v>
      </c>
      <c r="C10" s="77"/>
      <c r="D10" s="77"/>
      <c r="E10" s="41"/>
    </row>
    <row r="11" spans="2:5" x14ac:dyDescent="0.4">
      <c r="B11" s="77" t="s">
        <v>33</v>
      </c>
      <c r="C11" s="77"/>
      <c r="D11" s="77"/>
      <c r="E11" s="41"/>
    </row>
    <row r="12" spans="2:5" x14ac:dyDescent="0.4">
      <c r="B12" s="77"/>
      <c r="C12" s="77"/>
      <c r="D12" s="77"/>
      <c r="E12" s="41"/>
    </row>
    <row r="13" spans="2:5" x14ac:dyDescent="0.4">
      <c r="B13" s="77"/>
      <c r="C13" s="77"/>
      <c r="D13" s="77"/>
      <c r="E13" s="41"/>
    </row>
    <row r="14" spans="2:5" x14ac:dyDescent="0.4">
      <c r="B14" s="78"/>
      <c r="C14" s="78"/>
      <c r="D14" s="78"/>
      <c r="E14" s="41"/>
    </row>
    <row r="15" spans="2:5" x14ac:dyDescent="0.4">
      <c r="B15" s="77"/>
      <c r="C15" s="77"/>
      <c r="D15" s="77"/>
      <c r="E15" s="41"/>
    </row>
    <row r="16" spans="2:5" x14ac:dyDescent="0.4">
      <c r="B16" s="77"/>
      <c r="C16" s="77"/>
      <c r="D16" s="77"/>
      <c r="E16" s="41"/>
    </row>
  </sheetData>
  <mergeCells count="10">
    <mergeCell ref="B16:D16"/>
    <mergeCell ref="B13:D13"/>
    <mergeCell ref="B10:D10"/>
    <mergeCell ref="B11:D11"/>
    <mergeCell ref="B12:D12"/>
    <mergeCell ref="B7:D7"/>
    <mergeCell ref="B8:D8"/>
    <mergeCell ref="B9:D9"/>
    <mergeCell ref="B14:D14"/>
    <mergeCell ref="B15:D15"/>
  </mergeCells>
  <pageMargins left="0.7" right="0.7" top="0.75" bottom="0.75" header="0.3" footer="0.3"/>
  <pageSetup paperSize="9"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16386" r:id="rId6" name="ResetStatus">
          <controlPr defaultSize="0" autoLine="0" r:id="rId7">
            <anchor moveWithCells="1">
              <from>
                <xdr:col>6</xdr:col>
                <xdr:colOff>0</xdr:colOff>
                <xdr:row>1</xdr:row>
                <xdr:rowOff>21771</xdr:rowOff>
              </from>
              <to>
                <xdr:col>8</xdr:col>
                <xdr:colOff>533400</xdr:colOff>
                <xdr:row>3</xdr:row>
                <xdr:rowOff>125186</xdr:rowOff>
              </to>
            </anchor>
          </controlPr>
        </control>
      </mc:Choice>
      <mc:Fallback>
        <control shapeId="16386" r:id="rId6" name="ResetStatus"/>
      </mc:Fallback>
    </mc:AlternateContent>
    <mc:AlternateContent xmlns:mc="http://schemas.openxmlformats.org/markup-compatibility/2006">
      <mc:Choice Requires="x14">
        <control shapeId="16385" r:id="rId8" name="RunUpgradeTest">
          <controlPr defaultSize="0" autoLine="0" autoPict="0" r:id="rId9">
            <anchor moveWithCells="1">
              <from>
                <xdr:col>1</xdr:col>
                <xdr:colOff>0</xdr:colOff>
                <xdr:row>1</xdr:row>
                <xdr:rowOff>21771</xdr:rowOff>
              </from>
              <to>
                <xdr:col>5</xdr:col>
                <xdr:colOff>5443</xdr:colOff>
                <xdr:row>5</xdr:row>
                <xdr:rowOff>114300</xdr:rowOff>
              </to>
            </anchor>
          </controlPr>
        </control>
      </mc:Choice>
      <mc:Fallback>
        <control shapeId="16385" r:id="rId8" name="RunUpgradeTe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9"/>
  <sheetViews>
    <sheetView showGridLines="0" zoomScaleNormal="100" workbookViewId="0">
      <pane xSplit="10" ySplit="3" topLeftCell="K4" activePane="bottomRight" state="frozen"/>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53515625" bestFit="1" customWidth="1"/>
    <col min="11" max="11" width="8.53515625" bestFit="1" customWidth="1"/>
    <col min="12" max="13" width="9.3828125" bestFit="1" customWidth="1"/>
    <col min="14" max="14" width="8.69140625" bestFit="1" customWidth="1"/>
    <col min="15" max="15" width="9.3828125" bestFit="1" customWidth="1"/>
    <col min="16" max="16" width="8.53515625" bestFit="1" customWidth="1"/>
    <col min="17" max="17" width="8.15234375" bestFit="1" customWidth="1"/>
    <col min="18" max="18" width="9.15234375" bestFit="1" customWidth="1"/>
    <col min="19" max="19" width="8.3046875" bestFit="1" customWidth="1"/>
    <col min="20" max="20" width="8.69140625" bestFit="1" customWidth="1"/>
    <col min="21" max="21" width="9.15234375" bestFit="1" customWidth="1"/>
    <col min="22" max="22" width="8.535156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79" t="s">
        <v>34</v>
      </c>
      <c r="B1" s="80"/>
      <c r="C1" s="80"/>
      <c r="D1" s="80"/>
      <c r="E1" s="80"/>
      <c r="F1" s="80"/>
      <c r="G1" s="80"/>
      <c r="H1" s="80"/>
      <c r="I1" s="80"/>
      <c r="J1" s="80"/>
      <c r="K1" s="81" t="str">
        <f>" "&amp;IFERROR(IF(SOP_Favorite_Name&lt;&gt;" ",SOP_Favorite_Name,IF(SOP_Template_Name&lt;&gt;" ",SOP_Template_Name,"Ad Hoc Planning View")),"Offline")</f>
        <v xml:space="preserve"> Performance Test</v>
      </c>
      <c r="L1" s="81"/>
      <c r="M1" s="81"/>
      <c r="N1" s="81"/>
      <c r="O1" s="81"/>
      <c r="P1" s="81"/>
      <c r="Q1" s="82" t="str">
        <f>"User: "&amp;_xll.EPMUser()&amp;"   |    Planning Area: "&amp;IFERROR(SOP_Planning_Area,"Offline")&amp;"
"&amp;"Template: "&amp;IFERROR(SOP_Template_Name,"none")</f>
        <v>User: #Error, no current connection.   |    Planning Area: SAP6
Template: template name</v>
      </c>
      <c r="R1" s="82"/>
      <c r="S1" s="82"/>
      <c r="T1" s="82"/>
      <c r="U1" s="82"/>
      <c r="V1" s="82"/>
      <c r="W1" s="36"/>
      <c r="X1" s="37"/>
      <c r="Y1" s="37"/>
      <c r="Z1" s="37"/>
      <c r="AA1" s="37"/>
      <c r="AB1" s="37"/>
      <c r="AC1" s="37"/>
      <c r="AD1" s="37"/>
      <c r="BR1" s="38"/>
      <c r="BS1" s="38"/>
      <c r="BT1" s="38"/>
      <c r="BU1" s="38"/>
      <c r="BV1" s="38"/>
      <c r="BW1" s="38"/>
      <c r="BX1" s="38"/>
      <c r="BY1" s="38"/>
      <c r="BZ1" s="38"/>
      <c r="CA1" s="38"/>
      <c r="CB1" s="38"/>
      <c r="CC1" s="38"/>
      <c r="CD1" s="38"/>
    </row>
    <row r="2" spans="1:82" s="22" customFormat="1" ht="60" customHeight="1" x14ac:dyDescent="0.4">
      <c r="A2" s="83"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83"/>
      <c r="C2" s="83"/>
      <c r="D2" s="83"/>
      <c r="E2" s="83"/>
      <c r="F2" s="83"/>
      <c r="G2" s="83"/>
      <c r="H2" s="83"/>
      <c r="I2" s="83"/>
      <c r="J2" s="83"/>
      <c r="K2" s="84" t="str">
        <f>"  Last Refresh: "&amp;IFERROR(YEAR(SOP_Refresh_Timestamp)&amp;"-"&amp;TEXT(SOP_Refresh_Timestamp,"MMM")&amp;"-"&amp;DAY(SOP_Refresh_Timestamp)&amp;"   "&amp;TEXT(SOP_Refresh_Timestamp,"HH:MM:SS"),"Offline")</f>
        <v xml:space="preserve">  Last Refresh: 2022-Jan-26   17:40:09</v>
      </c>
      <c r="L2" s="84"/>
      <c r="M2" s="84"/>
      <c r="N2" s="84"/>
      <c r="O2" s="84"/>
      <c r="P2" s="84"/>
      <c r="Q2" s="84"/>
      <c r="R2" s="84"/>
      <c r="S2" s="84"/>
      <c r="T2" s="84"/>
      <c r="U2" s="84"/>
      <c r="V2" s="84"/>
      <c r="W2" s="36"/>
      <c r="X2" s="37"/>
      <c r="Y2" s="37"/>
      <c r="Z2" s="37"/>
      <c r="AA2" s="37"/>
      <c r="AB2" s="37"/>
      <c r="AC2" s="37"/>
      <c r="AD2" s="37"/>
      <c r="BR2" s="38"/>
      <c r="BS2" s="38"/>
      <c r="BT2" s="38"/>
      <c r="BU2" s="38"/>
      <c r="BV2" s="38"/>
      <c r="BW2" s="38"/>
      <c r="BX2" s="38"/>
      <c r="BY2" s="38"/>
      <c r="BZ2" s="38"/>
      <c r="CA2" s="38"/>
      <c r="CB2" s="38"/>
      <c r="CC2" s="38"/>
      <c r="CD2" s="38"/>
    </row>
    <row r="3" spans="1:82" s="23" customFormat="1" x14ac:dyDescent="0.4">
      <c r="A3" s="39" t="str">
        <f>SOP_Heading10</f>
        <v xml:space="preserve"> </v>
      </c>
      <c r="B3" s="39" t="str">
        <f>SOP_Heading9</f>
        <v xml:space="preserve"> </v>
      </c>
      <c r="C3" s="39" t="str">
        <f>SOP_Heading8</f>
        <v xml:space="preserve"> </v>
      </c>
      <c r="D3" s="39" t="str">
        <f>SOP_Heading7</f>
        <v xml:space="preserve"> </v>
      </c>
      <c r="E3" s="39" t="str">
        <f>SOP_Heading6</f>
        <v xml:space="preserve"> </v>
      </c>
      <c r="F3" s="39" t="str">
        <f>SOP_Heading5</f>
        <v xml:space="preserve"> </v>
      </c>
      <c r="G3" s="39" t="str">
        <f>SOP_Heading4</f>
        <v xml:space="preserve"> </v>
      </c>
      <c r="H3" s="39" t="str">
        <f>SOP_Heading3</f>
        <v>Product ID</v>
      </c>
      <c r="I3" s="39" t="str">
        <f>SOP_Heading2</f>
        <v>Location ID</v>
      </c>
      <c r="J3" s="39" t="str">
        <f>SOP_Heading1</f>
        <v>Key Figure</v>
      </c>
      <c r="K3" s="27" t="str">
        <f xml:space="preserve"> _xll.EPMOlapMemberO("[PERIODID3].[].[70613]","","JAN 2021","","000")</f>
        <v>JAN 2021</v>
      </c>
      <c r="L3" s="27" t="str">
        <f xml:space="preserve"> _xll.EPMOlapMemberO("[PERIODID3].[].[70614]","","FEB 2021","","000")</f>
        <v>FEB 2021</v>
      </c>
      <c r="M3" s="27" t="str">
        <f xml:space="preserve"> _xll.EPMOlapMemberO("[PERIODID3].[].[70615]","","MAR 2021","","000")</f>
        <v>MAR 2021</v>
      </c>
      <c r="N3" s="27" t="str">
        <f xml:space="preserve"> _xll.EPMOlapMemberO("[PERIODID3].[].[70616]","","APR 2021","","000")</f>
        <v>APR 2021</v>
      </c>
      <c r="O3" s="27" t="str">
        <f xml:space="preserve"> _xll.EPMOlapMemberO("[PERIODID3].[].[70617]","","MAY 2021","","000")</f>
        <v>MAY 2021</v>
      </c>
      <c r="P3" s="27" t="str">
        <f xml:space="preserve"> _xll.EPMOlapMemberO("[PERIODID3].[].[70618]","","JUN 2021","","000")</f>
        <v>JUN 2021</v>
      </c>
      <c r="Q3" s="27" t="str">
        <f xml:space="preserve"> _xll.EPMOlapMemberO("[PERIODID3].[].[70619]","","JUL 2021","","000")</f>
        <v>JUL 2021</v>
      </c>
      <c r="R3" s="27" t="str">
        <f xml:space="preserve"> _xll.EPMOlapMemberO("[PERIODID3].[].[70620]","","AUG 2021","","000")</f>
        <v>AUG 2021</v>
      </c>
      <c r="S3" s="27" t="str">
        <f xml:space="preserve"> _xll.EPMOlapMemberO("[PERIODID3].[].[70621]","","SEP 2021","","000")</f>
        <v>SEP 2021</v>
      </c>
      <c r="T3" s="27" t="str">
        <f xml:space="preserve"> _xll.EPMOlapMemberO("[PERIODID3].[].[70622]","","OCT 2021","","000")</f>
        <v>OCT 2021</v>
      </c>
      <c r="U3" s="27" t="str">
        <f xml:space="preserve"> _xll.EPMOlapMemberO("[PERIODID3].[].[70623]","","NOV 2021","","000")</f>
        <v>NOV 2021</v>
      </c>
      <c r="V3" s="27" t="str">
        <f xml:space="preserve"> _xll.EPMOlapMemberO("[PERIODID3].[].[70624]","","DEC 2021","","000")</f>
        <v>DEC 2021</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x14ac:dyDescent="0.4">
      <c r="H4" s="21" t="str">
        <f xml:space="preserve"> _xll.EPMOlapMemberO("[PRDID].[].[HT_001]","","HT_001","","000")</f>
        <v>HT_001</v>
      </c>
      <c r="I4" s="21" t="str">
        <f xml:space="preserve"> _xll.EPMOlapMemberO("[LOCID].[].[HD_DC_CA_E]","","HD_DC_CA_E","","000")</f>
        <v>HD_DC_CA_E</v>
      </c>
      <c r="J4" s="21" t="str">
        <f xml:space="preserve"> _xll.EPMOlapMemberO("[KEY_FIGURES].[].[CONSENSUSDEMAND]","","Consensus Demand without Promotion","","000")</f>
        <v>Consensus Demand without Promotion</v>
      </c>
      <c r="K4" s="29">
        <v>100</v>
      </c>
      <c r="L4" s="42">
        <v>1651.5</v>
      </c>
      <c r="M4" s="29">
        <v>50</v>
      </c>
      <c r="N4" s="29">
        <v>250</v>
      </c>
      <c r="O4" s="43">
        <v>6944</v>
      </c>
      <c r="P4" s="43">
        <v>100</v>
      </c>
      <c r="Q4" s="43">
        <v>125</v>
      </c>
      <c r="R4" s="43">
        <v>100</v>
      </c>
      <c r="S4" s="42">
        <v>100</v>
      </c>
      <c r="T4" s="42">
        <v>100</v>
      </c>
      <c r="U4" s="42">
        <v>300</v>
      </c>
      <c r="V4" s="29">
        <v>5000</v>
      </c>
    </row>
    <row r="5" spans="1:82" x14ac:dyDescent="0.4">
      <c r="H5" s="21"/>
      <c r="I5" s="21"/>
      <c r="J5" s="21" t="str">
        <f xml:space="preserve"> _xll.EPMOlapMemberO("[KEY_FIGURES].[].[DEMANDPLANNINGQTY]","","Demand Planning Qty","","000")</f>
        <v>Demand Planning Qty</v>
      </c>
      <c r="K5" s="24">
        <v>0</v>
      </c>
      <c r="L5" s="24">
        <v>0</v>
      </c>
      <c r="M5" s="24">
        <v>343</v>
      </c>
      <c r="N5" s="24">
        <v>0</v>
      </c>
      <c r="O5" s="24">
        <v>0</v>
      </c>
      <c r="P5" s="24"/>
      <c r="Q5" s="24"/>
      <c r="R5" s="24"/>
      <c r="S5" s="24">
        <v>0</v>
      </c>
      <c r="T5" s="24">
        <v>0</v>
      </c>
      <c r="U5" s="24">
        <v>0</v>
      </c>
      <c r="V5" s="24">
        <v>13.5</v>
      </c>
    </row>
    <row r="6" spans="1:82" x14ac:dyDescent="0.4">
      <c r="H6" s="21"/>
      <c r="I6" s="21"/>
      <c r="J6" s="21" t="str">
        <f xml:space="preserve"> _xll.EPMOlapMemberO("[KEY_FIGURES].[].[FINALCONSENSUSDEMAND]","","Consensus Demand","","000")</f>
        <v>Consensus Demand</v>
      </c>
      <c r="K6" s="24">
        <v>100</v>
      </c>
      <c r="L6" s="24">
        <v>17316.5</v>
      </c>
      <c r="M6" s="24">
        <v>50</v>
      </c>
      <c r="N6" s="24">
        <v>250</v>
      </c>
      <c r="O6" s="24">
        <v>6944</v>
      </c>
      <c r="P6" s="24">
        <v>100</v>
      </c>
      <c r="Q6" s="24">
        <v>125</v>
      </c>
      <c r="R6" s="24">
        <v>100</v>
      </c>
      <c r="S6" s="24">
        <v>100</v>
      </c>
      <c r="T6" s="24">
        <v>100</v>
      </c>
      <c r="U6" s="24">
        <v>300</v>
      </c>
      <c r="V6" s="24">
        <v>5000</v>
      </c>
    </row>
    <row r="7" spans="1:82" x14ac:dyDescent="0.4">
      <c r="H7" s="21"/>
      <c r="I7" s="21"/>
      <c r="J7" s="21" t="str">
        <f xml:space="preserve"> _xll.EPMOlapMemberO("[KEY_FIGURES].[].[ADJDELIVQTY]","","Delivered Qty Adjusted","","000")</f>
        <v>Delivered Qty Adjusted</v>
      </c>
      <c r="K7" s="29">
        <v>2325</v>
      </c>
      <c r="L7" s="29">
        <v>2100</v>
      </c>
      <c r="M7" s="29">
        <v>2325</v>
      </c>
      <c r="N7" s="29">
        <v>1710</v>
      </c>
      <c r="O7" s="29">
        <v>1479</v>
      </c>
      <c r="P7" s="29">
        <v>1437</v>
      </c>
      <c r="Q7" s="29">
        <v>43242</v>
      </c>
      <c r="R7" s="29">
        <v>45</v>
      </c>
      <c r="S7" s="29">
        <v>0</v>
      </c>
      <c r="T7" s="29">
        <v>0</v>
      </c>
      <c r="U7" s="29">
        <v>100000</v>
      </c>
      <c r="V7" s="29">
        <v>0</v>
      </c>
    </row>
    <row r="8" spans="1:82" x14ac:dyDescent="0.4">
      <c r="H8" s="21"/>
      <c r="I8" s="21"/>
      <c r="J8" s="21" t="str">
        <f xml:space="preserve"> _xll.EPMOlapMemberO("[KEY_FIGURES].[].[ACTUALSREV]","","Actuals Revenue","","000")</f>
        <v>Actuals Revenue</v>
      </c>
      <c r="K8" s="29"/>
      <c r="L8" s="29"/>
      <c r="M8" s="29"/>
      <c r="N8" s="29"/>
      <c r="O8" s="29"/>
      <c r="P8" s="29"/>
      <c r="Q8" s="29"/>
      <c r="R8" s="29"/>
      <c r="S8" s="29"/>
      <c r="T8" s="29"/>
      <c r="U8" s="29"/>
      <c r="V8" s="29"/>
    </row>
    <row r="9" spans="1:82" x14ac:dyDescent="0.4">
      <c r="H9" s="21"/>
      <c r="I9" s="21"/>
      <c r="J9" s="21" t="str">
        <f xml:space="preserve"> _xll.EPMOlapMemberO("[KEY_FIGURES].[].[CONFQTY]","","Confirmed Qty","","000")</f>
        <v>Confirmed Qty</v>
      </c>
      <c r="K9" s="24"/>
      <c r="L9" s="24"/>
      <c r="M9" s="24"/>
      <c r="N9" s="24"/>
      <c r="O9" s="24"/>
      <c r="P9" s="24"/>
      <c r="Q9" s="24"/>
      <c r="R9" s="24"/>
      <c r="S9" s="24"/>
      <c r="T9" s="24"/>
      <c r="U9" s="24"/>
      <c r="V9" s="24"/>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47" r:id="rId8" name="AnalyzerDynReportDC000tb1">
          <controlPr defaultSize="0" autoLine="0" r:id="rId9">
            <anchor moveWithCells="1">
              <from>
                <xdr:col>10</xdr:col>
                <xdr:colOff>0</xdr:colOff>
                <xdr:row>3</xdr:row>
                <xdr:rowOff>0</xdr:rowOff>
              </from>
              <to>
                <xdr:col>11</xdr:col>
                <xdr:colOff>310243</xdr:colOff>
                <xdr:row>3</xdr:row>
                <xdr:rowOff>5443</xdr:rowOff>
              </to>
            </anchor>
          </controlPr>
        </control>
      </mc:Choice>
      <mc:Fallback>
        <control shapeId="3147" r:id="rId8" name="AnalyzerDynReportDC000tb1"/>
      </mc:Fallback>
    </mc:AlternateContent>
    <mc:AlternateContent xmlns:mc="http://schemas.openxmlformats.org/markup-compatibility/2006">
      <mc:Choice Requires="x14">
        <control shapeId="3146" r:id="rId10" name="AnalyzerDynReportHC000tb1">
          <controlPr defaultSize="0" autoLine="0" r:id="rId11">
            <anchor moveWithCells="1">
              <from>
                <xdr:col>10</xdr:col>
                <xdr:colOff>0</xdr:colOff>
                <xdr:row>3</xdr:row>
                <xdr:rowOff>0</xdr:rowOff>
              </from>
              <to>
                <xdr:col>11</xdr:col>
                <xdr:colOff>310243</xdr:colOff>
                <xdr:row>3</xdr:row>
                <xdr:rowOff>5443</xdr:rowOff>
              </to>
            </anchor>
          </controlPr>
        </control>
      </mc:Choice>
      <mc:Fallback>
        <control shapeId="3146" r:id="rId10" name="AnalyzerDynReportHC000tb1"/>
      </mc:Fallback>
    </mc:AlternateContent>
    <mc:AlternateContent xmlns:mc="http://schemas.openxmlformats.org/markup-compatibility/2006">
      <mc:Choice Requires="x14">
        <control shapeId="3142" r:id="rId12" name="ReportSubmitControl_1DCtb1">
          <controlPr defaultSize="0" autoLine="0" r:id="rId13">
            <anchor moveWithCells="1">
              <from>
                <xdr:col>10</xdr:col>
                <xdr:colOff>0</xdr:colOff>
                <xdr:row>3</xdr:row>
                <xdr:rowOff>0</xdr:rowOff>
              </from>
              <to>
                <xdr:col>11</xdr:col>
                <xdr:colOff>310243</xdr:colOff>
                <xdr:row>3</xdr:row>
                <xdr:rowOff>5443</xdr:rowOff>
              </to>
            </anchor>
          </controlPr>
        </control>
      </mc:Choice>
      <mc:Fallback>
        <control shapeId="3142" r:id="rId12" name="ReportSubmitControl_1DCtb1"/>
      </mc:Fallback>
    </mc:AlternateContent>
    <mc:AlternateContent xmlns:mc="http://schemas.openxmlformats.org/markup-compatibility/2006">
      <mc:Choice Requires="x14">
        <control shapeId="3141" r:id="rId14" name="ReportSubmitControl_1HCtb1">
          <controlPr defaultSize="0" autoLine="0" r:id="rId15">
            <anchor moveWithCells="1">
              <from>
                <xdr:col>10</xdr:col>
                <xdr:colOff>0</xdr:colOff>
                <xdr:row>3</xdr:row>
                <xdr:rowOff>0</xdr:rowOff>
              </from>
              <to>
                <xdr:col>11</xdr:col>
                <xdr:colOff>310243</xdr:colOff>
                <xdr:row>3</xdr:row>
                <xdr:rowOff>5443</xdr:rowOff>
              </to>
            </anchor>
          </controlPr>
        </control>
      </mc:Choice>
      <mc:Fallback>
        <control shapeId="3141" r:id="rId14" name="ReportSubmitControl_1HCtb1"/>
      </mc:Fallback>
    </mc:AlternateContent>
    <mc:AlternateContent xmlns:mc="http://schemas.openxmlformats.org/markup-compatibility/2006">
      <mc:Choice Requires="x14">
        <control shapeId="3140" r:id="rId16" name="ReportSubmitManagerControlDCtb1">
          <controlPr defaultSize="0" autoLine="0" r:id="rId17">
            <anchor moveWithCells="1">
              <from>
                <xdr:col>10</xdr:col>
                <xdr:colOff>0</xdr:colOff>
                <xdr:row>3</xdr:row>
                <xdr:rowOff>0</xdr:rowOff>
              </from>
              <to>
                <xdr:col>11</xdr:col>
                <xdr:colOff>310243</xdr:colOff>
                <xdr:row>3</xdr:row>
                <xdr:rowOff>5443</xdr:rowOff>
              </to>
            </anchor>
          </controlPr>
        </control>
      </mc:Choice>
      <mc:Fallback>
        <control shapeId="3140" r:id="rId16" name="ReportSubmitManagerControlDCtb1"/>
      </mc:Fallback>
    </mc:AlternateContent>
    <mc:AlternateContent xmlns:mc="http://schemas.openxmlformats.org/markup-compatibility/2006">
      <mc:Choice Requires="x14">
        <control shapeId="3139" r:id="rId18" name="ReportSubmitManagerControlHCtb1">
          <controlPr defaultSize="0" autoLine="0" r:id="rId19">
            <anchor moveWithCells="1">
              <from>
                <xdr:col>10</xdr:col>
                <xdr:colOff>0</xdr:colOff>
                <xdr:row>3</xdr:row>
                <xdr:rowOff>0</xdr:rowOff>
              </from>
              <to>
                <xdr:col>11</xdr:col>
                <xdr:colOff>310243</xdr:colOff>
                <xdr:row>3</xdr:row>
                <xdr:rowOff>5443</xdr:rowOff>
              </to>
            </anchor>
          </controlPr>
        </control>
      </mc:Choice>
      <mc:Fallback>
        <control shapeId="3139" r:id="rId18" name="ReportSubmitManagerControlHCtb1"/>
      </mc:Fallback>
    </mc:AlternateContent>
    <mc:AlternateContent xmlns:mc="http://schemas.openxmlformats.org/markup-compatibility/2006">
      <mc:Choice Requires="x14">
        <control shapeId="3138" r:id="rId20" name="MultipleReportManagerInfoDCtb1">
          <controlPr defaultSize="0" autoLine="0" r:id="rId21">
            <anchor moveWithCells="1">
              <from>
                <xdr:col>10</xdr:col>
                <xdr:colOff>0</xdr:colOff>
                <xdr:row>3</xdr:row>
                <xdr:rowOff>0</xdr:rowOff>
              </from>
              <to>
                <xdr:col>11</xdr:col>
                <xdr:colOff>310243</xdr:colOff>
                <xdr:row>3</xdr:row>
                <xdr:rowOff>5443</xdr:rowOff>
              </to>
            </anchor>
          </controlPr>
        </control>
      </mc:Choice>
      <mc:Fallback>
        <control shapeId="3138" r:id="rId20" name="MultipleReportManagerInfoDCtb1"/>
      </mc:Fallback>
    </mc:AlternateContent>
    <mc:AlternateContent xmlns:mc="http://schemas.openxmlformats.org/markup-compatibility/2006">
      <mc:Choice Requires="x14">
        <control shapeId="3137" r:id="rId22" name="MultipleReportManagerInfoHCtb1">
          <controlPr defaultSize="0" autoLine="0" r:id="rId23">
            <anchor moveWithCells="1">
              <from>
                <xdr:col>10</xdr:col>
                <xdr:colOff>0</xdr:colOff>
                <xdr:row>3</xdr:row>
                <xdr:rowOff>0</xdr:rowOff>
              </from>
              <to>
                <xdr:col>11</xdr:col>
                <xdr:colOff>310243</xdr:colOff>
                <xdr:row>3</xdr:row>
                <xdr:rowOff>5443</xdr:rowOff>
              </to>
            </anchor>
          </controlPr>
        </control>
      </mc:Choice>
      <mc:Fallback>
        <control shapeId="3137" r:id="rId22" name="MultipleReportManagerInfoHCtb1"/>
      </mc:Fallback>
    </mc:AlternateContent>
    <mc:AlternateContent xmlns:mc="http://schemas.openxmlformats.org/markup-compatibility/2006">
      <mc:Choice Requires="x14">
        <control shapeId="3136" r:id="rId24" name="ConnectionDescriptorsInfoD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6" r:id="rId24" name="ConnectionDescriptorsInfoDCtb1"/>
      </mc:Fallback>
    </mc:AlternateContent>
    <mc:AlternateContent xmlns:mc="http://schemas.openxmlformats.org/markup-compatibility/2006">
      <mc:Choice Requires="x14">
        <control shapeId="3135" r:id="rId26" name="ConnectionDescriptorsInfoH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5" r:id="rId26" name="ConnectionDescriptorsInfoHCtb1"/>
      </mc:Fallback>
    </mc:AlternateContent>
    <mc:AlternateContent xmlns:mc="http://schemas.openxmlformats.org/markup-compatibility/2006">
      <mc:Choice Requires="x14">
        <control shapeId="3134" r:id="rId28" name="ReportSubmitControl_1tb1">
          <controlPr defaultSize="0" autoLine="0" autoPict="0" r:id="rId29">
            <anchor moveWithCells="1" sizeWithCells="1">
              <from>
                <xdr:col>0</xdr:col>
                <xdr:colOff>0</xdr:colOff>
                <xdr:row>0</xdr:row>
                <xdr:rowOff>0</xdr:rowOff>
              </from>
              <to>
                <xdr:col>6</xdr:col>
                <xdr:colOff>97971</xdr:colOff>
                <xdr:row>0</xdr:row>
                <xdr:rowOff>0</xdr:rowOff>
              </to>
            </anchor>
          </controlPr>
        </control>
      </mc:Choice>
      <mc:Fallback>
        <control shapeId="3134" r:id="rId28" name="ReportSubmitControl_1tb1"/>
      </mc:Fallback>
    </mc:AlternateContent>
    <mc:AlternateContent xmlns:mc="http://schemas.openxmlformats.org/markup-compatibility/2006">
      <mc:Choice Requires="x14">
        <control shapeId="3133" r:id="rId30" name="ReportSubmitManagerControltb1">
          <controlPr defaultSize="0" autoLine="0" autoPict="0" r:id="rId31">
            <anchor moveWithCells="1" sizeWithCells="1">
              <from>
                <xdr:col>0</xdr:col>
                <xdr:colOff>0</xdr:colOff>
                <xdr:row>0</xdr:row>
                <xdr:rowOff>0</xdr:rowOff>
              </from>
              <to>
                <xdr:col>6</xdr:col>
                <xdr:colOff>97971</xdr:colOff>
                <xdr:row>0</xdr:row>
                <xdr:rowOff>0</xdr:rowOff>
              </to>
            </anchor>
          </controlPr>
        </control>
      </mc:Choice>
      <mc:Fallback>
        <control shapeId="3133" r:id="rId30" name="ReportSubmitManagerControltb1"/>
      </mc:Fallback>
    </mc:AlternateContent>
    <mc:AlternateContent xmlns:mc="http://schemas.openxmlformats.org/markup-compatibility/2006">
      <mc:Choice Requires="x14">
        <control shapeId="3132" r:id="rId32" name="MultipleReportManagerInfotb1">
          <controlPr defaultSize="0" autoLine="0" autoPict="0" r:id="rId33">
            <anchor moveWithCells="1" sizeWithCells="1">
              <from>
                <xdr:col>0</xdr:col>
                <xdr:colOff>0</xdr:colOff>
                <xdr:row>0</xdr:row>
                <xdr:rowOff>0</xdr:rowOff>
              </from>
              <to>
                <xdr:col>6</xdr:col>
                <xdr:colOff>97971</xdr:colOff>
                <xdr:row>0</xdr:row>
                <xdr:rowOff>0</xdr:rowOff>
              </to>
            </anchor>
          </controlPr>
        </control>
      </mc:Choice>
      <mc:Fallback>
        <control shapeId="3132" r:id="rId32" name="MultipleReportManagerInfotb1"/>
      </mc:Fallback>
    </mc:AlternateContent>
    <mc:AlternateContent xmlns:mc="http://schemas.openxmlformats.org/markup-compatibility/2006">
      <mc:Choice Requires="x14">
        <control shapeId="3131" r:id="rId34" name="ConnectionDescriptorsInfotb1">
          <controlPr defaultSize="0" autoLine="0" autoPict="0" r:id="rId35">
            <anchor moveWithCells="1" sizeWithCells="1">
              <from>
                <xdr:col>0</xdr:col>
                <xdr:colOff>0</xdr:colOff>
                <xdr:row>0</xdr:row>
                <xdr:rowOff>0</xdr:rowOff>
              </from>
              <to>
                <xdr:col>6</xdr:col>
                <xdr:colOff>97971</xdr:colOff>
                <xdr:row>0</xdr:row>
                <xdr:rowOff>0</xdr:rowOff>
              </to>
            </anchor>
          </controlPr>
        </control>
      </mc:Choice>
      <mc:Fallback>
        <control shapeId="3131" r:id="rId34" name="ConnectionDescriptorsInfotb1"/>
      </mc:Fallback>
    </mc:AlternateContent>
    <mc:AlternateContent xmlns:mc="http://schemas.openxmlformats.org/markup-compatibility/2006">
      <mc:Choice Requires="x14">
        <control shapeId="3130" r:id="rId36" name="AnalyzerDynReport000tb1">
          <controlPr defaultSize="0" autoLine="0" autoPict="0" r:id="rId37">
            <anchor moveWithCells="1" sizeWithCells="1">
              <from>
                <xdr:col>0</xdr:col>
                <xdr:colOff>0</xdr:colOff>
                <xdr:row>0</xdr:row>
                <xdr:rowOff>0</xdr:rowOff>
              </from>
              <to>
                <xdr:col>6</xdr:col>
                <xdr:colOff>97971</xdr:colOff>
                <xdr:row>0</xdr:row>
                <xdr:rowOff>0</xdr:rowOff>
              </to>
            </anchor>
          </controlPr>
        </control>
      </mc:Choice>
      <mc:Fallback>
        <control shapeId="3130" r:id="rId36" name="AnalyzerDynReport000tb1"/>
      </mc:Fallback>
    </mc:AlternateContent>
    <mc:AlternateContent xmlns:mc="http://schemas.openxmlformats.org/markup-compatibility/2006">
      <mc:Choice Requires="x14">
        <control shapeId="3119" r:id="rId38" name="TextBox2">
          <controlPr defaultSize="0" disabled="1" autoLine="0" r:id="rId39">
            <anchor>
              <from>
                <xdr:col>8</xdr:col>
                <xdr:colOff>631371</xdr:colOff>
                <xdr:row>2</xdr:row>
                <xdr:rowOff>152400</xdr:rowOff>
              </from>
              <to>
                <xdr:col>8</xdr:col>
                <xdr:colOff>636814</xdr:colOff>
                <xdr:row>2</xdr:row>
                <xdr:rowOff>157843</xdr:rowOff>
              </to>
            </anchor>
          </controlPr>
        </control>
      </mc:Choice>
      <mc:Fallback>
        <control shapeId="3119" r:id="rId38" name="TextBox2"/>
      </mc:Fallback>
    </mc:AlternateContent>
    <mc:AlternateContent xmlns:mc="http://schemas.openxmlformats.org/markup-compatibility/2006">
      <mc:Choice Requires="x14">
        <control shapeId="3115" r:id="rId40" name="TextBox1">
          <controlPr defaultSize="0" disabled="1" autoLine="0" r:id="rId41">
            <anchor>
              <from>
                <xdr:col>0</xdr:col>
                <xdr:colOff>38100</xdr:colOff>
                <xdr:row>2</xdr:row>
                <xdr:rowOff>152400</xdr:rowOff>
              </from>
              <to>
                <xdr:col>0</xdr:col>
                <xdr:colOff>43543</xdr:colOff>
                <xdr:row>2</xdr:row>
                <xdr:rowOff>157843</xdr:rowOff>
              </to>
            </anchor>
          </controlPr>
        </control>
      </mc:Choice>
      <mc:Fallback>
        <control shapeId="3115" r:id="rId40" name="TextBox1"/>
      </mc:Fallback>
    </mc:AlternateContent>
    <mc:AlternateContent xmlns:mc="http://schemas.openxmlformats.org/markup-compatibility/2006">
      <mc:Choice Requires="x14">
        <control shapeId="3093" r:id="rId42" name="FPMExcelClientSheetOptionstb1">
          <controlPr defaultSize="0" autoLine="0" r:id="rId43">
            <anchor moveWithCells="1" sizeWithCells="1">
              <from>
                <xdr:col>0</xdr:col>
                <xdr:colOff>0</xdr:colOff>
                <xdr:row>0</xdr:row>
                <xdr:rowOff>0</xdr:rowOff>
              </from>
              <to>
                <xdr:col>0</xdr:col>
                <xdr:colOff>0</xdr:colOff>
                <xdr:row>0</xdr:row>
                <xdr:rowOff>0</xdr:rowOff>
              </to>
            </anchor>
          </controlPr>
        </control>
      </mc:Choice>
      <mc:Fallback>
        <control shapeId="3093" r:id="rId42"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Performance Test</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4E38DF8C-E276-4C3C-86B9-8AFBD4FACC9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3</vt:i4>
      </vt:variant>
    </vt:vector>
  </HeadingPairs>
  <TitlesOfParts>
    <vt:vector size="3" baseType="lpstr">
      <vt:lpstr>IBPFormattingSheet</vt:lpstr>
      <vt:lpstr>Testing</vt:lpstr>
      <vt:lpstr>Test 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revision/>
  <dcterms:created xsi:type="dcterms:W3CDTF">2012-11-19T20:56:01Z</dcterms:created>
  <dcterms:modified xsi:type="dcterms:W3CDTF">2023-08-16T11:56:11Z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84c8c326-6e74-4817-8a27-7d03dabfb1ca</vt:lpwstr>
  </property>
</Properties>
</file>