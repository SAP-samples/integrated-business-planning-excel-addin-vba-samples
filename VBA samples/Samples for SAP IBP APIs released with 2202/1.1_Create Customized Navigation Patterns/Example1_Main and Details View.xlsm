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ustomProperty5.bin" ContentType="application/vnd.openxmlformats-officedocument.spreadsheetml.customProperty"/>
  <Override PartName="/xl/customProperty6.bin" ContentType="application/vnd.openxmlformats-officedocument.spreadsheetml.customProperty"/>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2.2.0/1.1_Create Customized Navigation Patterns/"/>
    </mc:Choice>
  </mc:AlternateContent>
  <xr:revisionPtr revIDLastSave="524" documentId="6_{B1E048ED-C170-4865-8E94-44C0A1B59FCC}" xr6:coauthVersionLast="47" xr6:coauthVersionMax="47" xr10:uidLastSave="{74A4A7C7-395E-4DB8-8495-8B551CAC1219}"/>
  <bookViews>
    <workbookView xWindow="-103" yWindow="-103" windowWidth="22149" windowHeight="11949" tabRatio="374" firstSheet="1" activeTab="1" xr2:uid="{00000000-000D-0000-FFFF-FFFF00000000}"/>
  </bookViews>
  <sheets>
    <sheet name="IBPFormattingSheet" sheetId="11" state="hidden" r:id="rId1"/>
    <sheet name="Main" sheetId="5" r:id="rId2"/>
    <sheet name="Details" sheetId="9" r:id="rId3"/>
  </sheets>
  <definedNames>
    <definedName name="__FPMExcelClient_CellBasedFunctionStatus" localSheetId="2" hidden="1">"2_1_2_2_2_2"</definedName>
    <definedName name="__FPMExcelClient_CellBasedFunctionStatus" localSheetId="1" hidden="1">"2_1_2_2_2_2"</definedName>
    <definedName name="__FPMExcelClient_Connection" localSheetId="2">"{A63CB8EE-6674-452e-ACA5-65D5174D689E}_[https://pt6-001.wdf.sap.corp/sap/sop/sopfnd/services/addin/excel/]_[SOP]_[RBSAP6]_[]_[]_[false]_[True]\1"</definedName>
    <definedName name="__FPMExcelClient_Connection" localSheetId="1">"{A63CB8EE-6674-452e-ACA5-65D5174D689E}_[https://pt6-001.wdf.sap.corp/sap/sop/sopfnd/services/addin/excel/]_[SOP]_[RBSAP6]_[]_[]_[false]_[True]\1"</definedName>
    <definedName name="_xlnm._FilterDatabase" localSheetId="2" hidden="1">Details!$H$3:$V$3</definedName>
    <definedName name="_xlnm._FilterDatabase" localSheetId="1" hidden="1">Main!$I$3:$V$3</definedName>
    <definedName name="_SOP">" "</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IBPFormattingSheet!$D$46</definedName>
    <definedName name="AddMemberFirst_1" localSheetId="0" hidden="1">IBPFormattingSheet!$D$41</definedName>
    <definedName name="AddMemberFirst_2" localSheetId="0" hidden="1">IBPFormattingSheet!$D$44</definedName>
    <definedName name="AddMemberSecond" localSheetId="0" hidden="1">IBPFormattingSheet!$D$85</definedName>
    <definedName name="AddMemberSecond_1" localSheetId="0" hidden="1">IBPFormattingSheet!$D$65</definedName>
    <definedName name="AddMemberSecond_2" localSheetId="0" hidden="1">IBPFormattingSheet!$D$68</definedName>
    <definedName name="AddMemberSecond_3" localSheetId="0" hidden="1">IBPFormattingSheet!$D$71</definedName>
    <definedName name="AddMemberSecond_4" localSheetId="0" hidden="1">IBPFormattingSheet!$D$74</definedName>
    <definedName name="AddMemberSecond_5" localSheetId="0" hidden="1">IBPFormattingSheet!$D$77</definedName>
    <definedName name="AddMemberSecond_6" localSheetId="0" hidden="1">IBPFormattingSheet!$D$80</definedName>
    <definedName name="AddMemberSecond_7" localSheetId="0" hidden="1">IBPFormattingSheet!$D$83</definedName>
    <definedName name="DataFirst" localSheetId="0" hidden="1">IBPFormattingSheet!$E$25:$G$25</definedName>
    <definedName name="DataSecond" localSheetId="0" hidden="1">IBPFormattingSheet!$E$100:$G$100</definedName>
    <definedName name="DataUseFirst" localSheetId="0" hidden="1">IBPFormattingSheet!$H$25</definedName>
    <definedName name="DataUseSecond" localSheetId="0" hidden="1">IBPFormattingSheet!$H$100</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IBPFormattingSheet!$F$97</definedName>
    <definedName name="EvenDataSecond" localSheetId="0" hidden="1">IBPFormattingSheet!$F$105</definedName>
    <definedName name="EvenDataUseFirst" localSheetId="0" hidden="1">IBPFormattingSheet!$H$97</definedName>
    <definedName name="EvenDataUseSecond" localSheetId="0" hidden="1">IBPFormattingSheet!$H$105</definedName>
    <definedName name="EvenHeaderFirst" localSheetId="0" hidden="1">IBPFormattingSheet!$J$97</definedName>
    <definedName name="EvenHeaderSecond" localSheetId="0" hidden="1">IBPFormattingSheet!$J$105</definedName>
    <definedName name="EvenHeaderUseFirst" localSheetId="0" hidden="1">IBPFormattingSheet!$L$97</definedName>
    <definedName name="EvenHeaderUseSecond" localSheetId="0" hidden="1">IBPFormattingSheet!$L$105</definedName>
    <definedName name="HeaderFirst" localSheetId="0" hidden="1">IBPFormattingSheet!$I$25:$K$25</definedName>
    <definedName name="HeaderSecond" localSheetId="0" hidden="1">IBPFormattingSheet!$I$100:$K$100</definedName>
    <definedName name="HeaderSmallGrid" localSheetId="0" hidden="1">IBPFormattingSheet!$A$1</definedName>
    <definedName name="HeaderUseFirst" localSheetId="0" hidden="1">IBPFormattingSheet!$L$25</definedName>
    <definedName name="HeaderUseSecond" localSheetId="0" hidden="1">IBPFormattingSheet!$L$100</definedName>
    <definedName name="HeaderUseSmallGrid" localSheetId="0" hidden="1">IBPFormattingSheet!$A$1</definedName>
    <definedName name="IBPClientFormattingSheet" localSheetId="0" hidden="1">"3_3"</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IBPFormattingSheet!$B$87</definedName>
    <definedName name="MemberFirstBlock" localSheetId="0" hidden="1">IBPFormattingSheet!$B$24:$B$47</definedName>
    <definedName name="MemberFirstDataCalculated" localSheetId="0" hidden="1">IBPFormattingSheet!$F$27</definedName>
    <definedName name="MemberFirstDataChanged" localSheetId="0" hidden="1">IBPFormattingSheet!$F$36</definedName>
    <definedName name="MemberFirstDataCustom" localSheetId="0" hidden="1">IBPFormattingSheet!#REF!</definedName>
    <definedName name="MemberFirstDataInputable" localSheetId="0" hidden="1">IBPFormattingSheet!$F$30</definedName>
    <definedName name="MemberFirstDataItem_1" localSheetId="0" hidden="1">IBPFormattingSheet!$F$41</definedName>
    <definedName name="MemberFirstDataItem_2" localSheetId="0" hidden="1">IBPFormattingSheet!$F$44</definedName>
    <definedName name="MemberFirstDataLocal" localSheetId="0" hidden="1">IBPFormattingSheet!$F$33</definedName>
    <definedName name="MemberFirstDataUseCalculated" localSheetId="0" hidden="1">IBPFormattingSheet!$H$27</definedName>
    <definedName name="MemberFirstDataUseChanged" localSheetId="0" hidden="1">IBPFormattingSheet!$H$36</definedName>
    <definedName name="MemberFirstDataUseCustom" localSheetId="0" hidden="1">IBPFormattingSheet!#REF!</definedName>
    <definedName name="MemberFirstDataUseInputable" localSheetId="0" hidden="1">IBPFormattingSheet!$H$30</definedName>
    <definedName name="MemberFirstDataUseItem_1" localSheetId="0" hidden="1">IBPFormattingSheet!$H$41</definedName>
    <definedName name="MemberFirstDataUseItem_2" localSheetId="0" hidden="1">IBPFormattingSheet!$H$44</definedName>
    <definedName name="MemberFirstDataUseLocal" localSheetId="0" hidden="1">IBPFormattingSheet!$H$33</definedName>
    <definedName name="MemberFirstHeaderCalculated" localSheetId="0" hidden="1">IBPFormattingSheet!$J$27</definedName>
    <definedName name="MemberFirstHeaderChanged" localSheetId="0" hidden="1">IBPFormattingSheet!$J$36</definedName>
    <definedName name="MemberFirstHeaderCustom" localSheetId="0" hidden="1">IBPFormattingSheet!#REF!</definedName>
    <definedName name="MemberFirstHeaderInputable" localSheetId="0" hidden="1">IBPFormattingSheet!$J$30</definedName>
    <definedName name="MemberFirstHeaderItem_1" localSheetId="0" hidden="1">IBPFormattingSheet!$J$41</definedName>
    <definedName name="MemberFirstHeaderItem_2" localSheetId="0" hidden="1">IBPFormattingSheet!$J$44</definedName>
    <definedName name="MemberFirstHeaderLocal" localSheetId="0" hidden="1">IBPFormattingSheet!$J$33</definedName>
    <definedName name="MemberFirstHeaderUseCalculated" localSheetId="0" hidden="1">IBPFormattingSheet!$L$27</definedName>
    <definedName name="MemberFirstHeaderUseChanged" localSheetId="0" hidden="1">IBPFormattingSheet!$L$36</definedName>
    <definedName name="MemberFirstHeaderUseCustom" localSheetId="0" hidden="1">IBPFormattingSheet!#REF!</definedName>
    <definedName name="MemberFirstHeaderUseInputable" localSheetId="0" hidden="1">IBPFormattingSheet!$L$30</definedName>
    <definedName name="MemberFirstHeaderUseItem_1" localSheetId="0" hidden="1">IBPFormattingSheet!$L$41</definedName>
    <definedName name="MemberFirstHeaderUseItem_2" localSheetId="0" hidden="1">IBPFormattingSheet!$L$44</definedName>
    <definedName name="MemberFirstHeaderUseLocal" localSheetId="0" hidden="1">IBPFormattingSheet!$L$33</definedName>
    <definedName name="MemberSecondBlock" localSheetId="0" hidden="1">IBPFormattingSheet!$B$48:$B$86</definedName>
    <definedName name="MemberSecondDataCalculated" localSheetId="0" hidden="1">IBPFormattingSheet!$F$51</definedName>
    <definedName name="MemberSecondDataChanged" localSheetId="0" hidden="1">IBPFormattingSheet!$F$60</definedName>
    <definedName name="MemberSecondDataCustom" localSheetId="0" hidden="1">IBPFormattingSheet!#REF!</definedName>
    <definedName name="MemberSecondDataInputable" localSheetId="0" hidden="1">IBPFormattingSheet!$F$54</definedName>
    <definedName name="MemberSecondDataItem_1" localSheetId="0" hidden="1">IBPFormattingSheet!$F$65</definedName>
    <definedName name="MemberSecondDataItem_2" localSheetId="0" hidden="1">IBPFormattingSheet!$F$68</definedName>
    <definedName name="MemberSecondDataItem_3" localSheetId="0" hidden="1">IBPFormattingSheet!$F$71</definedName>
    <definedName name="MemberSecondDataItem_4" localSheetId="0" hidden="1">IBPFormattingSheet!$F$74</definedName>
    <definedName name="MemberSecondDataItem_5" localSheetId="0" hidden="1">IBPFormattingSheet!$F$77</definedName>
    <definedName name="MemberSecondDataItem_6" localSheetId="0" hidden="1">IBPFormattingSheet!$F$80</definedName>
    <definedName name="MemberSecondDataItem_7" localSheetId="0" hidden="1">IBPFormattingSheet!$F$83</definedName>
    <definedName name="MemberSecondDataLocal" localSheetId="0" hidden="1">IBPFormattingSheet!$F$57</definedName>
    <definedName name="MemberSecondDataUseCalculated" localSheetId="0" hidden="1">IBPFormattingSheet!$H$51</definedName>
    <definedName name="MemberSecondDataUseChanged" localSheetId="0" hidden="1">IBPFormattingSheet!$H$60</definedName>
    <definedName name="MemberSecondDataUseCustom" localSheetId="0" hidden="1">IBPFormattingSheet!#REF!</definedName>
    <definedName name="MemberSecondDataUseInputable" localSheetId="0" hidden="1">IBPFormattingSheet!$H$54</definedName>
    <definedName name="MemberSecondDataUseItem_1" localSheetId="0" hidden="1">IBPFormattingSheet!$H$65</definedName>
    <definedName name="MemberSecondDataUseItem_2" localSheetId="0" hidden="1">IBPFormattingSheet!$H$68</definedName>
    <definedName name="MemberSecondDataUseItem_3" localSheetId="0" hidden="1">IBPFormattingSheet!$H$71</definedName>
    <definedName name="MemberSecondDataUseItem_4" localSheetId="0" hidden="1">IBPFormattingSheet!$H$74</definedName>
    <definedName name="MemberSecondDataUseItem_5" localSheetId="0" hidden="1">IBPFormattingSheet!$H$77</definedName>
    <definedName name="MemberSecondDataUseItem_6" localSheetId="0" hidden="1">IBPFormattingSheet!$H$80</definedName>
    <definedName name="MemberSecondDataUseItem_7" localSheetId="0" hidden="1">IBPFormattingSheet!$H$83</definedName>
    <definedName name="MemberSecondDataUseLocal" localSheetId="0" hidden="1">IBPFormattingSheet!$H$57</definedName>
    <definedName name="MemberSecondHeaderCalculated" localSheetId="0" hidden="1">IBPFormattingSheet!$J$51</definedName>
    <definedName name="MemberSecondHeaderChanged" localSheetId="0" hidden="1">IBPFormattingSheet!$J$60</definedName>
    <definedName name="MemberSecondHeaderCustom" localSheetId="0" hidden="1">IBPFormattingSheet!#REF!</definedName>
    <definedName name="MemberSecondHeaderInputable" localSheetId="0" hidden="1">IBPFormattingSheet!$J$54</definedName>
    <definedName name="MemberSecondHeaderItem_1" localSheetId="0" hidden="1">IBPFormattingSheet!$J$65</definedName>
    <definedName name="MemberSecondHeaderItem_2" localSheetId="0" hidden="1">IBPFormattingSheet!$J$68</definedName>
    <definedName name="MemberSecondHeaderItem_3" localSheetId="0" hidden="1">IBPFormattingSheet!$J$71</definedName>
    <definedName name="MemberSecondHeaderItem_4" localSheetId="0" hidden="1">IBPFormattingSheet!$J$74</definedName>
    <definedName name="MemberSecondHeaderItem_5" localSheetId="0" hidden="1">IBPFormattingSheet!$J$77</definedName>
    <definedName name="MemberSecondHeaderItem_6" localSheetId="0" hidden="1">IBPFormattingSheet!$J$80</definedName>
    <definedName name="MemberSecondHeaderItem_7" localSheetId="0" hidden="1">IBPFormattingSheet!$J$83</definedName>
    <definedName name="MemberSecondHeaderLocal" localSheetId="0" hidden="1">IBPFormattingSheet!$J$57</definedName>
    <definedName name="MemberSecondHeaderUseCalculated" localSheetId="0" hidden="1">IBPFormattingSheet!$L$51</definedName>
    <definedName name="MemberSecondHeaderUseChanged" localSheetId="0" hidden="1">IBPFormattingSheet!$L$60</definedName>
    <definedName name="MemberSecondHeaderUseCustom" localSheetId="0" hidden="1">IBPFormattingSheet!#REF!</definedName>
    <definedName name="MemberSecondHeaderUseInputable" localSheetId="0" hidden="1">IBPFormattingSheet!$L$54</definedName>
    <definedName name="MemberSecondHeaderUseItem_1" localSheetId="0" hidden="1">IBPFormattingSheet!$L$65</definedName>
    <definedName name="MemberSecondHeaderUseItem_2" localSheetId="0" hidden="1">IBPFormattingSheet!$L$68</definedName>
    <definedName name="MemberSecondHeaderUseItem_3" localSheetId="0" hidden="1">IBPFormattingSheet!$L$71</definedName>
    <definedName name="MemberSecondHeaderUseItem_4" localSheetId="0" hidden="1">IBPFormattingSheet!$L$74</definedName>
    <definedName name="MemberSecondHeaderUseItem_5" localSheetId="0" hidden="1">IBPFormattingSheet!$L$77</definedName>
    <definedName name="MemberSecondHeaderUseItem_6" localSheetId="0" hidden="1">IBPFormattingSheet!$L$80</definedName>
    <definedName name="MemberSecondHeaderUseItem_7" localSheetId="0" hidden="1">IBPFormattingSheet!$L$83</definedName>
    <definedName name="MemberSecondHeaderUseLocal" localSheetId="0" hidden="1">IBPFormattingSheet!$L$57</definedName>
    <definedName name="OddDataFirst" localSheetId="0" hidden="1">IBPFormattingSheet!$F$94</definedName>
    <definedName name="OddDataSecond" localSheetId="0" hidden="1">IBPFormattingSheet!$F$102</definedName>
    <definedName name="OddDataUseFirst" localSheetId="0" hidden="1">IBPFormattingSheet!$H$94</definedName>
    <definedName name="OddDataUseSecond" localSheetId="0" hidden="1">IBPFormattingSheet!$H$102</definedName>
    <definedName name="OddEvenEndBlock" localSheetId="0" hidden="1">IBPFormattingSheet!$B$107</definedName>
    <definedName name="OddEvenFirstBlock" localSheetId="0" hidden="1">IBPFormattingSheet!$B$91:$B$98</definedName>
    <definedName name="OddEvenSecondBlock" localSheetId="0" hidden="1">IBPFormattingSheet!$B$99:$B$106</definedName>
    <definedName name="OddHeaderFirst" localSheetId="0" hidden="1">IBPFormattingSheet!$J$94</definedName>
    <definedName name="OddHeaderSecond" localSheetId="0" hidden="1">IBPFormattingSheet!$J$102</definedName>
    <definedName name="OddHeaderUseFirst" localSheetId="0" hidden="1">IBPFormattingSheet!$L$94</definedName>
    <definedName name="OddHeaderUseSecond" localSheetId="0" hidden="1">IBPFormattingSheet!$L$102</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 localSheetId="0">"IBP SCM SAP4PW"</definedName>
    <definedName name="SOP_Connection_Name">"SAP6"</definedName>
    <definedName name="SOP_CurrencyToID" localSheetId="2">"EUR"</definedName>
    <definedName name="SOP_CurrencyToID" localSheetId="1">"EUR"</definedName>
    <definedName name="SOP_CURRTOID" localSheetId="2">"EUR"</definedName>
    <definedName name="SOP_CURRTOID" localSheetId="1">"EUR"</definedName>
    <definedName name="SOP_Favorite_Name" localSheetId="0">" "</definedName>
    <definedName name="SOP_Favorite_Name">"Main and Details View"</definedName>
    <definedName name="SOP_Filter" localSheetId="2">{"Product ID = HT_002"}</definedName>
    <definedName name="SOP_Filter" localSheetId="0">{" "}</definedName>
    <definedName name="SOP_Filter" localSheetId="1">{"Customer ID = CA1000; CA2000; US9001; US9002","Brand ID = ConsumersChoice Kitchen Products; ConsumersChoice Television"}</definedName>
    <definedName name="SOP_Filter">{" "}</definedName>
    <definedName name="SOP_Filter_Criteria_Count" localSheetId="2">1</definedName>
    <definedName name="SOP_Filter_Criteria_Count" localSheetId="1">2</definedName>
    <definedName name="SOP_Filter_Name" localSheetId="2">"(Ad Hoc Filter)"</definedName>
    <definedName name="SOP_Filter_Name" localSheetId="1">"(Ad Hoc Filter)"</definedName>
    <definedName name="SOP_Heading1" localSheetId="2">"Key Figure"</definedName>
    <definedName name="SOP_Heading1" localSheetId="1">"Key Figure"</definedName>
    <definedName name="SOP_Heading10" localSheetId="2">" "</definedName>
    <definedName name="SOP_Heading10" localSheetId="1">" "</definedName>
    <definedName name="SOP_Heading11" localSheetId="2">" "</definedName>
    <definedName name="SOP_Heading11" localSheetId="1">" "</definedName>
    <definedName name="SOP_Heading12" localSheetId="2">" "</definedName>
    <definedName name="SOP_Heading12" localSheetId="1">" "</definedName>
    <definedName name="SOP_Heading13" localSheetId="2">" "</definedName>
    <definedName name="SOP_Heading13" localSheetId="1">" "</definedName>
    <definedName name="SOP_Heading14" localSheetId="2">" "</definedName>
    <definedName name="SOP_Heading14" localSheetId="1">" "</definedName>
    <definedName name="SOP_Heading15" localSheetId="2">" "</definedName>
    <definedName name="SOP_Heading15" localSheetId="1">" "</definedName>
    <definedName name="SOP_Heading2" localSheetId="2">"Location ID"</definedName>
    <definedName name="SOP_Heading2" localSheetId="1">"Product ID"</definedName>
    <definedName name="SOP_Heading3" localSheetId="2">"Product ID"</definedName>
    <definedName name="SOP_Heading3" localSheetId="1">" "</definedName>
    <definedName name="SOP_Heading4" localSheetId="2">" "</definedName>
    <definedName name="SOP_Heading4" localSheetId="1">" "</definedName>
    <definedName name="SOP_Heading5" localSheetId="2">" "</definedName>
    <definedName name="SOP_Heading5" localSheetId="1">" "</definedName>
    <definedName name="SOP_Heading6" localSheetId="2">" "</definedName>
    <definedName name="SOP_Heading6" localSheetId="1">" "</definedName>
    <definedName name="SOP_Heading7" localSheetId="2">" "</definedName>
    <definedName name="SOP_Heading7" localSheetId="1">" "</definedName>
    <definedName name="SOP_Heading8" localSheetId="2">" "</definedName>
    <definedName name="SOP_Heading8" localSheetId="1">" "</definedName>
    <definedName name="SOP_Heading9" localSheetId="2">" "</definedName>
    <definedName name="SOP_Heading9" localSheetId="1">" "</definedName>
    <definedName name="SOP_Planning_Area" localSheetId="0">"SAP4PW"</definedName>
    <definedName name="SOP_Planning_Area">"SAP6"</definedName>
    <definedName name="SOP_Planning_Scope" localSheetId="0">" "</definedName>
    <definedName name="SOP_Planning_Scope">"Base Version | Baseline"</definedName>
    <definedName name="SOP_Planning_Scope_v2">" "</definedName>
    <definedName name="SOP_Refresh_Timestamp" localSheetId="0">43129.8290046296</definedName>
    <definedName name="SOP_Refresh_Timestamp">45154.5525925926</definedName>
    <definedName name="SOP_TargetCurrency" localSheetId="2">"EUR"</definedName>
    <definedName name="SOP_TargetCurrency" localSheetId="1">"EUR"</definedName>
    <definedName name="SOP_TargetUoM" localSheetId="2">"PC"</definedName>
    <definedName name="SOP_TargetUoM" localSheetId="1">"PC"</definedName>
    <definedName name="SOP_Template_Name" localSheetId="0">" "</definedName>
    <definedName name="SOP_Template_Name">"template name"</definedName>
    <definedName name="SOP_UOMToID" localSheetId="2">"PC"</definedName>
    <definedName name="SOP_UOMToID" localSheetId="1">"PC"</definedName>
    <definedName name="SOP_Value_Based_Filter" localSheetId="2">{" "}</definedName>
    <definedName name="SOP_Value_Based_Filter" localSheetId="1">{" "}</definedName>
    <definedName name="SOP_Value_Based_Filter_Name" localSheetId="2">"(None)"</definedName>
    <definedName name="SOP_Value_Based_Filter_Name" localSheetId="1">"(None)"</definedName>
    <definedName name="SOP_WB_Filter">{" "}</definedName>
    <definedName name="SOP_WB_Filter_Criteria_Count">0</definedName>
    <definedName name="SOP_WB_Filter_Name">"(None)"</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9" l="1"/>
  <c r="H3" i="9"/>
  <c r="I3" i="9"/>
  <c r="A3" i="9"/>
  <c r="B3" i="9"/>
  <c r="C3" i="9"/>
  <c r="D3" i="9"/>
  <c r="E3" i="9"/>
  <c r="F3" i="9"/>
  <c r="G3" i="9"/>
  <c r="A2" i="9"/>
  <c r="K2" i="9"/>
  <c r="K1" i="9"/>
  <c r="J3" i="5"/>
  <c r="H3" i="5"/>
  <c r="I3" i="5"/>
  <c r="A3" i="5"/>
  <c r="B3" i="5"/>
  <c r="C3" i="5"/>
  <c r="D3" i="5"/>
  <c r="E3" i="5"/>
  <c r="F3" i="5"/>
  <c r="G3" i="5"/>
  <c r="A2" i="5"/>
  <c r="K2" i="5"/>
  <c r="K1" i="5"/>
  <c r="H4" i="9"/>
  <c r="I4" i="9"/>
  <c r="J4" i="9"/>
  <c r="N3" i="9"/>
  <c r="V3" i="9"/>
  <c r="O3" i="9"/>
  <c r="P3" i="9"/>
  <c r="Q3" i="9"/>
  <c r="U3" i="9"/>
  <c r="R3" i="9"/>
  <c r="K3" i="9"/>
  <c r="S3" i="9"/>
  <c r="L3" i="9"/>
  <c r="T3" i="9"/>
  <c r="M3" i="9"/>
  <c r="J35" i="9"/>
  <c r="J33" i="9"/>
  <c r="J34" i="9"/>
  <c r="J7" i="9"/>
  <c r="J31" i="9"/>
  <c r="J21" i="9"/>
  <c r="J32" i="9"/>
  <c r="J11" i="9"/>
  <c r="J18" i="9"/>
  <c r="J6" i="9"/>
  <c r="J5" i="9"/>
  <c r="J19" i="9"/>
  <c r="I20" i="9"/>
  <c r="J22" i="9"/>
  <c r="J8" i="9"/>
  <c r="I12" i="9"/>
  <c r="J17" i="9"/>
  <c r="J24" i="9"/>
  <c r="J27" i="9"/>
  <c r="J30" i="9"/>
  <c r="J10" i="9"/>
  <c r="J25" i="9"/>
  <c r="J13" i="9"/>
  <c r="J23" i="9"/>
  <c r="J26" i="9"/>
  <c r="I28" i="9"/>
  <c r="J15" i="9"/>
  <c r="J12" i="9"/>
  <c r="J28" i="9"/>
  <c r="J14" i="9"/>
  <c r="J29" i="9"/>
  <c r="J20" i="9"/>
  <c r="J16" i="9"/>
  <c r="J9" i="9"/>
  <c r="I4" i="5"/>
  <c r="I5" i="5"/>
  <c r="J5" i="5"/>
  <c r="J9" i="5"/>
  <c r="J13" i="5"/>
  <c r="R3" i="5"/>
  <c r="I6" i="5"/>
  <c r="I10" i="5"/>
  <c r="K3" i="5"/>
  <c r="S3" i="5"/>
  <c r="O3" i="5"/>
  <c r="J12" i="5"/>
  <c r="I9" i="5"/>
  <c r="J6" i="5"/>
  <c r="J10" i="5"/>
  <c r="L3" i="5"/>
  <c r="T3" i="5"/>
  <c r="N3" i="5"/>
  <c r="I8" i="5"/>
  <c r="J8" i="5"/>
  <c r="I13" i="5"/>
  <c r="I7" i="5"/>
  <c r="I11" i="5"/>
  <c r="M3" i="5"/>
  <c r="U3" i="5"/>
  <c r="J7" i="5"/>
  <c r="J11" i="5"/>
  <c r="V3" i="5"/>
  <c r="I12" i="5"/>
  <c r="J4" i="5"/>
  <c r="P3" i="5"/>
  <c r="Q3" i="5"/>
  <c r="Q1" i="9"/>
  <c r="Q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D41" authorId="0" shapeId="0" xr:uid="{9527D6CC-8115-4CA5-9C21-69F2313CB3EA}">
      <text>
        <r>
          <rPr>
            <b/>
            <sz val="9"/>
            <color indexed="81"/>
            <rFont val="Tahoma"/>
            <family val="2"/>
          </rPr>
          <t>TotalMember</t>
        </r>
      </text>
    </comment>
    <comment ref="D44" authorId="0" shapeId="0" xr:uid="{C80C6138-075F-4F86-84DB-75CB926D1AEB}">
      <text>
        <r>
          <rPr>
            <b/>
            <sz val="9"/>
            <color indexed="81"/>
            <rFont val="Tahoma"/>
            <family val="2"/>
          </rPr>
          <t>Property#KEY_FIGURES#FIXING#Equals#Y</t>
        </r>
      </text>
    </comment>
    <comment ref="D65" authorId="0" shapeId="0" xr:uid="{7854E228-25AF-4C52-BF72-7F9AB3337C48}">
      <text>
        <r>
          <rPr>
            <b/>
            <sz val="9"/>
            <color indexed="81"/>
            <rFont val="Tahoma"/>
            <family val="2"/>
          </rPr>
          <t>Property#PERIODID#TIMELEVEL#Equals#TOTAL</t>
        </r>
      </text>
    </comment>
    <comment ref="D68" authorId="0" shapeId="0" xr:uid="{7A52F423-332E-4489-A690-C55DDF6C90D8}">
      <text>
        <r>
          <rPr>
            <b/>
            <sz val="9"/>
            <color indexed="81"/>
            <rFont val="Tahoma"/>
            <family val="2"/>
          </rPr>
          <t>Property#PERIODID#TIMELEVEL#Equals#PERIODID0</t>
        </r>
      </text>
    </comment>
    <comment ref="D71" authorId="0" shapeId="0" xr:uid="{BF8B11F3-8BCD-46C4-864A-EE43EC1CC5B6}">
      <text>
        <r>
          <rPr>
            <b/>
            <sz val="9"/>
            <color indexed="81"/>
            <rFont val="Tahoma"/>
            <family val="2"/>
          </rPr>
          <t>Property#PERIODID#TIMELEVEL#Equals#PERIODID1</t>
        </r>
      </text>
    </comment>
    <comment ref="D74" authorId="0" shapeId="0" xr:uid="{A3E047ED-A23C-4149-97F3-CD38B72A6566}">
      <text>
        <r>
          <rPr>
            <b/>
            <sz val="9"/>
            <color indexed="81"/>
            <rFont val="Tahoma"/>
            <family val="2"/>
          </rPr>
          <t>Property#PERIODID#TIMELEVEL#Equals#PERIODID2</t>
        </r>
      </text>
    </comment>
    <comment ref="D77" authorId="0" shapeId="0" xr:uid="{C3492793-BB4D-4C5D-B95A-3B9DDC4A6408}">
      <text>
        <r>
          <rPr>
            <b/>
            <sz val="9"/>
            <color indexed="81"/>
            <rFont val="Tahoma"/>
            <family val="2"/>
          </rPr>
          <t>Property#PERIODID#TIMELEVEL#Equals#PERIODID3</t>
        </r>
      </text>
    </comment>
    <comment ref="D80" authorId="0" shapeId="0" xr:uid="{E4214CFF-B82D-4AF9-8166-4C2794D37E8D}">
      <text>
        <r>
          <rPr>
            <b/>
            <sz val="9"/>
            <color indexed="81"/>
            <rFont val="Tahoma"/>
            <family val="2"/>
          </rPr>
          <t>Property#PERIODID#TIMELEVEL#Equals#PERIODID4</t>
        </r>
      </text>
    </comment>
    <comment ref="D83" authorId="0" shapeId="0" xr:uid="{14038BB5-48EC-4C3A-B729-8C3C7F208279}">
      <text>
        <r>
          <rPr>
            <b/>
            <sz val="9"/>
            <color indexed="81"/>
            <rFont val="Tahoma"/>
            <family val="2"/>
          </rPr>
          <t>Property#PERIODID#TIMELEVEL#Equals#PERIODID5</t>
        </r>
      </text>
    </comment>
  </commentList>
</comments>
</file>

<file path=xl/sharedStrings.xml><?xml version="1.0" encoding="utf-8"?>
<sst xmlns="http://schemas.openxmlformats.org/spreadsheetml/2006/main" count="137" uniqueCount="40">
  <si>
    <t>Version_1_1</t>
  </si>
  <si>
    <t>Note: The format settings in lower sections overrides the ones in upper section if there are conflicts.</t>
  </si>
  <si>
    <t>Default Formatting</t>
  </si>
  <si>
    <t>Help</t>
  </si>
  <si>
    <t>Formatting and "Use" Column:</t>
  </si>
  <si>
    <t>Column</t>
  </si>
  <si>
    <t>Data</t>
  </si>
  <si>
    <t>Use</t>
  </si>
  <si>
    <t>Header</t>
  </si>
  <si>
    <t>Default Format</t>
  </si>
  <si>
    <t>All</t>
  </si>
  <si>
    <t>Label</t>
  </si>
  <si>
    <t>Row</t>
  </si>
  <si>
    <t>Priority to Row or Column</t>
  </si>
  <si>
    <t>Dimension Member/Property Formatting</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</si>
  <si>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</si>
  <si>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Default Format for Non-Editable Cells</t>
  </si>
  <si>
    <t>Default Format for Editable Cells</t>
  </si>
  <si>
    <t>Local Member Default Format</t>
  </si>
  <si>
    <t>Changed Member Default Format</t>
  </si>
  <si>
    <t>Formatting on Specific Member/Property:</t>
  </si>
  <si>
    <t>None</t>
  </si>
  <si>
    <t>Pattern</t>
  </si>
  <si>
    <t>Total Member</t>
  </si>
  <si>
    <t>FontBold</t>
  </si>
  <si>
    <t>Row and Column Banding</t>
  </si>
  <si>
    <t>Odd Formatting</t>
  </si>
  <si>
    <t>Even Formatting</t>
  </si>
  <si>
    <t>Integrated Business Planning</t>
  </si>
  <si>
    <t>IBP Formatting Sheet</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</si>
  <si>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</si>
  <si>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 xml:space="preserve">KEY_FIGURES.Fixing Enabled = Y </t>
  </si>
  <si>
    <t>Font</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</si>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</sst>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8"/>
      <color rgb="FF000000"/>
      <name val="Tahoma"/>
      <family val="2"/>
    </font>
    <font>
      <sz val="11"/>
      <color rgb="FF000000"/>
      <name val="Calibri"/>
      <family val="2"/>
    </font>
    <font>
      <b/>
      <sz val="9"/>
      <color indexed="81"/>
      <name val="Tahoma"/>
      <family val="2"/>
    </font>
    <font>
      <b/>
      <sz val="11"/>
      <color theme="1"/>
      <name val="Calibri"/>
      <family val="2"/>
      <scheme val="minor"/>
    </font>
    <font>
      <b/>
      <sz val="11"/>
      <color theme="1" tint="0.34998626667073579"/>
      <name val="Calibri"/>
      <family val="2"/>
      <scheme val="minor"/>
    </font>
    <font>
      <sz val="10"/>
      <color theme="1"/>
      <name val="Segoe UI Symbol"/>
      <family val="2"/>
    </font>
    <font>
      <sz val="10"/>
      <color theme="1" tint="0.34998626667073579"/>
      <name val="Segoe UI Symbol"/>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
      <patternFill patternType="solid">
        <fgColor indexed="65"/>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2" fillId="7" borderId="0" applyNumberFormat="0" applyBorder="0" applyAlignment="0" applyProtection="0"/>
  </cellStyleXfs>
  <cellXfs count="99">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Alignment="1">
      <alignment horizontal="center"/>
    </xf>
    <xf numFmtId="0" fontId="1" fillId="0" borderId="19" xfId="0" applyFont="1" applyBorder="1" applyAlignment="1" applyProtection="1">
      <alignment horizontal="left" vertical="center"/>
      <protection locked="0"/>
    </xf>
    <xf numFmtId="0" fontId="1" fillId="0" borderId="23" xfId="0" applyFont="1" applyBorder="1" applyAlignment="1">
      <alignment horizontal="center"/>
    </xf>
    <xf numFmtId="0" fontId="1" fillId="0" borderId="25" xfId="0" applyFont="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10" fillId="0" borderId="0" xfId="0" applyFont="1" applyAlignment="1" applyProtection="1">
      <alignment horizontal="left" vertical="center"/>
      <protection locked="0"/>
    </xf>
    <xf numFmtId="0" fontId="12" fillId="9" borderId="0" xfId="0" applyFont="1" applyFill="1"/>
    <xf numFmtId="0" fontId="0" fillId="10" borderId="0" xfId="0" applyFill="1"/>
    <xf numFmtId="3" fontId="11" fillId="0" borderId="0" xfId="0" applyNumberFormat="1" applyFont="1" applyAlignment="1" applyProtection="1">
      <alignment horizontal="right" vertical="center"/>
      <protection locked="0"/>
    </xf>
    <xf numFmtId="0" fontId="4" fillId="0" borderId="9" xfId="0" applyFont="1" applyBorder="1" applyAlignment="1">
      <alignment horizontal="left" vertical="center"/>
    </xf>
    <xf numFmtId="0" fontId="13" fillId="0" borderId="0" xfId="0" quotePrefix="1" applyFont="1" applyAlignment="1">
      <alignment horizontal="left" vertical="center"/>
    </xf>
    <xf numFmtId="0" fontId="14" fillId="0" borderId="0" xfId="0" applyFont="1" applyAlignment="1">
      <alignment horizontal="center"/>
    </xf>
    <xf numFmtId="0" fontId="4" fillId="0" borderId="0" xfId="0" applyFont="1" applyAlignment="1">
      <alignment horizontal="left" vertical="center"/>
    </xf>
    <xf numFmtId="0" fontId="1" fillId="0" borderId="7" xfId="0" applyFont="1" applyBorder="1" applyAlignment="1" applyProtection="1">
      <alignment horizontal="left" vertical="center"/>
      <protection locked="0"/>
    </xf>
    <xf numFmtId="0" fontId="1" fillId="0" borderId="31" xfId="0" applyFont="1" applyBorder="1" applyAlignment="1">
      <alignment horizontal="center"/>
    </xf>
    <xf numFmtId="0" fontId="1" fillId="1" borderId="31" xfId="0" applyFont="1" applyFill="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0" fontId="12" fillId="9" borderId="0" xfId="0" applyFont="1" applyFill="1" applyAlignment="1">
      <alignment horizontal="right" vertical="center"/>
    </xf>
    <xf numFmtId="0" fontId="9" fillId="9" borderId="0" xfId="0" applyFont="1" applyFill="1" applyAlignment="1">
      <alignment horizontal="left" vertical="center"/>
    </xf>
    <xf numFmtId="0" fontId="12" fillId="9" borderId="0" xfId="1" applyFill="1" applyBorder="1" applyAlignment="1" applyProtection="1"/>
    <xf numFmtId="0" fontId="9" fillId="10" borderId="0" xfId="0" applyFont="1" applyFill="1"/>
    <xf numFmtId="0" fontId="0" fillId="0" borderId="0" xfId="0" applyAlignment="1">
      <alignment horizontal="center"/>
    </xf>
    <xf numFmtId="0" fontId="0" fillId="0" borderId="23" xfId="0" applyBorder="1" applyAlignment="1">
      <alignment horizontal="center"/>
    </xf>
    <xf numFmtId="0" fontId="0" fillId="1" borderId="0" xfId="0" applyFill="1" applyAlignment="1">
      <alignment horizontal="center"/>
    </xf>
    <xf numFmtId="0" fontId="9" fillId="10" borderId="0" xfId="0" applyFont="1" applyFill="1" applyAlignment="1" applyProtection="1">
      <alignment horizontal="left" vertical="center"/>
      <protection locked="0"/>
    </xf>
    <xf numFmtId="0" fontId="0" fillId="1" borderId="31" xfId="0" applyFill="1" applyBorder="1" applyAlignment="1">
      <alignment horizontal="center"/>
    </xf>
    <xf numFmtId="0" fontId="0" fillId="0" borderId="0" xfId="0" applyAlignment="1" applyProtection="1">
      <alignment horizontal="left" vertical="center"/>
      <protection locked="0"/>
    </xf>
    <xf numFmtId="0" fontId="0" fillId="1" borderId="1" xfId="0" applyFill="1" applyBorder="1" applyAlignment="1">
      <alignment horizontal="center"/>
    </xf>
    <xf numFmtId="3" fontId="11" fillId="8" borderId="0" xfId="0" applyNumberFormat="1" applyFont="1" applyFill="1" applyAlignment="1" applyProtection="1">
      <alignment horizontal="right" vertical="center"/>
      <protection locked="0"/>
    </xf>
    <xf numFmtId="3" fontId="11" fillId="6" borderId="0" xfId="0" applyNumberFormat="1" applyFont="1" applyFill="1" applyAlignment="1" applyProtection="1">
      <alignment horizontal="right" vertical="center"/>
      <protection locked="0"/>
    </xf>
    <xf numFmtId="3" fontId="23" fillId="8" borderId="0" xfId="0" applyNumberFormat="1" applyFont="1" applyFill="1" applyAlignment="1" applyProtection="1">
      <alignment horizontal="right" vertical="center"/>
      <protection locked="0"/>
    </xf>
    <xf numFmtId="0" fontId="22" fillId="0" borderId="0" xfId="0" applyFont="1" applyAlignment="1" applyProtection="1">
      <alignment horizontal="left" vertical="center"/>
      <protection locked="0"/>
    </xf>
    <xf numFmtId="0" fontId="24" fillId="0" borderId="0" xfId="0" quotePrefix="1" applyFont="1" applyAlignment="1">
      <alignment horizontal="left" vertical="center"/>
    </xf>
    <xf numFmtId="3" fontId="25" fillId="0" borderId="0" xfId="0" quotePrefix="1" applyNumberFormat="1" applyFont="1" applyAlignment="1" applyProtection="1">
      <alignment horizontal="right" vertical="center"/>
      <protection locked="0"/>
    </xf>
    <xf numFmtId="0" fontId="0" fillId="0" borderId="31" xfId="0" applyBorder="1" applyAlignment="1">
      <alignment horizontal="center"/>
    </xf>
    <xf numFmtId="3" fontId="23" fillId="0" borderId="0" xfId="0" applyNumberFormat="1" applyFont="1" applyAlignment="1" applyProtection="1">
      <alignment horizontal="right" vertical="center"/>
      <protection locked="0"/>
    </xf>
    <xf numFmtId="0" fontId="0" fillId="11" borderId="0" xfId="0" applyFill="1" applyAlignment="1" applyProtection="1">
      <alignment horizontal="left" vertical="center"/>
      <protection locked="0"/>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11" fillId="0" borderId="0" xfId="0" applyFont="1" applyAlignment="1" applyProtection="1">
      <alignment horizontal="right" vertical="center"/>
      <protection locked="0"/>
    </xf>
    <xf numFmtId="0" fontId="1" fillId="0" borderId="12" xfId="0" applyFont="1" applyBorder="1" applyAlignment="1">
      <alignment horizontal="center"/>
    </xf>
    <xf numFmtId="0" fontId="1" fillId="0" borderId="30"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3" fontId="11" fillId="17" borderId="0" xfId="0" applyNumberFormat="1" applyFont="1" applyFill="1" applyAlignment="1" applyProtection="1">
      <alignment horizontal="right" vertical="center"/>
      <protection locked="0"/>
    </xf>
    <xf numFmtId="3" fontId="25" fillId="17" borderId="0" xfId="0" applyNumberFormat="1" applyFont="1" applyFill="1" applyAlignment="1" applyProtection="1">
      <alignment horizontal="right" vertical="center"/>
      <protection locked="0"/>
    </xf>
    <xf numFmtId="3" fontId="25" fillId="0" borderId="0" xfId="0" applyNumberFormat="1" applyFont="1" applyAlignment="1" applyProtection="1">
      <alignment horizontal="right" vertical="center"/>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4"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9"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30" xfId="0" applyFont="1" applyBorder="1" applyAlignment="1">
      <alignment horizontal="center"/>
    </xf>
    <xf numFmtId="0" fontId="5" fillId="3" borderId="26"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5" xfId="0" applyFont="1" applyFill="1" applyBorder="1" applyAlignment="1">
      <alignment horizontal="center" vertical="center"/>
    </xf>
    <xf numFmtId="0" fontId="1" fillId="0" borderId="27"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18" xfId="0" applyFont="1" applyFill="1" applyBorder="1" applyAlignment="1" applyProtection="1">
      <alignment horizontal="center" vertical="center"/>
      <protection hidden="1"/>
    </xf>
    <xf numFmtId="0" fontId="1" fillId="0" borderId="8" xfId="0" applyFont="1" applyBorder="1" applyAlignment="1">
      <alignment horizontal="center"/>
    </xf>
    <xf numFmtId="0" fontId="6" fillId="5" borderId="28" xfId="0" applyFont="1" applyFill="1" applyBorder="1" applyAlignment="1" applyProtection="1">
      <alignment horizontal="center" vertical="center"/>
      <protection hidden="1"/>
    </xf>
    <xf numFmtId="0" fontId="15" fillId="9" borderId="0" xfId="0" quotePrefix="1" applyFont="1" applyFill="1" applyAlignment="1">
      <alignment horizontal="left" vertical="top" wrapText="1" indent="5"/>
    </xf>
    <xf numFmtId="0" fontId="15" fillId="9" borderId="0" xfId="0" quotePrefix="1" applyFont="1" applyFill="1" applyAlignment="1">
      <alignment horizontal="left" vertical="top" indent="5"/>
    </xf>
    <xf numFmtId="0" fontId="16" fillId="9" borderId="0" xfId="0" applyFont="1" applyFill="1" applyAlignment="1">
      <alignment horizontal="left" vertical="center"/>
    </xf>
    <xf numFmtId="0" fontId="17" fillId="9" borderId="0" xfId="0" applyFont="1" applyFill="1" applyAlignment="1">
      <alignment horizontal="right" vertical="top" wrapText="1"/>
    </xf>
    <xf numFmtId="0" fontId="18" fillId="9" borderId="0" xfId="0" quotePrefix="1" applyFont="1" applyFill="1" applyAlignment="1">
      <alignment horizontal="left" vertical="top" wrapText="1" indent="5"/>
    </xf>
    <xf numFmtId="0" fontId="17" fillId="9" borderId="0" xfId="0" applyFont="1" applyFill="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10.emf"/><Relationship Id="rId18" Type="http://schemas.openxmlformats.org/officeDocument/2006/relationships/image" Target="../media/image5.emf"/><Relationship Id="rId3" Type="http://schemas.openxmlformats.org/officeDocument/2006/relationships/image" Target="../media/image20.emf"/><Relationship Id="rId7" Type="http://schemas.openxmlformats.org/officeDocument/2006/relationships/image" Target="../media/image16.emf"/><Relationship Id="rId12" Type="http://schemas.openxmlformats.org/officeDocument/2006/relationships/image" Target="../media/image11.emf"/><Relationship Id="rId17" Type="http://schemas.openxmlformats.org/officeDocument/2006/relationships/image" Target="../media/image6.emf"/><Relationship Id="rId2" Type="http://schemas.openxmlformats.org/officeDocument/2006/relationships/image" Target="../media/image21.emf"/><Relationship Id="rId16" Type="http://schemas.openxmlformats.org/officeDocument/2006/relationships/image" Target="../media/image7.emf"/><Relationship Id="rId1" Type="http://schemas.openxmlformats.org/officeDocument/2006/relationships/image" Target="../media/image22.emf"/><Relationship Id="rId6" Type="http://schemas.openxmlformats.org/officeDocument/2006/relationships/image" Target="../media/image17.emf"/><Relationship Id="rId11" Type="http://schemas.openxmlformats.org/officeDocument/2006/relationships/image" Target="../media/image12.emf"/><Relationship Id="rId5" Type="http://schemas.openxmlformats.org/officeDocument/2006/relationships/image" Target="../media/image18.emf"/><Relationship Id="rId15" Type="http://schemas.openxmlformats.org/officeDocument/2006/relationships/image" Target="../media/image8.emf"/><Relationship Id="rId10" Type="http://schemas.openxmlformats.org/officeDocument/2006/relationships/image" Target="../media/image13.emf"/><Relationship Id="rId4" Type="http://schemas.openxmlformats.org/officeDocument/2006/relationships/image" Target="../media/image19.emf"/><Relationship Id="rId9" Type="http://schemas.openxmlformats.org/officeDocument/2006/relationships/image" Target="../media/image14.emf"/><Relationship Id="rId14"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30.emf"/><Relationship Id="rId1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36.emf"/><Relationship Id="rId12" Type="http://schemas.openxmlformats.org/officeDocument/2006/relationships/image" Target="../media/image31.emf"/><Relationship Id="rId17" Type="http://schemas.openxmlformats.org/officeDocument/2006/relationships/image" Target="../media/image26.emf"/><Relationship Id="rId2" Type="http://schemas.openxmlformats.org/officeDocument/2006/relationships/image" Target="../media/image40.emf"/><Relationship Id="rId16" Type="http://schemas.openxmlformats.org/officeDocument/2006/relationships/image" Target="../media/image27.emf"/><Relationship Id="rId1" Type="http://schemas.openxmlformats.org/officeDocument/2006/relationships/image" Target="../media/image41.emf"/><Relationship Id="rId6" Type="http://schemas.openxmlformats.org/officeDocument/2006/relationships/image" Target="../media/image37.emf"/><Relationship Id="rId11" Type="http://schemas.openxmlformats.org/officeDocument/2006/relationships/image" Target="../media/image32.emf"/><Relationship Id="rId5" Type="http://schemas.openxmlformats.org/officeDocument/2006/relationships/image" Target="../media/image38.emf"/><Relationship Id="rId15" Type="http://schemas.openxmlformats.org/officeDocument/2006/relationships/image" Target="../media/image28.emf"/><Relationship Id="rId10" Type="http://schemas.openxmlformats.org/officeDocument/2006/relationships/image" Target="../media/image33.emf"/><Relationship Id="rId4" Type="http://schemas.openxmlformats.org/officeDocument/2006/relationships/image" Target="../media/image39.emf"/><Relationship Id="rId9" Type="http://schemas.openxmlformats.org/officeDocument/2006/relationships/image" Target="../media/image34.emf"/><Relationship Id="rId14"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70757</xdr:rowOff>
        </xdr:from>
        <xdr:to>
          <xdr:col>7</xdr:col>
          <xdr:colOff>1605643</xdr:colOff>
          <xdr:row>4</xdr:row>
          <xdr:rowOff>342900</xdr:rowOff>
        </xdr:to>
        <xdr:sp macro="" textlink="">
          <xdr:nvSpPr>
            <xdr:cNvPr id="13313" name="cbApplyLevelFormatting" hidden="1">
              <a:extLst>
                <a:ext uri="{63B3BB69-23CF-44E3-9099-C40C66FF867C}">
                  <a14:compatExt spid="_x0000_s13313"/>
                </a:ext>
                <a:ext uri="{FF2B5EF4-FFF2-40B4-BE49-F238E27FC236}">
                  <a16:creationId xmlns:a16="http://schemas.microsoft.com/office/drawing/2014/main" id="{43CF0E50-A6C5-420E-9D14-C43D6F6513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13314" name="Group Box 2" hidden="1">
              <a:extLst>
                <a:ext uri="{63B3BB69-23CF-44E3-9099-C40C66FF867C}">
                  <a14:compatExt spid="_x0000_s13314"/>
                </a:ext>
                <a:ext uri="{FF2B5EF4-FFF2-40B4-BE49-F238E27FC236}">
                  <a16:creationId xmlns:a16="http://schemas.microsoft.com/office/drawing/2014/main" id="{0C813E89-2851-4778-926D-D72AA4240F3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5</xdr:row>
          <xdr:rowOff>59871</xdr:rowOff>
        </xdr:from>
        <xdr:to>
          <xdr:col>3</xdr:col>
          <xdr:colOff>2623457</xdr:colOff>
          <xdr:row>5</xdr:row>
          <xdr:rowOff>272143</xdr:rowOff>
        </xdr:to>
        <xdr:sp macro="" textlink="">
          <xdr:nvSpPr>
            <xdr:cNvPr id="13315" name="obLevelRowFirst" hidden="1">
              <a:extLst>
                <a:ext uri="{63B3BB69-23CF-44E3-9099-C40C66FF867C}">
                  <a14:compatExt spid="_x0000_s13315"/>
                </a:ext>
                <a:ext uri="{FF2B5EF4-FFF2-40B4-BE49-F238E27FC236}">
                  <a16:creationId xmlns:a16="http://schemas.microsoft.com/office/drawing/2014/main" id="{A06FBA16-2C31-4466-B142-FD38CA843CA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457200</xdr:colOff>
          <xdr:row>5</xdr:row>
          <xdr:rowOff>272143</xdr:rowOff>
        </xdr:to>
        <xdr:sp macro="" textlink="">
          <xdr:nvSpPr>
            <xdr:cNvPr id="13316" name="obLevelColumnFirst" hidden="1">
              <a:extLst>
                <a:ext uri="{63B3BB69-23CF-44E3-9099-C40C66FF867C}">
                  <a14:compatExt spid="_x0000_s13316"/>
                </a:ext>
                <a:ext uri="{FF2B5EF4-FFF2-40B4-BE49-F238E27FC236}">
                  <a16:creationId xmlns:a16="http://schemas.microsoft.com/office/drawing/2014/main" id="{17F674C3-3EF9-4A45-AADD-C693DFBB408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2748643</xdr:colOff>
          <xdr:row>5</xdr:row>
          <xdr:rowOff>0</xdr:rowOff>
        </xdr:from>
        <xdr:to>
          <xdr:col>8</xdr:col>
          <xdr:colOff>190500</xdr:colOff>
          <xdr:row>6</xdr:row>
          <xdr:rowOff>0</xdr:rowOff>
        </xdr:to>
        <xdr:sp macro="" textlink="">
          <xdr:nvSpPr>
            <xdr:cNvPr id="13317" name="Group Box 5" hidden="1">
              <a:extLst>
                <a:ext uri="{63B3BB69-23CF-44E3-9099-C40C66FF867C}">
                  <a14:compatExt spid="_x0000_s13317"/>
                </a:ext>
                <a:ext uri="{FF2B5EF4-FFF2-40B4-BE49-F238E27FC236}">
                  <a16:creationId xmlns:a16="http://schemas.microsoft.com/office/drawing/2014/main" id="{5540DE7B-5A49-4E34-B4E8-7F3DB493EF2E}"/>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5443</xdr:colOff>
          <xdr:row>14</xdr:row>
          <xdr:rowOff>0</xdr:rowOff>
        </xdr:to>
        <xdr:sp macro="" textlink="">
          <xdr:nvSpPr>
            <xdr:cNvPr id="13318" name="Group Box 6" hidden="1">
              <a:extLst>
                <a:ext uri="{63B3BB69-23CF-44E3-9099-C40C66FF867C}">
                  <a14:compatExt spid="_x0000_s13318"/>
                </a:ext>
                <a:ext uri="{FF2B5EF4-FFF2-40B4-BE49-F238E27FC236}">
                  <a16:creationId xmlns:a16="http://schemas.microsoft.com/office/drawing/2014/main" id="{BA17FE2B-D143-47F6-A909-1CB875B7EBFC}"/>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14</xdr:row>
          <xdr:rowOff>195943</xdr:rowOff>
        </xdr:from>
        <xdr:to>
          <xdr:col>2</xdr:col>
          <xdr:colOff>1028700</xdr:colOff>
          <xdr:row>17</xdr:row>
          <xdr:rowOff>38100</xdr:rowOff>
        </xdr:to>
        <xdr:sp macro="" textlink="">
          <xdr:nvSpPr>
            <xdr:cNvPr id="13319" name="cbUseDefaultLevelFirst" hidden="1">
              <a:extLst>
                <a:ext uri="{63B3BB69-23CF-44E3-9099-C40C66FF867C}">
                  <a14:compatExt spid="_x0000_s13319"/>
                </a:ext>
                <a:ext uri="{FF2B5EF4-FFF2-40B4-BE49-F238E27FC236}">
                  <a16:creationId xmlns:a16="http://schemas.microsoft.com/office/drawing/2014/main" id="{1D10F902-0CB3-46CA-8BAE-2F13543523F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5443</xdr:colOff>
          <xdr:row>8</xdr:row>
          <xdr:rowOff>0</xdr:rowOff>
        </xdr:to>
        <xdr:sp macro="" textlink="">
          <xdr:nvSpPr>
            <xdr:cNvPr id="13320" name="Group Box 8" hidden="1">
              <a:extLst>
                <a:ext uri="{63B3BB69-23CF-44E3-9099-C40C66FF867C}">
                  <a14:compatExt spid="_x0000_s13320"/>
                </a:ext>
                <a:ext uri="{FF2B5EF4-FFF2-40B4-BE49-F238E27FC236}">
                  <a16:creationId xmlns:a16="http://schemas.microsoft.com/office/drawing/2014/main" id="{023B1EF4-73F0-45E0-9399-15B271526B4A}"/>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xdr:row>
          <xdr:rowOff>0</xdr:rowOff>
        </xdr:from>
        <xdr:to>
          <xdr:col>2</xdr:col>
          <xdr:colOff>1028700</xdr:colOff>
          <xdr:row>11</xdr:row>
          <xdr:rowOff>38100</xdr:rowOff>
        </xdr:to>
        <xdr:sp macro="" textlink="">
          <xdr:nvSpPr>
            <xdr:cNvPr id="13321" name="cbUseDefaultLevelSecond" hidden="1">
              <a:extLst>
                <a:ext uri="{63B3BB69-23CF-44E3-9099-C40C66FF867C}">
                  <a14:compatExt spid="_x0000_s13321"/>
                </a:ext>
                <a:ext uri="{FF2B5EF4-FFF2-40B4-BE49-F238E27FC236}">
                  <a16:creationId xmlns:a16="http://schemas.microsoft.com/office/drawing/2014/main" id="{39343245-2317-48EE-894A-D98A9598F5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70757</xdr:rowOff>
        </xdr:from>
        <xdr:to>
          <xdr:col>9</xdr:col>
          <xdr:colOff>604157</xdr:colOff>
          <xdr:row>21</xdr:row>
          <xdr:rowOff>342900</xdr:rowOff>
        </xdr:to>
        <xdr:sp macro="" textlink="">
          <xdr:nvSpPr>
            <xdr:cNvPr id="13322" name="cbApplyMemberFormatting" hidden="1">
              <a:extLst>
                <a:ext uri="{63B3BB69-23CF-44E3-9099-C40C66FF867C}">
                  <a14:compatExt spid="_x0000_s13322"/>
                </a:ext>
                <a:ext uri="{FF2B5EF4-FFF2-40B4-BE49-F238E27FC236}">
                  <a16:creationId xmlns:a16="http://schemas.microsoft.com/office/drawing/2014/main" id="{CB0CF7D0-D3A8-4CB5-9BE6-0468A36FC5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13323" name="Group Box 11" hidden="1">
              <a:extLst>
                <a:ext uri="{63B3BB69-23CF-44E3-9099-C40C66FF867C}">
                  <a14:compatExt spid="_x0000_s13323"/>
                </a:ext>
                <a:ext uri="{FF2B5EF4-FFF2-40B4-BE49-F238E27FC236}">
                  <a16:creationId xmlns:a16="http://schemas.microsoft.com/office/drawing/2014/main" id="{E95A91A2-B29E-46FE-AC60-A9A737257CE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22</xdr:row>
          <xdr:rowOff>59871</xdr:rowOff>
        </xdr:from>
        <xdr:to>
          <xdr:col>3</xdr:col>
          <xdr:colOff>2623457</xdr:colOff>
          <xdr:row>22</xdr:row>
          <xdr:rowOff>272143</xdr:rowOff>
        </xdr:to>
        <xdr:sp macro="" textlink="">
          <xdr:nvSpPr>
            <xdr:cNvPr id="13324" name="obMemberRowFirst" hidden="1">
              <a:extLst>
                <a:ext uri="{63B3BB69-23CF-44E3-9099-C40C66FF867C}">
                  <a14:compatExt spid="_x0000_s13324"/>
                </a:ext>
                <a:ext uri="{FF2B5EF4-FFF2-40B4-BE49-F238E27FC236}">
                  <a16:creationId xmlns:a16="http://schemas.microsoft.com/office/drawing/2014/main" id="{4EC45185-88B9-41CA-A86C-C901BCBD26F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457200</xdr:colOff>
          <xdr:row>22</xdr:row>
          <xdr:rowOff>272143</xdr:rowOff>
        </xdr:to>
        <xdr:sp macro="" textlink="">
          <xdr:nvSpPr>
            <xdr:cNvPr id="13325" name="obMemberColumnFirst" hidden="1">
              <a:extLst>
                <a:ext uri="{63B3BB69-23CF-44E3-9099-C40C66FF867C}">
                  <a14:compatExt spid="_x0000_s13325"/>
                </a:ext>
                <a:ext uri="{FF2B5EF4-FFF2-40B4-BE49-F238E27FC236}">
                  <a16:creationId xmlns:a16="http://schemas.microsoft.com/office/drawing/2014/main" id="{1D0B9C6B-F14A-4840-971C-187686BAF82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25</xdr:row>
          <xdr:rowOff>0</xdr:rowOff>
        </xdr:from>
        <xdr:to>
          <xdr:col>2</xdr:col>
          <xdr:colOff>1028700</xdr:colOff>
          <xdr:row>28</xdr:row>
          <xdr:rowOff>0</xdr:rowOff>
        </xdr:to>
        <xdr:sp macro="" textlink="">
          <xdr:nvSpPr>
            <xdr:cNvPr id="13326" name="cbApplyCalculatedMemberFirst" hidden="1">
              <a:extLst>
                <a:ext uri="{63B3BB69-23CF-44E3-9099-C40C66FF867C}">
                  <a14:compatExt spid="_x0000_s13326"/>
                </a:ext>
                <a:ext uri="{FF2B5EF4-FFF2-40B4-BE49-F238E27FC236}">
                  <a16:creationId xmlns:a16="http://schemas.microsoft.com/office/drawing/2014/main" id="{9D3ABC11-C190-495B-93C2-D05A694777B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28</xdr:row>
          <xdr:rowOff>0</xdr:rowOff>
        </xdr:from>
        <xdr:to>
          <xdr:col>2</xdr:col>
          <xdr:colOff>1028700</xdr:colOff>
          <xdr:row>30</xdr:row>
          <xdr:rowOff>38100</xdr:rowOff>
        </xdr:to>
        <xdr:sp macro="" textlink="">
          <xdr:nvSpPr>
            <xdr:cNvPr id="13327" name="cbApplyImputableMemberFirst" hidden="1">
              <a:extLst>
                <a:ext uri="{63B3BB69-23CF-44E3-9099-C40C66FF867C}">
                  <a14:compatExt spid="_x0000_s13327"/>
                </a:ext>
                <a:ext uri="{FF2B5EF4-FFF2-40B4-BE49-F238E27FC236}">
                  <a16:creationId xmlns:a16="http://schemas.microsoft.com/office/drawing/2014/main" id="{847CBEE7-5D58-4592-9E88-4DA0DE1E048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31</xdr:row>
          <xdr:rowOff>0</xdr:rowOff>
        </xdr:from>
        <xdr:to>
          <xdr:col>2</xdr:col>
          <xdr:colOff>1028700</xdr:colOff>
          <xdr:row>33</xdr:row>
          <xdr:rowOff>38100</xdr:rowOff>
        </xdr:to>
        <xdr:sp macro="" textlink="">
          <xdr:nvSpPr>
            <xdr:cNvPr id="13328" name="cbApplyLocalMemberFirst" hidden="1">
              <a:extLst>
                <a:ext uri="{63B3BB69-23CF-44E3-9099-C40C66FF867C}">
                  <a14:compatExt spid="_x0000_s13328"/>
                </a:ext>
                <a:ext uri="{FF2B5EF4-FFF2-40B4-BE49-F238E27FC236}">
                  <a16:creationId xmlns:a16="http://schemas.microsoft.com/office/drawing/2014/main" id="{70817284-E1E2-46C0-8B42-AFDBC5DBC8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34</xdr:row>
          <xdr:rowOff>0</xdr:rowOff>
        </xdr:from>
        <xdr:to>
          <xdr:col>2</xdr:col>
          <xdr:colOff>1028700</xdr:colOff>
          <xdr:row>36</xdr:row>
          <xdr:rowOff>38100</xdr:rowOff>
        </xdr:to>
        <xdr:sp macro="" textlink="">
          <xdr:nvSpPr>
            <xdr:cNvPr id="13329" name="cbApplyChangedMemberFirst" hidden="1">
              <a:extLst>
                <a:ext uri="{63B3BB69-23CF-44E3-9099-C40C66FF867C}">
                  <a14:compatExt spid="_x0000_s13329"/>
                </a:ext>
                <a:ext uri="{FF2B5EF4-FFF2-40B4-BE49-F238E27FC236}">
                  <a16:creationId xmlns:a16="http://schemas.microsoft.com/office/drawing/2014/main" id="{B6FE70C9-482B-4E86-8D70-8F0C01DDEAD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37</xdr:row>
          <xdr:rowOff>43543</xdr:rowOff>
        </xdr:from>
        <xdr:to>
          <xdr:col>2</xdr:col>
          <xdr:colOff>1028700</xdr:colOff>
          <xdr:row>39</xdr:row>
          <xdr:rowOff>0</xdr:rowOff>
        </xdr:to>
        <xdr:sp macro="" textlink="">
          <xdr:nvSpPr>
            <xdr:cNvPr id="13330" name="cbApplySpecificMemberFirst" hidden="1">
              <a:extLst>
                <a:ext uri="{63B3BB69-23CF-44E3-9099-C40C66FF867C}">
                  <a14:compatExt spid="_x0000_s13330"/>
                </a:ext>
                <a:ext uri="{FF2B5EF4-FFF2-40B4-BE49-F238E27FC236}">
                  <a16:creationId xmlns:a16="http://schemas.microsoft.com/office/drawing/2014/main" id="{13976B27-5FF0-449D-8F8A-EAF818E40D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45</xdr:row>
          <xdr:rowOff>21771</xdr:rowOff>
        </xdr:from>
        <xdr:to>
          <xdr:col>3</xdr:col>
          <xdr:colOff>4288971</xdr:colOff>
          <xdr:row>45</xdr:row>
          <xdr:rowOff>266700</xdr:rowOff>
        </xdr:to>
        <xdr:sp macro="" textlink="">
          <xdr:nvSpPr>
            <xdr:cNvPr id="13331" name="AddMemberFirst" hidden="1">
              <a:extLst>
                <a:ext uri="{63B3BB69-23CF-44E3-9099-C40C66FF867C}">
                  <a14:compatExt spid="_x0000_s13331"/>
                </a:ext>
                <a:ext uri="{FF2B5EF4-FFF2-40B4-BE49-F238E27FC236}">
                  <a16:creationId xmlns:a16="http://schemas.microsoft.com/office/drawing/2014/main" id="{2FAA0C7F-4C6D-4911-A409-166C78D6DA6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49</xdr:row>
          <xdr:rowOff>0</xdr:rowOff>
        </xdr:from>
        <xdr:to>
          <xdr:col>2</xdr:col>
          <xdr:colOff>1028700</xdr:colOff>
          <xdr:row>52</xdr:row>
          <xdr:rowOff>0</xdr:rowOff>
        </xdr:to>
        <xdr:sp macro="" textlink="">
          <xdr:nvSpPr>
            <xdr:cNvPr id="13332" name="cbApplyCalculatedMemberSecond" hidden="1">
              <a:extLst>
                <a:ext uri="{63B3BB69-23CF-44E3-9099-C40C66FF867C}">
                  <a14:compatExt spid="_x0000_s13332"/>
                </a:ext>
                <a:ext uri="{FF2B5EF4-FFF2-40B4-BE49-F238E27FC236}">
                  <a16:creationId xmlns:a16="http://schemas.microsoft.com/office/drawing/2014/main" id="{BB5A6A76-B968-4A81-B909-FE6530EDE52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52</xdr:row>
          <xdr:rowOff>0</xdr:rowOff>
        </xdr:from>
        <xdr:to>
          <xdr:col>2</xdr:col>
          <xdr:colOff>1028700</xdr:colOff>
          <xdr:row>54</xdr:row>
          <xdr:rowOff>38100</xdr:rowOff>
        </xdr:to>
        <xdr:sp macro="" textlink="">
          <xdr:nvSpPr>
            <xdr:cNvPr id="13333" name="cbApplyImputableMemberSecond" hidden="1">
              <a:extLst>
                <a:ext uri="{63B3BB69-23CF-44E3-9099-C40C66FF867C}">
                  <a14:compatExt spid="_x0000_s13333"/>
                </a:ext>
                <a:ext uri="{FF2B5EF4-FFF2-40B4-BE49-F238E27FC236}">
                  <a16:creationId xmlns:a16="http://schemas.microsoft.com/office/drawing/2014/main" id="{68F9628A-A73B-401C-AB72-2D51D65EBE3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55</xdr:row>
          <xdr:rowOff>0</xdr:rowOff>
        </xdr:from>
        <xdr:to>
          <xdr:col>2</xdr:col>
          <xdr:colOff>1028700</xdr:colOff>
          <xdr:row>57</xdr:row>
          <xdr:rowOff>38100</xdr:rowOff>
        </xdr:to>
        <xdr:sp macro="" textlink="">
          <xdr:nvSpPr>
            <xdr:cNvPr id="13334" name="cbApplyLocalMemberSecond" hidden="1">
              <a:extLst>
                <a:ext uri="{63B3BB69-23CF-44E3-9099-C40C66FF867C}">
                  <a14:compatExt spid="_x0000_s13334"/>
                </a:ext>
                <a:ext uri="{FF2B5EF4-FFF2-40B4-BE49-F238E27FC236}">
                  <a16:creationId xmlns:a16="http://schemas.microsoft.com/office/drawing/2014/main" id="{0E21F762-8F7B-4B7A-A79C-F05F81E089F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58</xdr:row>
          <xdr:rowOff>0</xdr:rowOff>
        </xdr:from>
        <xdr:to>
          <xdr:col>2</xdr:col>
          <xdr:colOff>1028700</xdr:colOff>
          <xdr:row>60</xdr:row>
          <xdr:rowOff>38100</xdr:rowOff>
        </xdr:to>
        <xdr:sp macro="" textlink="">
          <xdr:nvSpPr>
            <xdr:cNvPr id="13335" name="cbApplyChangedMemberSecond" hidden="1">
              <a:extLst>
                <a:ext uri="{63B3BB69-23CF-44E3-9099-C40C66FF867C}">
                  <a14:compatExt spid="_x0000_s13335"/>
                </a:ext>
                <a:ext uri="{FF2B5EF4-FFF2-40B4-BE49-F238E27FC236}">
                  <a16:creationId xmlns:a16="http://schemas.microsoft.com/office/drawing/2014/main" id="{8E82CF95-044B-4973-A5BA-D3E9095A42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61</xdr:row>
          <xdr:rowOff>43543</xdr:rowOff>
        </xdr:from>
        <xdr:to>
          <xdr:col>2</xdr:col>
          <xdr:colOff>1028700</xdr:colOff>
          <xdr:row>63</xdr:row>
          <xdr:rowOff>0</xdr:rowOff>
        </xdr:to>
        <xdr:sp macro="" textlink="">
          <xdr:nvSpPr>
            <xdr:cNvPr id="13336" name="cbApplySpecificMemberSecond" hidden="1">
              <a:extLst>
                <a:ext uri="{63B3BB69-23CF-44E3-9099-C40C66FF867C}">
                  <a14:compatExt spid="_x0000_s13336"/>
                </a:ext>
                <a:ext uri="{FF2B5EF4-FFF2-40B4-BE49-F238E27FC236}">
                  <a16:creationId xmlns:a16="http://schemas.microsoft.com/office/drawing/2014/main" id="{54B61AAA-D614-48B0-895C-6D5D4D65D3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84</xdr:row>
          <xdr:rowOff>21771</xdr:rowOff>
        </xdr:from>
        <xdr:to>
          <xdr:col>3</xdr:col>
          <xdr:colOff>4288971</xdr:colOff>
          <xdr:row>84</xdr:row>
          <xdr:rowOff>266700</xdr:rowOff>
        </xdr:to>
        <xdr:sp macro="" textlink="">
          <xdr:nvSpPr>
            <xdr:cNvPr id="13337" name="AddMemberSecond" hidden="1">
              <a:extLst>
                <a:ext uri="{63B3BB69-23CF-44E3-9099-C40C66FF867C}">
                  <a14:compatExt spid="_x0000_s13337"/>
                </a:ext>
                <a:ext uri="{FF2B5EF4-FFF2-40B4-BE49-F238E27FC236}">
                  <a16:creationId xmlns:a16="http://schemas.microsoft.com/office/drawing/2014/main" id="{71BA5135-511C-4188-A620-8BE6FDAFC54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70757</xdr:rowOff>
        </xdr:from>
        <xdr:to>
          <xdr:col>7</xdr:col>
          <xdr:colOff>1796143</xdr:colOff>
          <xdr:row>88</xdr:row>
          <xdr:rowOff>342900</xdr:rowOff>
        </xdr:to>
        <xdr:sp macro="" textlink="">
          <xdr:nvSpPr>
            <xdr:cNvPr id="13338" name="cbApplyOddEvenFormatting" hidden="1">
              <a:extLst>
                <a:ext uri="{63B3BB69-23CF-44E3-9099-C40C66FF867C}">
                  <a14:compatExt spid="_x0000_s13338"/>
                </a:ext>
                <a:ext uri="{FF2B5EF4-FFF2-40B4-BE49-F238E27FC236}">
                  <a16:creationId xmlns:a16="http://schemas.microsoft.com/office/drawing/2014/main" id="{3852DA70-6E58-41DE-9D6C-FDDA8AFF0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13339" name="Group Box 27" hidden="1">
              <a:extLst>
                <a:ext uri="{63B3BB69-23CF-44E3-9099-C40C66FF867C}">
                  <a14:compatExt spid="_x0000_s13339"/>
                </a:ext>
                <a:ext uri="{FF2B5EF4-FFF2-40B4-BE49-F238E27FC236}">
                  <a16:creationId xmlns:a16="http://schemas.microsoft.com/office/drawing/2014/main" id="{5692CC57-C1F8-4245-9B5D-73B46349D4CD}"/>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89</xdr:row>
          <xdr:rowOff>70757</xdr:rowOff>
        </xdr:from>
        <xdr:to>
          <xdr:col>3</xdr:col>
          <xdr:colOff>2623457</xdr:colOff>
          <xdr:row>89</xdr:row>
          <xdr:rowOff>272143</xdr:rowOff>
        </xdr:to>
        <xdr:sp macro="" textlink="">
          <xdr:nvSpPr>
            <xdr:cNvPr id="13340" name="obOddEvenRowFirst" hidden="1">
              <a:extLst>
                <a:ext uri="{63B3BB69-23CF-44E3-9099-C40C66FF867C}">
                  <a14:compatExt spid="_x0000_s13340"/>
                </a:ext>
                <a:ext uri="{FF2B5EF4-FFF2-40B4-BE49-F238E27FC236}">
                  <a16:creationId xmlns:a16="http://schemas.microsoft.com/office/drawing/2014/main" id="{A6AE1C5E-911D-4EA1-80EA-E4785AA87BB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89</xdr:row>
          <xdr:rowOff>70757</xdr:rowOff>
        </xdr:from>
        <xdr:to>
          <xdr:col>3</xdr:col>
          <xdr:colOff>457200</xdr:colOff>
          <xdr:row>89</xdr:row>
          <xdr:rowOff>272143</xdr:rowOff>
        </xdr:to>
        <xdr:sp macro="" textlink="">
          <xdr:nvSpPr>
            <xdr:cNvPr id="13341" name="obOddEvenColumnFirst" hidden="1">
              <a:extLst>
                <a:ext uri="{63B3BB69-23CF-44E3-9099-C40C66FF867C}">
                  <a14:compatExt spid="_x0000_s13341"/>
                </a:ext>
                <a:ext uri="{FF2B5EF4-FFF2-40B4-BE49-F238E27FC236}">
                  <a16:creationId xmlns:a16="http://schemas.microsoft.com/office/drawing/2014/main" id="{BE5E197D-3520-4A09-BC53-BA28FE25F3E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92</xdr:row>
          <xdr:rowOff>0</xdr:rowOff>
        </xdr:from>
        <xdr:to>
          <xdr:col>2</xdr:col>
          <xdr:colOff>1028700</xdr:colOff>
          <xdr:row>94</xdr:row>
          <xdr:rowOff>38100</xdr:rowOff>
        </xdr:to>
        <xdr:sp macro="" textlink="">
          <xdr:nvSpPr>
            <xdr:cNvPr id="13342" name="cbUseOddFirst" hidden="1">
              <a:extLst>
                <a:ext uri="{63B3BB69-23CF-44E3-9099-C40C66FF867C}">
                  <a14:compatExt spid="_x0000_s13342"/>
                </a:ext>
                <a:ext uri="{FF2B5EF4-FFF2-40B4-BE49-F238E27FC236}">
                  <a16:creationId xmlns:a16="http://schemas.microsoft.com/office/drawing/2014/main" id="{581F4BC7-A00C-4E8F-BCA2-E43A2F9242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95</xdr:row>
          <xdr:rowOff>0</xdr:rowOff>
        </xdr:from>
        <xdr:to>
          <xdr:col>2</xdr:col>
          <xdr:colOff>1028700</xdr:colOff>
          <xdr:row>97</xdr:row>
          <xdr:rowOff>38100</xdr:rowOff>
        </xdr:to>
        <xdr:sp macro="" textlink="">
          <xdr:nvSpPr>
            <xdr:cNvPr id="13343" name="cbUseEvenFirst" hidden="1">
              <a:extLst>
                <a:ext uri="{63B3BB69-23CF-44E3-9099-C40C66FF867C}">
                  <a14:compatExt spid="_x0000_s13343"/>
                </a:ext>
                <a:ext uri="{FF2B5EF4-FFF2-40B4-BE49-F238E27FC236}">
                  <a16:creationId xmlns:a16="http://schemas.microsoft.com/office/drawing/2014/main" id="{FB0AF816-FD18-49C8-AB3A-E0F553C778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100</xdr:row>
          <xdr:rowOff>0</xdr:rowOff>
        </xdr:from>
        <xdr:to>
          <xdr:col>2</xdr:col>
          <xdr:colOff>1028700</xdr:colOff>
          <xdr:row>102</xdr:row>
          <xdr:rowOff>38100</xdr:rowOff>
        </xdr:to>
        <xdr:sp macro="" textlink="">
          <xdr:nvSpPr>
            <xdr:cNvPr id="13344" name="cbUseOddSecond" hidden="1">
              <a:extLst>
                <a:ext uri="{63B3BB69-23CF-44E3-9099-C40C66FF867C}">
                  <a14:compatExt spid="_x0000_s13344"/>
                </a:ext>
                <a:ext uri="{FF2B5EF4-FFF2-40B4-BE49-F238E27FC236}">
                  <a16:creationId xmlns:a16="http://schemas.microsoft.com/office/drawing/2014/main" id="{F3614BB7-54D2-4FF2-8346-C42897A48D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102</xdr:row>
          <xdr:rowOff>43543</xdr:rowOff>
        </xdr:from>
        <xdr:to>
          <xdr:col>2</xdr:col>
          <xdr:colOff>1028700</xdr:colOff>
          <xdr:row>105</xdr:row>
          <xdr:rowOff>38100</xdr:rowOff>
        </xdr:to>
        <xdr:sp macro="" textlink="">
          <xdr:nvSpPr>
            <xdr:cNvPr id="13345" name="cbUseEvenSecond" hidden="1">
              <a:extLst>
                <a:ext uri="{63B3BB69-23CF-44E3-9099-C40C66FF867C}">
                  <a14:compatExt spid="_x0000_s13345"/>
                </a:ext>
                <a:ext uri="{FF2B5EF4-FFF2-40B4-BE49-F238E27FC236}">
                  <a16:creationId xmlns:a16="http://schemas.microsoft.com/office/drawing/2014/main" id="{D3E4DFC2-780C-47B4-99D7-3EBE4FE205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43543</xdr:rowOff>
        </xdr:from>
        <xdr:to>
          <xdr:col>12</xdr:col>
          <xdr:colOff>691243</xdr:colOff>
          <xdr:row>64</xdr:row>
          <xdr:rowOff>190500</xdr:rowOff>
        </xdr:to>
        <xdr:sp macro="" textlink="">
          <xdr:nvSpPr>
            <xdr:cNvPr id="13346" name="AddedMember2_1" hidden="1">
              <a:extLst>
                <a:ext uri="{63B3BB69-23CF-44E3-9099-C40C66FF867C}">
                  <a14:compatExt spid="_x0000_s13346"/>
                </a:ext>
                <a:ext uri="{FF2B5EF4-FFF2-40B4-BE49-F238E27FC236}">
                  <a16:creationId xmlns:a16="http://schemas.microsoft.com/office/drawing/2014/main" id="{EFD65B5B-96C8-4FE1-92FF-2B25A7A3B7A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43543</xdr:rowOff>
        </xdr:from>
        <xdr:to>
          <xdr:col>13</xdr:col>
          <xdr:colOff>691243</xdr:colOff>
          <xdr:row>64</xdr:row>
          <xdr:rowOff>190500</xdr:rowOff>
        </xdr:to>
        <xdr:sp macro="" textlink="">
          <xdr:nvSpPr>
            <xdr:cNvPr id="13347" name="ChangeMember2_1" hidden="1">
              <a:extLst>
                <a:ext uri="{63B3BB69-23CF-44E3-9099-C40C66FF867C}">
                  <a14:compatExt spid="_x0000_s13347"/>
                </a:ext>
                <a:ext uri="{FF2B5EF4-FFF2-40B4-BE49-F238E27FC236}">
                  <a16:creationId xmlns:a16="http://schemas.microsoft.com/office/drawing/2014/main" id="{52F50EBE-B52C-40B9-97AC-B34D803257C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43543</xdr:rowOff>
        </xdr:from>
        <xdr:to>
          <xdr:col>14</xdr:col>
          <xdr:colOff>691243</xdr:colOff>
          <xdr:row>64</xdr:row>
          <xdr:rowOff>190500</xdr:rowOff>
        </xdr:to>
        <xdr:sp macro="" textlink="">
          <xdr:nvSpPr>
            <xdr:cNvPr id="13348" name="UpMember2_1" hidden="1">
              <a:extLst>
                <a:ext uri="{63B3BB69-23CF-44E3-9099-C40C66FF867C}">
                  <a14:compatExt spid="_x0000_s13348"/>
                </a:ext>
                <a:ext uri="{FF2B5EF4-FFF2-40B4-BE49-F238E27FC236}">
                  <a16:creationId xmlns:a16="http://schemas.microsoft.com/office/drawing/2014/main" id="{AD91E31B-3580-416C-B66B-0BC6775BCDC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707571</xdr:colOff>
          <xdr:row>63</xdr:row>
          <xdr:rowOff>43543</xdr:rowOff>
        </xdr:from>
        <xdr:to>
          <xdr:col>15</xdr:col>
          <xdr:colOff>691243</xdr:colOff>
          <xdr:row>64</xdr:row>
          <xdr:rowOff>190500</xdr:rowOff>
        </xdr:to>
        <xdr:sp macro="" textlink="">
          <xdr:nvSpPr>
            <xdr:cNvPr id="13349" name="DownMember2_1" hidden="1">
              <a:extLst>
                <a:ext uri="{63B3BB69-23CF-44E3-9099-C40C66FF867C}">
                  <a14:compatExt spid="_x0000_s13349"/>
                </a:ext>
                <a:ext uri="{FF2B5EF4-FFF2-40B4-BE49-F238E27FC236}">
                  <a16:creationId xmlns:a16="http://schemas.microsoft.com/office/drawing/2014/main" id="{CDCF91FC-9F83-4FE0-ADEC-7D7539B33E1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707571</xdr:colOff>
          <xdr:row>68</xdr:row>
          <xdr:rowOff>0</xdr:rowOff>
        </xdr:to>
        <xdr:sp macro="" textlink="">
          <xdr:nvSpPr>
            <xdr:cNvPr id="13350" name="AddedMember2_2" hidden="1">
              <a:extLst>
                <a:ext uri="{63B3BB69-23CF-44E3-9099-C40C66FF867C}">
                  <a14:compatExt spid="_x0000_s13350"/>
                </a:ext>
                <a:ext uri="{FF2B5EF4-FFF2-40B4-BE49-F238E27FC236}">
                  <a16:creationId xmlns:a16="http://schemas.microsoft.com/office/drawing/2014/main" id="{1426931D-1FCB-42E3-BE36-C077907098D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707571</xdr:colOff>
          <xdr:row>68</xdr:row>
          <xdr:rowOff>0</xdr:rowOff>
        </xdr:to>
        <xdr:sp macro="" textlink="">
          <xdr:nvSpPr>
            <xdr:cNvPr id="13351" name="ChangeMember2_2" hidden="1">
              <a:extLst>
                <a:ext uri="{63B3BB69-23CF-44E3-9099-C40C66FF867C}">
                  <a14:compatExt spid="_x0000_s13351"/>
                </a:ext>
                <a:ext uri="{FF2B5EF4-FFF2-40B4-BE49-F238E27FC236}">
                  <a16:creationId xmlns:a16="http://schemas.microsoft.com/office/drawing/2014/main" id="{A7D3E811-611F-4A85-B5F1-740A2B471AD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707571</xdr:colOff>
          <xdr:row>68</xdr:row>
          <xdr:rowOff>0</xdr:rowOff>
        </xdr:to>
        <xdr:sp macro="" textlink="">
          <xdr:nvSpPr>
            <xdr:cNvPr id="13352" name="UpMember2_2" hidden="1">
              <a:extLst>
                <a:ext uri="{63B3BB69-23CF-44E3-9099-C40C66FF867C}">
                  <a14:compatExt spid="_x0000_s13352"/>
                </a:ext>
                <a:ext uri="{FF2B5EF4-FFF2-40B4-BE49-F238E27FC236}">
                  <a16:creationId xmlns:a16="http://schemas.microsoft.com/office/drawing/2014/main" id="{EB9B0AAF-C0AB-4593-8219-C5F5309BE49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13353" name="DownMember2_2" hidden="1">
              <a:extLst>
                <a:ext uri="{63B3BB69-23CF-44E3-9099-C40C66FF867C}">
                  <a14:compatExt spid="_x0000_s13353"/>
                </a:ext>
                <a:ext uri="{FF2B5EF4-FFF2-40B4-BE49-F238E27FC236}">
                  <a16:creationId xmlns:a16="http://schemas.microsoft.com/office/drawing/2014/main" id="{A645A45E-70AE-4532-A422-0F7BFC6FA9F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59871</xdr:rowOff>
        </xdr:from>
        <xdr:to>
          <xdr:col>12</xdr:col>
          <xdr:colOff>707571</xdr:colOff>
          <xdr:row>71</xdr:row>
          <xdr:rowOff>0</xdr:rowOff>
        </xdr:to>
        <xdr:sp macro="" textlink="">
          <xdr:nvSpPr>
            <xdr:cNvPr id="13354" name="AddedMember2_3" hidden="1">
              <a:extLst>
                <a:ext uri="{63B3BB69-23CF-44E3-9099-C40C66FF867C}">
                  <a14:compatExt spid="_x0000_s13354"/>
                </a:ext>
                <a:ext uri="{FF2B5EF4-FFF2-40B4-BE49-F238E27FC236}">
                  <a16:creationId xmlns:a16="http://schemas.microsoft.com/office/drawing/2014/main" id="{A1798F60-D05B-4645-9647-653FC8FE7AB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59871</xdr:rowOff>
        </xdr:from>
        <xdr:to>
          <xdr:col>13</xdr:col>
          <xdr:colOff>707571</xdr:colOff>
          <xdr:row>71</xdr:row>
          <xdr:rowOff>0</xdr:rowOff>
        </xdr:to>
        <xdr:sp macro="" textlink="">
          <xdr:nvSpPr>
            <xdr:cNvPr id="13355" name="ChangeMember2_3" hidden="1">
              <a:extLst>
                <a:ext uri="{63B3BB69-23CF-44E3-9099-C40C66FF867C}">
                  <a14:compatExt spid="_x0000_s13355"/>
                </a:ext>
                <a:ext uri="{FF2B5EF4-FFF2-40B4-BE49-F238E27FC236}">
                  <a16:creationId xmlns:a16="http://schemas.microsoft.com/office/drawing/2014/main" id="{F8DF0D32-BDB7-4572-BAB4-060FE774F13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59871</xdr:rowOff>
        </xdr:from>
        <xdr:to>
          <xdr:col>14</xdr:col>
          <xdr:colOff>707571</xdr:colOff>
          <xdr:row>71</xdr:row>
          <xdr:rowOff>0</xdr:rowOff>
        </xdr:to>
        <xdr:sp macro="" textlink="">
          <xdr:nvSpPr>
            <xdr:cNvPr id="13356" name="UpMember2_3" hidden="1">
              <a:extLst>
                <a:ext uri="{63B3BB69-23CF-44E3-9099-C40C66FF867C}">
                  <a14:compatExt spid="_x0000_s13356"/>
                </a:ext>
                <a:ext uri="{FF2B5EF4-FFF2-40B4-BE49-F238E27FC236}">
                  <a16:creationId xmlns:a16="http://schemas.microsoft.com/office/drawing/2014/main" id="{477EB301-2400-486F-8162-1F682746A8A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59871</xdr:rowOff>
        </xdr:from>
        <xdr:to>
          <xdr:col>16</xdr:col>
          <xdr:colOff>0</xdr:colOff>
          <xdr:row>71</xdr:row>
          <xdr:rowOff>0</xdr:rowOff>
        </xdr:to>
        <xdr:sp macro="" textlink="">
          <xdr:nvSpPr>
            <xdr:cNvPr id="13357" name="DownMember2_3" hidden="1">
              <a:extLst>
                <a:ext uri="{63B3BB69-23CF-44E3-9099-C40C66FF867C}">
                  <a14:compatExt spid="_x0000_s13357"/>
                </a:ext>
                <a:ext uri="{FF2B5EF4-FFF2-40B4-BE49-F238E27FC236}">
                  <a16:creationId xmlns:a16="http://schemas.microsoft.com/office/drawing/2014/main" id="{2DD7EA16-784F-48C1-9772-1214FAAFE93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59871</xdr:rowOff>
        </xdr:from>
        <xdr:to>
          <xdr:col>12</xdr:col>
          <xdr:colOff>707571</xdr:colOff>
          <xdr:row>74</xdr:row>
          <xdr:rowOff>32657</xdr:rowOff>
        </xdr:to>
        <xdr:sp macro="" textlink="">
          <xdr:nvSpPr>
            <xdr:cNvPr id="13358" name="AddedMember2_4" hidden="1">
              <a:extLst>
                <a:ext uri="{63B3BB69-23CF-44E3-9099-C40C66FF867C}">
                  <a14:compatExt spid="_x0000_s13358"/>
                </a:ext>
                <a:ext uri="{FF2B5EF4-FFF2-40B4-BE49-F238E27FC236}">
                  <a16:creationId xmlns:a16="http://schemas.microsoft.com/office/drawing/2014/main" id="{2D106EE2-C3B7-41AF-B18B-DA44900475F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59871</xdr:rowOff>
        </xdr:from>
        <xdr:to>
          <xdr:col>13</xdr:col>
          <xdr:colOff>707571</xdr:colOff>
          <xdr:row>74</xdr:row>
          <xdr:rowOff>32657</xdr:rowOff>
        </xdr:to>
        <xdr:sp macro="" textlink="">
          <xdr:nvSpPr>
            <xdr:cNvPr id="13359" name="ChangeMember2_4" hidden="1">
              <a:extLst>
                <a:ext uri="{63B3BB69-23CF-44E3-9099-C40C66FF867C}">
                  <a14:compatExt spid="_x0000_s13359"/>
                </a:ext>
                <a:ext uri="{FF2B5EF4-FFF2-40B4-BE49-F238E27FC236}">
                  <a16:creationId xmlns:a16="http://schemas.microsoft.com/office/drawing/2014/main" id="{C7E4C50E-915D-41A9-AF68-79470BA907D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59871</xdr:rowOff>
        </xdr:from>
        <xdr:to>
          <xdr:col>14</xdr:col>
          <xdr:colOff>707571</xdr:colOff>
          <xdr:row>74</xdr:row>
          <xdr:rowOff>32657</xdr:rowOff>
        </xdr:to>
        <xdr:sp macro="" textlink="">
          <xdr:nvSpPr>
            <xdr:cNvPr id="13360" name="UpMember2_4" hidden="1">
              <a:extLst>
                <a:ext uri="{63B3BB69-23CF-44E3-9099-C40C66FF867C}">
                  <a14:compatExt spid="_x0000_s13360"/>
                </a:ext>
                <a:ext uri="{FF2B5EF4-FFF2-40B4-BE49-F238E27FC236}">
                  <a16:creationId xmlns:a16="http://schemas.microsoft.com/office/drawing/2014/main" id="{A370499C-3A0B-4417-A8E6-2B351D03BEF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59871</xdr:rowOff>
        </xdr:from>
        <xdr:to>
          <xdr:col>16</xdr:col>
          <xdr:colOff>0</xdr:colOff>
          <xdr:row>74</xdr:row>
          <xdr:rowOff>32657</xdr:rowOff>
        </xdr:to>
        <xdr:sp macro="" textlink="">
          <xdr:nvSpPr>
            <xdr:cNvPr id="13361" name="DownMember2_4" hidden="1">
              <a:extLst>
                <a:ext uri="{63B3BB69-23CF-44E3-9099-C40C66FF867C}">
                  <a14:compatExt spid="_x0000_s13361"/>
                </a:ext>
                <a:ext uri="{FF2B5EF4-FFF2-40B4-BE49-F238E27FC236}">
                  <a16:creationId xmlns:a16="http://schemas.microsoft.com/office/drawing/2014/main" id="{B21F14E5-FD22-4EB6-9E7B-DD366B04FCC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707571</xdr:colOff>
          <xdr:row>77</xdr:row>
          <xdr:rowOff>32657</xdr:rowOff>
        </xdr:to>
        <xdr:sp macro="" textlink="">
          <xdr:nvSpPr>
            <xdr:cNvPr id="13362" name="AddedMember2_5" hidden="1">
              <a:extLst>
                <a:ext uri="{63B3BB69-23CF-44E3-9099-C40C66FF867C}">
                  <a14:compatExt spid="_x0000_s13362"/>
                </a:ext>
                <a:ext uri="{FF2B5EF4-FFF2-40B4-BE49-F238E27FC236}">
                  <a16:creationId xmlns:a16="http://schemas.microsoft.com/office/drawing/2014/main" id="{438E463A-1B87-4368-A386-89038D4591C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707571</xdr:colOff>
          <xdr:row>77</xdr:row>
          <xdr:rowOff>32657</xdr:rowOff>
        </xdr:to>
        <xdr:sp macro="" textlink="">
          <xdr:nvSpPr>
            <xdr:cNvPr id="13363" name="ChangeMember2_5" hidden="1">
              <a:extLst>
                <a:ext uri="{63B3BB69-23CF-44E3-9099-C40C66FF867C}">
                  <a14:compatExt spid="_x0000_s13363"/>
                </a:ext>
                <a:ext uri="{FF2B5EF4-FFF2-40B4-BE49-F238E27FC236}">
                  <a16:creationId xmlns:a16="http://schemas.microsoft.com/office/drawing/2014/main" id="{85875B8C-8C36-4813-A69F-1088B23E144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707571</xdr:colOff>
          <xdr:row>77</xdr:row>
          <xdr:rowOff>32657</xdr:rowOff>
        </xdr:to>
        <xdr:sp macro="" textlink="">
          <xdr:nvSpPr>
            <xdr:cNvPr id="13364" name="UpMember2_5" hidden="1">
              <a:extLst>
                <a:ext uri="{63B3BB69-23CF-44E3-9099-C40C66FF867C}">
                  <a14:compatExt spid="_x0000_s13364"/>
                </a:ext>
                <a:ext uri="{FF2B5EF4-FFF2-40B4-BE49-F238E27FC236}">
                  <a16:creationId xmlns:a16="http://schemas.microsoft.com/office/drawing/2014/main" id="{5E12A852-D2E8-4270-ACAD-B2297438222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32657</xdr:rowOff>
        </xdr:to>
        <xdr:sp macro="" textlink="">
          <xdr:nvSpPr>
            <xdr:cNvPr id="13365" name="DownMember2_5" hidden="1">
              <a:extLst>
                <a:ext uri="{63B3BB69-23CF-44E3-9099-C40C66FF867C}">
                  <a14:compatExt spid="_x0000_s13365"/>
                </a:ext>
                <a:ext uri="{FF2B5EF4-FFF2-40B4-BE49-F238E27FC236}">
                  <a16:creationId xmlns:a16="http://schemas.microsoft.com/office/drawing/2014/main" id="{0135B602-3C58-4919-AE6A-098661382CC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707571</xdr:colOff>
          <xdr:row>80</xdr:row>
          <xdr:rowOff>32657</xdr:rowOff>
        </xdr:to>
        <xdr:sp macro="" textlink="">
          <xdr:nvSpPr>
            <xdr:cNvPr id="13366" name="AddedMember2_6" hidden="1">
              <a:extLst>
                <a:ext uri="{63B3BB69-23CF-44E3-9099-C40C66FF867C}">
                  <a14:compatExt spid="_x0000_s13366"/>
                </a:ext>
                <a:ext uri="{FF2B5EF4-FFF2-40B4-BE49-F238E27FC236}">
                  <a16:creationId xmlns:a16="http://schemas.microsoft.com/office/drawing/2014/main" id="{6C745EFF-980B-42F1-9FDD-F108A960C9B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707571</xdr:colOff>
          <xdr:row>80</xdr:row>
          <xdr:rowOff>32657</xdr:rowOff>
        </xdr:to>
        <xdr:sp macro="" textlink="">
          <xdr:nvSpPr>
            <xdr:cNvPr id="13367" name="ChangeMember2_6" hidden="1">
              <a:extLst>
                <a:ext uri="{63B3BB69-23CF-44E3-9099-C40C66FF867C}">
                  <a14:compatExt spid="_x0000_s13367"/>
                </a:ext>
                <a:ext uri="{FF2B5EF4-FFF2-40B4-BE49-F238E27FC236}">
                  <a16:creationId xmlns:a16="http://schemas.microsoft.com/office/drawing/2014/main" id="{8A44451F-5148-4FEC-A4FC-EA9B322DAB8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707571</xdr:colOff>
          <xdr:row>80</xdr:row>
          <xdr:rowOff>32657</xdr:rowOff>
        </xdr:to>
        <xdr:sp macro="" textlink="">
          <xdr:nvSpPr>
            <xdr:cNvPr id="13368" name="UpMember2_6" hidden="1">
              <a:extLst>
                <a:ext uri="{63B3BB69-23CF-44E3-9099-C40C66FF867C}">
                  <a14:compatExt spid="_x0000_s13368"/>
                </a:ext>
                <a:ext uri="{FF2B5EF4-FFF2-40B4-BE49-F238E27FC236}">
                  <a16:creationId xmlns:a16="http://schemas.microsoft.com/office/drawing/2014/main" id="{1019509D-F01E-4556-A65E-CFCBCC6B418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32657</xdr:rowOff>
        </xdr:to>
        <xdr:sp macro="" textlink="">
          <xdr:nvSpPr>
            <xdr:cNvPr id="13369" name="DownMember2_6" hidden="1">
              <a:extLst>
                <a:ext uri="{63B3BB69-23CF-44E3-9099-C40C66FF867C}">
                  <a14:compatExt spid="_x0000_s13369"/>
                </a:ext>
                <a:ext uri="{FF2B5EF4-FFF2-40B4-BE49-F238E27FC236}">
                  <a16:creationId xmlns:a16="http://schemas.microsoft.com/office/drawing/2014/main" id="{0EC4AD6D-6581-4AC0-8851-0735F581278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707571</xdr:colOff>
          <xdr:row>83</xdr:row>
          <xdr:rowOff>0</xdr:rowOff>
        </xdr:to>
        <xdr:sp macro="" textlink="">
          <xdr:nvSpPr>
            <xdr:cNvPr id="13370" name="AddedMember2_7" hidden="1">
              <a:extLst>
                <a:ext uri="{63B3BB69-23CF-44E3-9099-C40C66FF867C}">
                  <a14:compatExt spid="_x0000_s13370"/>
                </a:ext>
                <a:ext uri="{FF2B5EF4-FFF2-40B4-BE49-F238E27FC236}">
                  <a16:creationId xmlns:a16="http://schemas.microsoft.com/office/drawing/2014/main" id="{A7E1F662-CEEB-40D0-B575-67B9407B779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707571</xdr:colOff>
          <xdr:row>83</xdr:row>
          <xdr:rowOff>0</xdr:rowOff>
        </xdr:to>
        <xdr:sp macro="" textlink="">
          <xdr:nvSpPr>
            <xdr:cNvPr id="13371" name="ChangeMember2_7" hidden="1">
              <a:extLst>
                <a:ext uri="{63B3BB69-23CF-44E3-9099-C40C66FF867C}">
                  <a14:compatExt spid="_x0000_s13371"/>
                </a:ext>
                <a:ext uri="{FF2B5EF4-FFF2-40B4-BE49-F238E27FC236}">
                  <a16:creationId xmlns:a16="http://schemas.microsoft.com/office/drawing/2014/main" id="{B33F684D-5135-4D86-9E0B-544CC224DB1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707571</xdr:colOff>
          <xdr:row>83</xdr:row>
          <xdr:rowOff>0</xdr:rowOff>
        </xdr:to>
        <xdr:sp macro="" textlink="">
          <xdr:nvSpPr>
            <xdr:cNvPr id="13372" name="UpMember2_7" hidden="1">
              <a:extLst>
                <a:ext uri="{63B3BB69-23CF-44E3-9099-C40C66FF867C}">
                  <a14:compatExt spid="_x0000_s13372"/>
                </a:ext>
                <a:ext uri="{FF2B5EF4-FFF2-40B4-BE49-F238E27FC236}">
                  <a16:creationId xmlns:a16="http://schemas.microsoft.com/office/drawing/2014/main" id="{5C963FDF-4A27-4C26-B540-9D586CA3C7E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13373" name="DownMember2_7" hidden="1">
              <a:extLst>
                <a:ext uri="{63B3BB69-23CF-44E3-9099-C40C66FF867C}">
                  <a14:compatExt spid="_x0000_s13373"/>
                </a:ext>
                <a:ext uri="{FF2B5EF4-FFF2-40B4-BE49-F238E27FC236}">
                  <a16:creationId xmlns:a16="http://schemas.microsoft.com/office/drawing/2014/main" id="{AF72A3FF-2E89-478B-B6C2-624E018C559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59871</xdr:rowOff>
        </xdr:from>
        <xdr:to>
          <xdr:col>12</xdr:col>
          <xdr:colOff>707571</xdr:colOff>
          <xdr:row>41</xdr:row>
          <xdr:rowOff>0</xdr:rowOff>
        </xdr:to>
        <xdr:sp macro="" textlink="">
          <xdr:nvSpPr>
            <xdr:cNvPr id="13374" name="AddedMember1_1" hidden="1">
              <a:extLst>
                <a:ext uri="{63B3BB69-23CF-44E3-9099-C40C66FF867C}">
                  <a14:compatExt spid="_x0000_s13374"/>
                </a:ext>
                <a:ext uri="{FF2B5EF4-FFF2-40B4-BE49-F238E27FC236}">
                  <a16:creationId xmlns:a16="http://schemas.microsoft.com/office/drawing/2014/main" id="{BB872F14-0C49-4D7C-8424-8BD07794DD0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59871</xdr:rowOff>
        </xdr:from>
        <xdr:to>
          <xdr:col>13</xdr:col>
          <xdr:colOff>707571</xdr:colOff>
          <xdr:row>41</xdr:row>
          <xdr:rowOff>0</xdr:rowOff>
        </xdr:to>
        <xdr:sp macro="" textlink="">
          <xdr:nvSpPr>
            <xdr:cNvPr id="13375" name="ChangeMember1_1" hidden="1">
              <a:extLst>
                <a:ext uri="{63B3BB69-23CF-44E3-9099-C40C66FF867C}">
                  <a14:compatExt spid="_x0000_s13375"/>
                </a:ext>
                <a:ext uri="{FF2B5EF4-FFF2-40B4-BE49-F238E27FC236}">
                  <a16:creationId xmlns:a16="http://schemas.microsoft.com/office/drawing/2014/main" id="{740F2C89-8986-493C-8574-80C5DE5326E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59871</xdr:rowOff>
        </xdr:from>
        <xdr:to>
          <xdr:col>14</xdr:col>
          <xdr:colOff>707571</xdr:colOff>
          <xdr:row>41</xdr:row>
          <xdr:rowOff>0</xdr:rowOff>
        </xdr:to>
        <xdr:sp macro="" textlink="">
          <xdr:nvSpPr>
            <xdr:cNvPr id="13376" name="UpMember1_1" hidden="1">
              <a:extLst>
                <a:ext uri="{63B3BB69-23CF-44E3-9099-C40C66FF867C}">
                  <a14:compatExt spid="_x0000_s13376"/>
                </a:ext>
                <a:ext uri="{FF2B5EF4-FFF2-40B4-BE49-F238E27FC236}">
                  <a16:creationId xmlns:a16="http://schemas.microsoft.com/office/drawing/2014/main" id="{C2BE8604-3CE7-477C-AF31-FF850F9947B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59871</xdr:rowOff>
        </xdr:from>
        <xdr:to>
          <xdr:col>16</xdr:col>
          <xdr:colOff>0</xdr:colOff>
          <xdr:row>41</xdr:row>
          <xdr:rowOff>0</xdr:rowOff>
        </xdr:to>
        <xdr:sp macro="" textlink="">
          <xdr:nvSpPr>
            <xdr:cNvPr id="13377" name="DownMember1_1" hidden="1">
              <a:extLst>
                <a:ext uri="{63B3BB69-23CF-44E3-9099-C40C66FF867C}">
                  <a14:compatExt spid="_x0000_s13377"/>
                </a:ext>
                <a:ext uri="{FF2B5EF4-FFF2-40B4-BE49-F238E27FC236}">
                  <a16:creationId xmlns:a16="http://schemas.microsoft.com/office/drawing/2014/main" id="{853FE924-2366-42CF-987F-DCE394BAB65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707571</xdr:colOff>
          <xdr:row>44</xdr:row>
          <xdr:rowOff>32657</xdr:rowOff>
        </xdr:to>
        <xdr:sp macro="" textlink="">
          <xdr:nvSpPr>
            <xdr:cNvPr id="13378" name="AddedMember1_2" hidden="1">
              <a:extLst>
                <a:ext uri="{63B3BB69-23CF-44E3-9099-C40C66FF867C}">
                  <a14:compatExt spid="_x0000_s13378"/>
                </a:ext>
                <a:ext uri="{FF2B5EF4-FFF2-40B4-BE49-F238E27FC236}">
                  <a16:creationId xmlns:a16="http://schemas.microsoft.com/office/drawing/2014/main" id="{29D7726F-5F74-4DE5-AD8F-63CF2B0F5E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707571</xdr:colOff>
          <xdr:row>44</xdr:row>
          <xdr:rowOff>32657</xdr:rowOff>
        </xdr:to>
        <xdr:sp macro="" textlink="">
          <xdr:nvSpPr>
            <xdr:cNvPr id="13379" name="ChangeMember1_2" hidden="1">
              <a:extLst>
                <a:ext uri="{63B3BB69-23CF-44E3-9099-C40C66FF867C}">
                  <a14:compatExt spid="_x0000_s13379"/>
                </a:ext>
                <a:ext uri="{FF2B5EF4-FFF2-40B4-BE49-F238E27FC236}">
                  <a16:creationId xmlns:a16="http://schemas.microsoft.com/office/drawing/2014/main" id="{63AFBD3F-95E7-4567-ACDA-A529273331B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707571</xdr:colOff>
          <xdr:row>44</xdr:row>
          <xdr:rowOff>32657</xdr:rowOff>
        </xdr:to>
        <xdr:sp macro="" textlink="">
          <xdr:nvSpPr>
            <xdr:cNvPr id="13380" name="UpMember1_2" hidden="1">
              <a:extLst>
                <a:ext uri="{63B3BB69-23CF-44E3-9099-C40C66FF867C}">
                  <a14:compatExt spid="_x0000_s13380"/>
                </a:ext>
                <a:ext uri="{FF2B5EF4-FFF2-40B4-BE49-F238E27FC236}">
                  <a16:creationId xmlns:a16="http://schemas.microsoft.com/office/drawing/2014/main" id="{DDB10DB0-CA9A-4D47-AC06-578A35D7903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32657</xdr:rowOff>
        </xdr:to>
        <xdr:sp macro="" textlink="">
          <xdr:nvSpPr>
            <xdr:cNvPr id="13381" name="DownMember1_2" hidden="1">
              <a:extLst>
                <a:ext uri="{63B3BB69-23CF-44E3-9099-C40C66FF867C}">
                  <a14:compatExt spid="_x0000_s13381"/>
                </a:ext>
                <a:ext uri="{FF2B5EF4-FFF2-40B4-BE49-F238E27FC236}">
                  <a16:creationId xmlns:a16="http://schemas.microsoft.com/office/drawing/2014/main" id="{7C7644D0-ECF0-42C2-B534-8E96567265B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93558</xdr:colOff>
      <xdr:row>0</xdr:row>
      <xdr:rowOff>209551</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1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593271</xdr:colOff>
          <xdr:row>2</xdr:row>
          <xdr:rowOff>152400</xdr:rowOff>
        </xdr:from>
        <xdr:to>
          <xdr:col>8</xdr:col>
          <xdr:colOff>598714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1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1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1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1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1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1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1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1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1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1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1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1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1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1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1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1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93558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85987"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9218" name="TextBox1"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9219" name="TextBox2"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0" name="AnalyzerDynReport000tb1"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1" name="ConnectionDescriptorsInfotb1"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2" name="MultipleReportManagerInfotb1"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3" name="ReportSubmitManagerControltb1"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4" name="ReportSubmitControl_1tb1"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9225" name="ConnectionDescriptorsInfoHCtb1"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9226" name="ConnectionDescriptorsInfoDCtb1" hidden="1">
              <a:extLst>
                <a:ext uri="{63B3BB69-23CF-44E3-9099-C40C66FF867C}">
                  <a14:compatExt spid="_x0000_s9226"/>
                </a:ext>
                <a:ext uri="{FF2B5EF4-FFF2-40B4-BE49-F238E27FC236}">
                  <a16:creationId xmlns:a16="http://schemas.microsoft.com/office/drawing/2014/main" id="{00000000-0008-0000-0200-00000A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9227" name="MultipleReportManagerInfoHCtb1" hidden="1">
              <a:extLst>
                <a:ext uri="{63B3BB69-23CF-44E3-9099-C40C66FF867C}">
                  <a14:compatExt spid="_x0000_s9227"/>
                </a:ext>
                <a:ext uri="{FF2B5EF4-FFF2-40B4-BE49-F238E27FC236}">
                  <a16:creationId xmlns:a16="http://schemas.microsoft.com/office/drawing/2014/main" id="{00000000-0008-0000-0200-00000B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9228" name="MultipleReportManagerInfoDCtb1"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9229" name="ReportSubmitManagerControlHCtb1" hidden="1">
              <a:extLst>
                <a:ext uri="{63B3BB69-23CF-44E3-9099-C40C66FF867C}">
                  <a14:compatExt spid="_x0000_s9229"/>
                </a:ext>
                <a:ext uri="{FF2B5EF4-FFF2-40B4-BE49-F238E27FC236}">
                  <a16:creationId xmlns:a16="http://schemas.microsoft.com/office/drawing/2014/main" id="{00000000-0008-0000-0200-00000D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9230" name="ReportSubmitManagerControlDCtb1" hidden="1">
              <a:extLst>
                <a:ext uri="{63B3BB69-23CF-44E3-9099-C40C66FF867C}">
                  <a14:compatExt spid="_x0000_s9230"/>
                </a:ext>
                <a:ext uri="{FF2B5EF4-FFF2-40B4-BE49-F238E27FC236}">
                  <a16:creationId xmlns:a16="http://schemas.microsoft.com/office/drawing/2014/main" id="{00000000-0008-0000-0200-00000E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9231" name="ReportSubmitControl_1HCtb1"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9232" name="ReportSubmitControl_1DCtb1" hidden="1">
              <a:extLst>
                <a:ext uri="{63B3BB69-23CF-44E3-9099-C40C66FF867C}">
                  <a14:compatExt spid="_x0000_s9232"/>
                </a:ext>
                <a:ext uri="{FF2B5EF4-FFF2-40B4-BE49-F238E27FC236}">
                  <a16:creationId xmlns:a16="http://schemas.microsoft.com/office/drawing/2014/main" id="{00000000-0008-0000-0200-000010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9233" name="AnalyzerDynReportHC000tb1"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152400</xdr:colOff>
          <xdr:row>3</xdr:row>
          <xdr:rowOff>5443</xdr:rowOff>
        </xdr:to>
        <xdr:sp macro="" textlink="">
          <xdr:nvSpPr>
            <xdr:cNvPr id="9234" name="AnalyzerDynReportDC000tb1" hidden="1">
              <a:extLst>
                <a:ext uri="{63B3BB69-23CF-44E3-9099-C40C66FF867C}">
                  <a14:compatExt spid="_x0000_s9234"/>
                </a:ext>
                <a:ext uri="{FF2B5EF4-FFF2-40B4-BE49-F238E27FC236}">
                  <a16:creationId xmlns:a16="http://schemas.microsoft.com/office/drawing/2014/main" id="{00000000-0008-0000-0200-000012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16.xml"/><Relationship Id="rId21" Type="http://schemas.openxmlformats.org/officeDocument/2006/relationships/ctrlProp" Target="../ctrlProps/ctrlProp11.xml"/><Relationship Id="rId42" Type="http://schemas.openxmlformats.org/officeDocument/2006/relationships/ctrlProp" Target="../ctrlProps/ctrlProp32.xml"/><Relationship Id="rId47" Type="http://schemas.openxmlformats.org/officeDocument/2006/relationships/ctrlProp" Target="../ctrlProps/ctrlProp37.xml"/><Relationship Id="rId63" Type="http://schemas.openxmlformats.org/officeDocument/2006/relationships/ctrlProp" Target="../ctrlProps/ctrlProp53.xml"/><Relationship Id="rId68" Type="http://schemas.openxmlformats.org/officeDocument/2006/relationships/ctrlProp" Target="../ctrlProps/ctrlProp58.xml"/><Relationship Id="rId16" Type="http://schemas.openxmlformats.org/officeDocument/2006/relationships/ctrlProp" Target="../ctrlProps/ctrlProp6.xml"/><Relationship Id="rId11" Type="http://schemas.openxmlformats.org/officeDocument/2006/relationships/ctrlProp" Target="../ctrlProps/ctrlProp1.xml"/><Relationship Id="rId24" Type="http://schemas.openxmlformats.org/officeDocument/2006/relationships/ctrlProp" Target="../ctrlProps/ctrlProp14.xml"/><Relationship Id="rId32" Type="http://schemas.openxmlformats.org/officeDocument/2006/relationships/ctrlProp" Target="../ctrlProps/ctrlProp22.xml"/><Relationship Id="rId37" Type="http://schemas.openxmlformats.org/officeDocument/2006/relationships/ctrlProp" Target="../ctrlProps/ctrlProp27.xml"/><Relationship Id="rId40" Type="http://schemas.openxmlformats.org/officeDocument/2006/relationships/ctrlProp" Target="../ctrlProps/ctrlProp30.xml"/><Relationship Id="rId45" Type="http://schemas.openxmlformats.org/officeDocument/2006/relationships/ctrlProp" Target="../ctrlProps/ctrlProp35.xml"/><Relationship Id="rId53" Type="http://schemas.openxmlformats.org/officeDocument/2006/relationships/ctrlProp" Target="../ctrlProps/ctrlProp43.xml"/><Relationship Id="rId58" Type="http://schemas.openxmlformats.org/officeDocument/2006/relationships/ctrlProp" Target="../ctrlProps/ctrlProp48.xml"/><Relationship Id="rId66" Type="http://schemas.openxmlformats.org/officeDocument/2006/relationships/ctrlProp" Target="../ctrlProps/ctrlProp56.xml"/><Relationship Id="rId74" Type="http://schemas.openxmlformats.org/officeDocument/2006/relationships/ctrlProp" Target="../ctrlProps/ctrlProp64.xml"/><Relationship Id="rId5" Type="http://schemas.openxmlformats.org/officeDocument/2006/relationships/control" Target="../activeX/activeX1.xml"/><Relationship Id="rId61" Type="http://schemas.openxmlformats.org/officeDocument/2006/relationships/ctrlProp" Target="../ctrlProps/ctrlProp51.xml"/><Relationship Id="rId19" Type="http://schemas.openxmlformats.org/officeDocument/2006/relationships/ctrlProp" Target="../ctrlProps/ctrlProp9.xml"/><Relationship Id="rId14" Type="http://schemas.openxmlformats.org/officeDocument/2006/relationships/ctrlProp" Target="../ctrlProps/ctrlProp4.xml"/><Relationship Id="rId22" Type="http://schemas.openxmlformats.org/officeDocument/2006/relationships/ctrlProp" Target="../ctrlProps/ctrlProp12.xml"/><Relationship Id="rId27" Type="http://schemas.openxmlformats.org/officeDocument/2006/relationships/ctrlProp" Target="../ctrlProps/ctrlProp17.xml"/><Relationship Id="rId30" Type="http://schemas.openxmlformats.org/officeDocument/2006/relationships/ctrlProp" Target="../ctrlProps/ctrlProp20.xml"/><Relationship Id="rId35" Type="http://schemas.openxmlformats.org/officeDocument/2006/relationships/ctrlProp" Target="../ctrlProps/ctrlProp25.xml"/><Relationship Id="rId43" Type="http://schemas.openxmlformats.org/officeDocument/2006/relationships/ctrlProp" Target="../ctrlProps/ctrlProp33.xml"/><Relationship Id="rId48" Type="http://schemas.openxmlformats.org/officeDocument/2006/relationships/ctrlProp" Target="../ctrlProps/ctrlProp38.xml"/><Relationship Id="rId56" Type="http://schemas.openxmlformats.org/officeDocument/2006/relationships/ctrlProp" Target="../ctrlProps/ctrlProp46.xml"/><Relationship Id="rId64" Type="http://schemas.openxmlformats.org/officeDocument/2006/relationships/ctrlProp" Target="../ctrlProps/ctrlProp54.xml"/><Relationship Id="rId69" Type="http://schemas.openxmlformats.org/officeDocument/2006/relationships/ctrlProp" Target="../ctrlProps/ctrlProp59.xml"/><Relationship Id="rId77"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41.xml"/><Relationship Id="rId72" Type="http://schemas.openxmlformats.org/officeDocument/2006/relationships/ctrlProp" Target="../ctrlProps/ctrlProp62.xml"/><Relationship Id="rId3" Type="http://schemas.openxmlformats.org/officeDocument/2006/relationships/drawing" Target="../drawings/drawing1.xml"/><Relationship Id="rId12" Type="http://schemas.openxmlformats.org/officeDocument/2006/relationships/ctrlProp" Target="../ctrlProps/ctrlProp2.xml"/><Relationship Id="rId17" Type="http://schemas.openxmlformats.org/officeDocument/2006/relationships/ctrlProp" Target="../ctrlProps/ctrlProp7.xml"/><Relationship Id="rId25" Type="http://schemas.openxmlformats.org/officeDocument/2006/relationships/ctrlProp" Target="../ctrlProps/ctrlProp15.xml"/><Relationship Id="rId33" Type="http://schemas.openxmlformats.org/officeDocument/2006/relationships/ctrlProp" Target="../ctrlProps/ctrlProp23.xml"/><Relationship Id="rId38" Type="http://schemas.openxmlformats.org/officeDocument/2006/relationships/ctrlProp" Target="../ctrlProps/ctrlProp28.xml"/><Relationship Id="rId46" Type="http://schemas.openxmlformats.org/officeDocument/2006/relationships/ctrlProp" Target="../ctrlProps/ctrlProp36.xml"/><Relationship Id="rId59" Type="http://schemas.openxmlformats.org/officeDocument/2006/relationships/ctrlProp" Target="../ctrlProps/ctrlProp49.xml"/><Relationship Id="rId67" Type="http://schemas.openxmlformats.org/officeDocument/2006/relationships/ctrlProp" Target="../ctrlProps/ctrlProp57.xml"/><Relationship Id="rId20" Type="http://schemas.openxmlformats.org/officeDocument/2006/relationships/ctrlProp" Target="../ctrlProps/ctrlProp10.xml"/><Relationship Id="rId41" Type="http://schemas.openxmlformats.org/officeDocument/2006/relationships/ctrlProp" Target="../ctrlProps/ctrlProp31.xml"/><Relationship Id="rId54" Type="http://schemas.openxmlformats.org/officeDocument/2006/relationships/ctrlProp" Target="../ctrlProps/ctrlProp44.xml"/><Relationship Id="rId62" Type="http://schemas.openxmlformats.org/officeDocument/2006/relationships/ctrlProp" Target="../ctrlProps/ctrlProp52.xml"/><Relationship Id="rId70" Type="http://schemas.openxmlformats.org/officeDocument/2006/relationships/ctrlProp" Target="../ctrlProps/ctrlProp60.xml"/><Relationship Id="rId75" Type="http://schemas.openxmlformats.org/officeDocument/2006/relationships/ctrlProp" Target="../ctrlProps/ctrlProp65.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5.xml"/><Relationship Id="rId23" Type="http://schemas.openxmlformats.org/officeDocument/2006/relationships/ctrlProp" Target="../ctrlProps/ctrlProp13.xml"/><Relationship Id="rId28" Type="http://schemas.openxmlformats.org/officeDocument/2006/relationships/ctrlProp" Target="../ctrlProps/ctrlProp18.xml"/><Relationship Id="rId36" Type="http://schemas.openxmlformats.org/officeDocument/2006/relationships/ctrlProp" Target="../ctrlProps/ctrlProp26.xml"/><Relationship Id="rId49" Type="http://schemas.openxmlformats.org/officeDocument/2006/relationships/ctrlProp" Target="../ctrlProps/ctrlProp39.xml"/><Relationship Id="rId57" Type="http://schemas.openxmlformats.org/officeDocument/2006/relationships/ctrlProp" Target="../ctrlProps/ctrlProp47.xml"/><Relationship Id="rId10" Type="http://schemas.openxmlformats.org/officeDocument/2006/relationships/image" Target="../media/image3.emf"/><Relationship Id="rId31" Type="http://schemas.openxmlformats.org/officeDocument/2006/relationships/ctrlProp" Target="../ctrlProps/ctrlProp21.xml"/><Relationship Id="rId44" Type="http://schemas.openxmlformats.org/officeDocument/2006/relationships/ctrlProp" Target="../ctrlProps/ctrlProp34.xml"/><Relationship Id="rId52" Type="http://schemas.openxmlformats.org/officeDocument/2006/relationships/ctrlProp" Target="../ctrlProps/ctrlProp42.xml"/><Relationship Id="rId60" Type="http://schemas.openxmlformats.org/officeDocument/2006/relationships/ctrlProp" Target="../ctrlProps/ctrlProp50.xml"/><Relationship Id="rId65" Type="http://schemas.openxmlformats.org/officeDocument/2006/relationships/ctrlProp" Target="../ctrlProps/ctrlProp55.xml"/><Relationship Id="rId73" Type="http://schemas.openxmlformats.org/officeDocument/2006/relationships/ctrlProp" Target="../ctrlProps/ctrlProp63.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trlProp" Target="../ctrlProps/ctrlProp3.xml"/><Relationship Id="rId18" Type="http://schemas.openxmlformats.org/officeDocument/2006/relationships/ctrlProp" Target="../ctrlProps/ctrlProp8.xml"/><Relationship Id="rId39" Type="http://schemas.openxmlformats.org/officeDocument/2006/relationships/ctrlProp" Target="../ctrlProps/ctrlProp29.xml"/><Relationship Id="rId34" Type="http://schemas.openxmlformats.org/officeDocument/2006/relationships/ctrlProp" Target="../ctrlProps/ctrlProp24.xml"/><Relationship Id="rId50" Type="http://schemas.openxmlformats.org/officeDocument/2006/relationships/ctrlProp" Target="../ctrlProps/ctrlProp40.xml"/><Relationship Id="rId55" Type="http://schemas.openxmlformats.org/officeDocument/2006/relationships/ctrlProp" Target="../ctrlProps/ctrlProp45.xml"/><Relationship Id="rId76" Type="http://schemas.openxmlformats.org/officeDocument/2006/relationships/ctrlProp" Target="../ctrlProps/ctrlProp66.xml"/><Relationship Id="rId7" Type="http://schemas.openxmlformats.org/officeDocument/2006/relationships/control" Target="../activeX/activeX2.xml"/><Relationship Id="rId71" Type="http://schemas.openxmlformats.org/officeDocument/2006/relationships/ctrlProp" Target="../ctrlProps/ctrlProp61.xml"/><Relationship Id="rId2" Type="http://schemas.openxmlformats.org/officeDocument/2006/relationships/customProperty" Target="../customProperty1.bin"/><Relationship Id="rId29"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control" Target="../activeX/activeX9.xml"/><Relationship Id="rId26" Type="http://schemas.openxmlformats.org/officeDocument/2006/relationships/control" Target="../activeX/activeX13.xml"/><Relationship Id="rId39" Type="http://schemas.openxmlformats.org/officeDocument/2006/relationships/image" Target="../media/image20.emf"/><Relationship Id="rId21" Type="http://schemas.openxmlformats.org/officeDocument/2006/relationships/image" Target="../media/image11.emf"/><Relationship Id="rId34" Type="http://schemas.openxmlformats.org/officeDocument/2006/relationships/control" Target="../activeX/activeX17.xml"/><Relationship Id="rId42" Type="http://schemas.openxmlformats.org/officeDocument/2006/relationships/control" Target="../activeX/activeX21.xml"/><Relationship Id="rId7" Type="http://schemas.openxmlformats.org/officeDocument/2006/relationships/image" Target="../media/image4.png"/><Relationship Id="rId2" Type="http://schemas.openxmlformats.org/officeDocument/2006/relationships/customProperty" Target="../customProperty2.bin"/><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image" Target="../media/image15.emf"/><Relationship Id="rId41" Type="http://schemas.openxmlformats.org/officeDocument/2006/relationships/image" Target="../media/image21.emf"/><Relationship Id="rId1" Type="http://schemas.openxmlformats.org/officeDocument/2006/relationships/printerSettings" Target="../printerSettings/printerSettings2.bin"/><Relationship Id="rId6" Type="http://schemas.openxmlformats.org/officeDocument/2006/relationships/vmlDrawing" Target="../drawings/vmlDrawing2.vml"/><Relationship Id="rId11" Type="http://schemas.openxmlformats.org/officeDocument/2006/relationships/image" Target="../media/image6.emf"/><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image" Target="../media/image19.emf"/><Relationship Id="rId40" Type="http://schemas.openxmlformats.org/officeDocument/2006/relationships/control" Target="../activeX/activeX20.xml"/><Relationship Id="rId5" Type="http://schemas.openxmlformats.org/officeDocument/2006/relationships/drawing" Target="../drawings/drawing2.xml"/><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ntrol" Target="../activeX/activeX14.xml"/><Relationship Id="rId36" Type="http://schemas.openxmlformats.org/officeDocument/2006/relationships/control" Target="../activeX/activeX18.xml"/><Relationship Id="rId10" Type="http://schemas.openxmlformats.org/officeDocument/2006/relationships/control" Target="../activeX/activeX5.xml"/><Relationship Id="rId19" Type="http://schemas.openxmlformats.org/officeDocument/2006/relationships/image" Target="../media/image10.emf"/><Relationship Id="rId31" Type="http://schemas.openxmlformats.org/officeDocument/2006/relationships/image" Target="../media/image16.emf"/><Relationship Id="rId4" Type="http://schemas.openxmlformats.org/officeDocument/2006/relationships/customProperty" Target="../customProperty4.bin"/><Relationship Id="rId9" Type="http://schemas.openxmlformats.org/officeDocument/2006/relationships/image" Target="../media/image5.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4.emf"/><Relationship Id="rId30" Type="http://schemas.openxmlformats.org/officeDocument/2006/relationships/control" Target="../activeX/activeX15.xml"/><Relationship Id="rId35" Type="http://schemas.openxmlformats.org/officeDocument/2006/relationships/image" Target="../media/image18.emf"/><Relationship Id="rId43" Type="http://schemas.openxmlformats.org/officeDocument/2006/relationships/image" Target="../media/image22.emf"/><Relationship Id="rId8" Type="http://schemas.openxmlformats.org/officeDocument/2006/relationships/control" Target="../activeX/activeX4.xml"/><Relationship Id="rId3" Type="http://schemas.openxmlformats.org/officeDocument/2006/relationships/customProperty" Target="../customProperty3.bin"/><Relationship Id="rId12" Type="http://schemas.openxmlformats.org/officeDocument/2006/relationships/control" Target="../activeX/activeX6.xml"/><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control" Target="../activeX/activeX19.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25.xml"/><Relationship Id="rId18" Type="http://schemas.openxmlformats.org/officeDocument/2006/relationships/image" Target="../media/image30.emf"/><Relationship Id="rId26" Type="http://schemas.openxmlformats.org/officeDocument/2006/relationships/image" Target="../media/image34.emf"/><Relationship Id="rId39" Type="http://schemas.openxmlformats.org/officeDocument/2006/relationships/control" Target="../activeX/activeX38.xml"/><Relationship Id="rId21" Type="http://schemas.openxmlformats.org/officeDocument/2006/relationships/control" Target="../activeX/activeX29.xml"/><Relationship Id="rId34" Type="http://schemas.openxmlformats.org/officeDocument/2006/relationships/image" Target="../media/image38.emf"/><Relationship Id="rId42" Type="http://schemas.openxmlformats.org/officeDocument/2006/relationships/image" Target="../media/image41.emf"/><Relationship Id="rId7" Type="http://schemas.openxmlformats.org/officeDocument/2006/relationships/control" Target="../activeX/activeX22.xml"/><Relationship Id="rId2" Type="http://schemas.openxmlformats.org/officeDocument/2006/relationships/customProperty" Target="../customProperty5.bin"/><Relationship Id="rId16" Type="http://schemas.openxmlformats.org/officeDocument/2006/relationships/image" Target="../media/image29.emf"/><Relationship Id="rId20" Type="http://schemas.openxmlformats.org/officeDocument/2006/relationships/image" Target="../media/image31.emf"/><Relationship Id="rId29" Type="http://schemas.openxmlformats.org/officeDocument/2006/relationships/control" Target="../activeX/activeX33.xml"/><Relationship Id="rId41" Type="http://schemas.openxmlformats.org/officeDocument/2006/relationships/control" Target="../activeX/activeX39.xml"/><Relationship Id="rId1" Type="http://schemas.openxmlformats.org/officeDocument/2006/relationships/printerSettings" Target="../printerSettings/printerSettings3.bin"/><Relationship Id="rId6" Type="http://schemas.openxmlformats.org/officeDocument/2006/relationships/image" Target="../media/image24.png"/><Relationship Id="rId11" Type="http://schemas.openxmlformats.org/officeDocument/2006/relationships/control" Target="../activeX/activeX24.xml"/><Relationship Id="rId24" Type="http://schemas.openxmlformats.org/officeDocument/2006/relationships/image" Target="../media/image33.emf"/><Relationship Id="rId32" Type="http://schemas.openxmlformats.org/officeDocument/2006/relationships/image" Target="../media/image37.emf"/><Relationship Id="rId37" Type="http://schemas.openxmlformats.org/officeDocument/2006/relationships/control" Target="../activeX/activeX37.xml"/><Relationship Id="rId40" Type="http://schemas.openxmlformats.org/officeDocument/2006/relationships/image" Target="../media/image40.emf"/><Relationship Id="rId5" Type="http://schemas.openxmlformats.org/officeDocument/2006/relationships/vmlDrawing" Target="../drawings/vmlDrawing3.vml"/><Relationship Id="rId15" Type="http://schemas.openxmlformats.org/officeDocument/2006/relationships/control" Target="../activeX/activeX26.xml"/><Relationship Id="rId23" Type="http://schemas.openxmlformats.org/officeDocument/2006/relationships/control" Target="../activeX/activeX30.xml"/><Relationship Id="rId28" Type="http://schemas.openxmlformats.org/officeDocument/2006/relationships/image" Target="../media/image35.emf"/><Relationship Id="rId36" Type="http://schemas.openxmlformats.org/officeDocument/2006/relationships/image" Target="../media/image39.emf"/><Relationship Id="rId10" Type="http://schemas.openxmlformats.org/officeDocument/2006/relationships/image" Target="../media/image26.emf"/><Relationship Id="rId19" Type="http://schemas.openxmlformats.org/officeDocument/2006/relationships/control" Target="../activeX/activeX28.xml"/><Relationship Id="rId31" Type="http://schemas.openxmlformats.org/officeDocument/2006/relationships/control" Target="../activeX/activeX34.xml"/><Relationship Id="rId4" Type="http://schemas.openxmlformats.org/officeDocument/2006/relationships/drawing" Target="../drawings/drawing3.xml"/><Relationship Id="rId9" Type="http://schemas.openxmlformats.org/officeDocument/2006/relationships/control" Target="../activeX/activeX23.xml"/><Relationship Id="rId14" Type="http://schemas.openxmlformats.org/officeDocument/2006/relationships/image" Target="../media/image28.emf"/><Relationship Id="rId22" Type="http://schemas.openxmlformats.org/officeDocument/2006/relationships/image" Target="../media/image32.emf"/><Relationship Id="rId27" Type="http://schemas.openxmlformats.org/officeDocument/2006/relationships/control" Target="../activeX/activeX32.xml"/><Relationship Id="rId30" Type="http://schemas.openxmlformats.org/officeDocument/2006/relationships/image" Target="../media/image36.emf"/><Relationship Id="rId35" Type="http://schemas.openxmlformats.org/officeDocument/2006/relationships/control" Target="../activeX/activeX36.xml"/><Relationship Id="rId8" Type="http://schemas.openxmlformats.org/officeDocument/2006/relationships/image" Target="../media/image25.emf"/><Relationship Id="rId3" Type="http://schemas.openxmlformats.org/officeDocument/2006/relationships/customProperty" Target="../customProperty6.bin"/><Relationship Id="rId12" Type="http://schemas.openxmlformats.org/officeDocument/2006/relationships/image" Target="../media/image27.emf"/><Relationship Id="rId17" Type="http://schemas.openxmlformats.org/officeDocument/2006/relationships/control" Target="../activeX/activeX27.xml"/><Relationship Id="rId25" Type="http://schemas.openxmlformats.org/officeDocument/2006/relationships/control" Target="../activeX/activeX31.xml"/><Relationship Id="rId33" Type="http://schemas.openxmlformats.org/officeDocument/2006/relationships/control" Target="../activeX/activeX35.xml"/><Relationship Id="rId38"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B042-7702-48D1-884C-8C20B721E1BA}">
  <sheetPr codeName="Sheet6"/>
  <dimension ref="A1:Q107"/>
  <sheetViews>
    <sheetView showGridLines="0" zoomScale="80" zoomScaleNormal="80" workbookViewId="0">
      <selection activeCell="H17" sqref="H17"/>
    </sheetView>
  </sheetViews>
  <sheetFormatPr defaultColWidth="9.07421875" defaultRowHeight="14.6" x14ac:dyDescent="0.4"/>
  <cols>
    <col min="1" max="1" width="1.69140625" style="1" customWidth="1"/>
    <col min="2" max="2" width="12.69140625" style="1" customWidth="1"/>
    <col min="3" max="3" width="15.69140625" style="1" customWidth="1"/>
    <col min="4" max="4" width="82.07421875" style="1" customWidth="1"/>
    <col min="5" max="5" width="3.3046875" style="1" customWidth="1"/>
    <col min="6" max="6" width="14.3046875" customWidth="1"/>
    <col min="7" max="7" width="3.3046875" style="1" customWidth="1"/>
    <col min="8" max="8" width="30.69140625" style="1" customWidth="1"/>
    <col min="9" max="9" width="3.3046875" style="1" customWidth="1"/>
    <col min="10" max="10" width="14.3046875" customWidth="1"/>
    <col min="11" max="11" width="3.3046875" style="1" customWidth="1"/>
    <col min="12" max="12" width="36.69140625" style="1" customWidth="1"/>
    <col min="13" max="16" width="10.69140625" style="1" customWidth="1"/>
    <col min="17" max="17" width="90.69140625" style="1" customWidth="1"/>
    <col min="18" max="16384" width="9.07421875" style="1"/>
  </cols>
  <sheetData>
    <row r="1" spans="1:17" ht="42" customHeight="1" x14ac:dyDescent="0.35">
      <c r="A1" s="2"/>
      <c r="B1" s="67" t="s">
        <v>29</v>
      </c>
      <c r="C1" s="67"/>
      <c r="D1" s="67"/>
      <c r="E1" s="67"/>
      <c r="F1" s="67"/>
      <c r="G1" s="67"/>
      <c r="H1" s="67"/>
      <c r="I1" s="67"/>
      <c r="J1" s="67"/>
      <c r="K1" s="67"/>
      <c r="L1" s="67"/>
    </row>
    <row r="2" spans="1:17" ht="15.75" customHeight="1" x14ac:dyDescent="0.4">
      <c r="A2" s="27" t="s">
        <v>0</v>
      </c>
      <c r="B2" s="2"/>
      <c r="C2" s="2"/>
      <c r="D2" s="2"/>
      <c r="E2" s="2"/>
      <c r="G2" s="2"/>
      <c r="H2" s="2"/>
      <c r="I2" s="2"/>
      <c r="J2" s="38"/>
      <c r="K2" s="2"/>
      <c r="L2" s="2"/>
    </row>
    <row r="3" spans="1:17" ht="15.75" customHeight="1" x14ac:dyDescent="0.4">
      <c r="A3" s="2"/>
      <c r="B3" s="3" t="s">
        <v>1</v>
      </c>
      <c r="C3" s="2"/>
      <c r="D3" s="2"/>
      <c r="E3" s="2"/>
      <c r="F3" s="38"/>
      <c r="G3" s="2"/>
      <c r="H3" s="2"/>
      <c r="I3" s="2"/>
      <c r="J3" s="38"/>
      <c r="K3" s="2"/>
      <c r="L3" s="2"/>
    </row>
    <row r="4" spans="1:17" ht="18" customHeight="1" thickBot="1" x14ac:dyDescent="0.45">
      <c r="A4" s="2"/>
      <c r="B4" s="2"/>
      <c r="C4" s="2"/>
      <c r="D4" s="2"/>
      <c r="E4" s="2"/>
      <c r="F4" s="38"/>
      <c r="G4" s="2"/>
      <c r="H4" s="2"/>
      <c r="I4" s="2"/>
      <c r="J4" s="38"/>
      <c r="K4" s="2"/>
      <c r="L4" s="2"/>
    </row>
    <row r="5" spans="1:17" ht="28.4" customHeight="1" x14ac:dyDescent="0.35">
      <c r="A5" s="2"/>
      <c r="B5" s="68" t="s">
        <v>2</v>
      </c>
      <c r="C5" s="69"/>
      <c r="D5" s="69"/>
      <c r="E5" s="69"/>
      <c r="F5" s="69"/>
      <c r="G5" s="69"/>
      <c r="H5" s="69"/>
      <c r="I5" s="69"/>
      <c r="J5" s="69"/>
      <c r="K5" s="69"/>
      <c r="L5" s="70"/>
      <c r="Q5" s="16" t="s">
        <v>3</v>
      </c>
    </row>
    <row r="6" spans="1:17" ht="28.4" customHeight="1" thickBot="1" x14ac:dyDescent="0.4">
      <c r="A6" s="2"/>
      <c r="B6" s="71"/>
      <c r="C6" s="72"/>
      <c r="D6" s="72"/>
      <c r="E6" s="72"/>
      <c r="F6" s="72"/>
      <c r="G6" s="72"/>
      <c r="H6" s="72"/>
      <c r="I6" s="72"/>
      <c r="J6" s="72"/>
      <c r="K6" s="72"/>
      <c r="L6" s="73"/>
      <c r="Q6" s="17" t="s">
        <v>4</v>
      </c>
    </row>
    <row r="7" spans="1:17" ht="21.9" customHeight="1" x14ac:dyDescent="0.4">
      <c r="A7" s="2"/>
      <c r="B7" s="74" t="s">
        <v>5</v>
      </c>
      <c r="C7" s="14"/>
      <c r="D7" s="14"/>
      <c r="E7" s="14"/>
      <c r="F7" s="39"/>
      <c r="G7" s="14"/>
      <c r="H7" s="14"/>
      <c r="I7" s="14"/>
      <c r="J7" s="39"/>
      <c r="K7" s="14"/>
      <c r="L7" s="15"/>
      <c r="Q7" s="77" t="s">
        <v>30</v>
      </c>
    </row>
    <row r="8" spans="1:17" ht="18" customHeight="1" x14ac:dyDescent="0.4">
      <c r="A8" s="2"/>
      <c r="B8" s="75"/>
      <c r="C8" s="2"/>
      <c r="D8" s="2"/>
      <c r="E8" s="2"/>
      <c r="F8" s="38"/>
      <c r="G8" s="2"/>
      <c r="H8" s="2"/>
      <c r="I8" s="2"/>
      <c r="J8" s="38"/>
      <c r="K8" s="2"/>
      <c r="L8" s="10"/>
      <c r="Q8" s="77"/>
    </row>
    <row r="9" spans="1:17" ht="17.149999999999999" customHeight="1" x14ac:dyDescent="0.35">
      <c r="A9" s="2"/>
      <c r="B9" s="75"/>
      <c r="C9" s="5"/>
      <c r="D9" s="6"/>
      <c r="E9" s="78" t="s">
        <v>6</v>
      </c>
      <c r="F9" s="79"/>
      <c r="G9" s="80"/>
      <c r="H9" s="4" t="s">
        <v>7</v>
      </c>
      <c r="I9" s="78" t="s">
        <v>8</v>
      </c>
      <c r="J9" s="79"/>
      <c r="K9" s="80"/>
      <c r="L9" s="11" t="s">
        <v>7</v>
      </c>
      <c r="Q9" s="77"/>
    </row>
    <row r="10" spans="1:17" ht="5.15" customHeight="1" x14ac:dyDescent="0.4">
      <c r="A10" s="2"/>
      <c r="B10" s="75"/>
      <c r="C10" s="81"/>
      <c r="D10" s="2"/>
      <c r="E10" s="12"/>
      <c r="F10" s="40"/>
      <c r="G10" s="12"/>
      <c r="H10" s="8"/>
      <c r="I10" s="12"/>
      <c r="J10" s="40"/>
      <c r="K10" s="12"/>
      <c r="L10" s="10"/>
      <c r="Q10" s="77"/>
    </row>
    <row r="11" spans="1:17" ht="15.9" customHeight="1" x14ac:dyDescent="0.35">
      <c r="A11" s="2"/>
      <c r="B11" s="75"/>
      <c r="C11" s="82"/>
      <c r="D11" s="28" t="s">
        <v>9</v>
      </c>
      <c r="E11" s="12"/>
      <c r="F11" s="24">
        <v>10000</v>
      </c>
      <c r="G11" s="12"/>
      <c r="H11" s="29" t="s">
        <v>21</v>
      </c>
      <c r="I11" s="12"/>
      <c r="J11" s="41" t="s">
        <v>11</v>
      </c>
      <c r="K11" s="12"/>
      <c r="L11" s="13" t="s">
        <v>10</v>
      </c>
      <c r="Q11" s="77"/>
    </row>
    <row r="12" spans="1:17" ht="5.15" customHeight="1" thickBot="1" x14ac:dyDescent="0.45">
      <c r="A12" s="2"/>
      <c r="B12" s="76"/>
      <c r="C12" s="83"/>
      <c r="D12" s="30"/>
      <c r="E12" s="31"/>
      <c r="F12" s="42"/>
      <c r="G12" s="31"/>
      <c r="H12" s="32"/>
      <c r="I12" s="31"/>
      <c r="J12" s="42"/>
      <c r="K12" s="31"/>
      <c r="L12" s="33"/>
      <c r="Q12" s="77"/>
    </row>
    <row r="13" spans="1:17" ht="21.9" customHeight="1" x14ac:dyDescent="0.4">
      <c r="A13" s="2"/>
      <c r="B13" s="75" t="s">
        <v>12</v>
      </c>
      <c r="C13" s="2"/>
      <c r="D13" s="2"/>
      <c r="E13" s="2"/>
      <c r="F13" s="38"/>
      <c r="G13" s="2"/>
      <c r="H13" s="2"/>
      <c r="I13" s="2"/>
      <c r="J13" s="38"/>
      <c r="K13" s="2"/>
      <c r="L13" s="10"/>
      <c r="Q13" s="77"/>
    </row>
    <row r="14" spans="1:17" ht="18" customHeight="1" x14ac:dyDescent="0.4">
      <c r="A14" s="2"/>
      <c r="B14" s="75"/>
      <c r="C14" s="2"/>
      <c r="D14" s="2"/>
      <c r="E14" s="2"/>
      <c r="F14" s="38"/>
      <c r="G14" s="2"/>
      <c r="H14" s="2"/>
      <c r="I14" s="2"/>
      <c r="J14" s="38"/>
      <c r="K14" s="2"/>
      <c r="L14" s="10"/>
      <c r="Q14" s="77"/>
    </row>
    <row r="15" spans="1:17" ht="17.149999999999999" customHeight="1" x14ac:dyDescent="0.35">
      <c r="A15" s="2"/>
      <c r="B15" s="75"/>
      <c r="C15" s="5"/>
      <c r="D15" s="6"/>
      <c r="E15" s="78" t="s">
        <v>6</v>
      </c>
      <c r="F15" s="79"/>
      <c r="G15" s="80"/>
      <c r="H15" s="4" t="s">
        <v>7</v>
      </c>
      <c r="I15" s="78" t="s">
        <v>8</v>
      </c>
      <c r="J15" s="79"/>
      <c r="K15" s="80"/>
      <c r="L15" s="11" t="s">
        <v>7</v>
      </c>
      <c r="Q15" s="77"/>
    </row>
    <row r="16" spans="1:17" ht="5.15" customHeight="1" x14ac:dyDescent="0.4">
      <c r="A16" s="2"/>
      <c r="B16" s="75"/>
      <c r="C16" s="81"/>
      <c r="D16" s="2"/>
      <c r="E16" s="12"/>
      <c r="F16" s="40"/>
      <c r="G16" s="12"/>
      <c r="H16" s="8"/>
      <c r="I16" s="12"/>
      <c r="J16" s="40"/>
      <c r="K16" s="12"/>
      <c r="L16" s="10"/>
      <c r="Q16" s="77"/>
    </row>
    <row r="17" spans="1:17" ht="15.9" customHeight="1" x14ac:dyDescent="0.35">
      <c r="A17" s="2"/>
      <c r="B17" s="75"/>
      <c r="C17" s="82"/>
      <c r="D17" s="28" t="s">
        <v>9</v>
      </c>
      <c r="E17" s="12"/>
      <c r="F17" s="24">
        <v>10000</v>
      </c>
      <c r="G17" s="12"/>
      <c r="H17" s="29" t="s">
        <v>10</v>
      </c>
      <c r="I17" s="12"/>
      <c r="J17" s="21" t="s">
        <v>11</v>
      </c>
      <c r="K17" s="12"/>
      <c r="L17" s="13" t="s">
        <v>10</v>
      </c>
      <c r="Q17" s="77"/>
    </row>
    <row r="18" spans="1:17" ht="5.15" customHeight="1" thickBot="1" x14ac:dyDescent="0.45">
      <c r="A18" s="2"/>
      <c r="B18" s="76"/>
      <c r="C18" s="83"/>
      <c r="D18" s="30"/>
      <c r="E18" s="31"/>
      <c r="F18" s="42"/>
      <c r="G18" s="31"/>
      <c r="H18" s="32"/>
      <c r="I18" s="31"/>
      <c r="J18" s="42"/>
      <c r="K18" s="31"/>
      <c r="L18" s="33"/>
      <c r="Q18" s="77"/>
    </row>
    <row r="19" spans="1:17" ht="9" customHeight="1" x14ac:dyDescent="0.4">
      <c r="A19" s="2"/>
      <c r="B19" s="2"/>
      <c r="C19" s="2"/>
      <c r="D19" s="2"/>
      <c r="E19" s="2"/>
      <c r="F19" s="38"/>
      <c r="G19" s="2"/>
      <c r="H19" s="2"/>
      <c r="I19" s="2"/>
      <c r="J19" s="38"/>
      <c r="K19" s="2"/>
      <c r="L19" s="2"/>
      <c r="Q19" s="77"/>
    </row>
    <row r="20" spans="1:17" ht="24.65" customHeight="1" x14ac:dyDescent="0.4">
      <c r="A20" s="2"/>
      <c r="B20" s="2"/>
      <c r="C20" s="2"/>
      <c r="D20" s="2"/>
      <c r="E20" s="2"/>
      <c r="F20" s="38"/>
      <c r="G20" s="2"/>
      <c r="H20" s="2"/>
      <c r="I20" s="2"/>
      <c r="J20" s="38"/>
      <c r="K20" s="2"/>
      <c r="L20" s="2"/>
      <c r="Q20" s="18"/>
    </row>
    <row r="21" spans="1:17" ht="15" customHeight="1" thickBot="1" x14ac:dyDescent="0.45">
      <c r="A21" s="2"/>
      <c r="B21" s="2"/>
      <c r="C21" s="2"/>
      <c r="D21" s="2"/>
      <c r="E21" s="2"/>
      <c r="F21" s="38"/>
      <c r="G21" s="2"/>
      <c r="H21" s="2"/>
      <c r="I21" s="2"/>
      <c r="J21" s="38"/>
      <c r="K21" s="2"/>
      <c r="L21" s="2"/>
      <c r="Q21" s="19" t="s">
        <v>13</v>
      </c>
    </row>
    <row r="22" spans="1:17" ht="28.4" customHeight="1" x14ac:dyDescent="0.35">
      <c r="A22" s="2"/>
      <c r="B22" s="84" t="s">
        <v>14</v>
      </c>
      <c r="C22" s="85"/>
      <c r="D22" s="85"/>
      <c r="E22" s="85"/>
      <c r="F22" s="85"/>
      <c r="G22" s="85"/>
      <c r="H22" s="85"/>
      <c r="I22" s="85"/>
      <c r="J22" s="85"/>
      <c r="K22" s="85"/>
      <c r="L22" s="86"/>
      <c r="Q22" s="77" t="s">
        <v>15</v>
      </c>
    </row>
    <row r="23" spans="1:17" ht="28.4" customHeight="1" x14ac:dyDescent="0.35">
      <c r="A23" s="2"/>
      <c r="B23" s="87"/>
      <c r="C23" s="88"/>
      <c r="D23" s="88"/>
      <c r="E23" s="88"/>
      <c r="F23" s="88"/>
      <c r="G23" s="88"/>
      <c r="H23" s="88"/>
      <c r="I23" s="88"/>
      <c r="J23" s="88"/>
      <c r="K23" s="88"/>
      <c r="L23" s="89"/>
      <c r="Q23" s="77"/>
    </row>
    <row r="24" spans="1:17" ht="18" customHeight="1" x14ac:dyDescent="0.4">
      <c r="A24" s="2"/>
      <c r="B24" s="90" t="s">
        <v>12</v>
      </c>
      <c r="C24" s="2"/>
      <c r="D24" s="2"/>
      <c r="E24" s="2"/>
      <c r="F24" s="38"/>
      <c r="G24" s="2"/>
      <c r="H24" s="2"/>
      <c r="I24" s="2"/>
      <c r="J24" s="38"/>
      <c r="K24" s="2"/>
      <c r="L24" s="10"/>
      <c r="Q24" s="77"/>
    </row>
    <row r="25" spans="1:17" ht="17.149999999999999" customHeight="1" x14ac:dyDescent="0.35">
      <c r="A25" s="2"/>
      <c r="B25" s="75"/>
      <c r="C25" s="5"/>
      <c r="D25" s="6"/>
      <c r="E25" s="78" t="s">
        <v>6</v>
      </c>
      <c r="F25" s="79"/>
      <c r="G25" s="80"/>
      <c r="H25" s="4" t="s">
        <v>7</v>
      </c>
      <c r="I25" s="78" t="s">
        <v>8</v>
      </c>
      <c r="J25" s="79"/>
      <c r="K25" s="80"/>
      <c r="L25" s="11" t="s">
        <v>7</v>
      </c>
      <c r="Q25" s="77"/>
    </row>
    <row r="26" spans="1:17" ht="5.15" customHeight="1" x14ac:dyDescent="0.4">
      <c r="A26" s="2"/>
      <c r="B26" s="75"/>
      <c r="C26" s="82"/>
      <c r="D26" s="2"/>
      <c r="E26" s="12"/>
      <c r="F26" s="40"/>
      <c r="G26" s="12"/>
      <c r="H26" s="9"/>
      <c r="I26" s="12"/>
      <c r="J26" s="40"/>
      <c r="K26" s="12"/>
      <c r="L26" s="10"/>
      <c r="Q26" s="77"/>
    </row>
    <row r="27" spans="1:17" ht="15.9" customHeight="1" x14ac:dyDescent="0.35">
      <c r="A27" s="2"/>
      <c r="B27" s="75"/>
      <c r="C27" s="82"/>
      <c r="D27" s="28" t="s">
        <v>16</v>
      </c>
      <c r="E27" s="12"/>
      <c r="F27" s="24">
        <v>10000</v>
      </c>
      <c r="G27" s="12"/>
      <c r="H27" s="29" t="s">
        <v>10</v>
      </c>
      <c r="I27" s="12"/>
      <c r="J27" s="43" t="s">
        <v>11</v>
      </c>
      <c r="K27" s="12"/>
      <c r="L27" s="13" t="s">
        <v>10</v>
      </c>
      <c r="Q27" s="77"/>
    </row>
    <row r="28" spans="1:17" ht="5.15" customHeight="1" x14ac:dyDescent="0.4">
      <c r="A28" s="2"/>
      <c r="B28" s="75"/>
      <c r="C28" s="91"/>
      <c r="D28" s="62"/>
      <c r="E28" s="7"/>
      <c r="F28" s="44"/>
      <c r="G28" s="7"/>
      <c r="H28" s="6"/>
      <c r="I28" s="7"/>
      <c r="J28" s="44"/>
      <c r="K28" s="7"/>
      <c r="L28" s="63"/>
      <c r="Q28" s="77"/>
    </row>
    <row r="29" spans="1:17" ht="5.15" customHeight="1" x14ac:dyDescent="0.4">
      <c r="A29" s="2"/>
      <c r="B29" s="75"/>
      <c r="C29" s="82"/>
      <c r="D29" s="2"/>
      <c r="E29" s="12"/>
      <c r="F29" s="40"/>
      <c r="G29" s="12"/>
      <c r="H29" s="9"/>
      <c r="I29" s="12"/>
      <c r="J29" s="40"/>
      <c r="K29" s="12"/>
      <c r="L29" s="10"/>
      <c r="Q29" s="77"/>
    </row>
    <row r="30" spans="1:17" ht="15.9" customHeight="1" x14ac:dyDescent="0.4">
      <c r="A30" s="2"/>
      <c r="B30" s="75"/>
      <c r="C30" s="82"/>
      <c r="D30" s="28" t="s">
        <v>17</v>
      </c>
      <c r="E30" s="12"/>
      <c r="F30" s="45">
        <v>10000</v>
      </c>
      <c r="G30" s="12"/>
      <c r="H30" s="29" t="s">
        <v>10</v>
      </c>
      <c r="I30" s="12"/>
      <c r="J30" s="43" t="s">
        <v>11</v>
      </c>
      <c r="K30" s="12"/>
      <c r="L30" s="13" t="s">
        <v>21</v>
      </c>
      <c r="Q30" s="20"/>
    </row>
    <row r="31" spans="1:17" ht="5.15" customHeight="1" x14ac:dyDescent="0.4">
      <c r="A31" s="2"/>
      <c r="B31" s="75"/>
      <c r="C31" s="91"/>
      <c r="D31" s="62"/>
      <c r="E31" s="7"/>
      <c r="F31" s="44"/>
      <c r="G31" s="7"/>
      <c r="H31" s="6"/>
      <c r="I31" s="7"/>
      <c r="J31" s="44"/>
      <c r="K31" s="7"/>
      <c r="L31" s="63"/>
    </row>
    <row r="32" spans="1:17" ht="5.15" customHeight="1" x14ac:dyDescent="0.4">
      <c r="A32" s="2"/>
      <c r="B32" s="75"/>
      <c r="C32" s="82"/>
      <c r="D32" s="2"/>
      <c r="E32" s="12"/>
      <c r="F32" s="40"/>
      <c r="G32" s="12"/>
      <c r="H32" s="9"/>
      <c r="I32" s="12"/>
      <c r="J32" s="40"/>
      <c r="K32" s="12"/>
      <c r="L32" s="10"/>
    </row>
    <row r="33" spans="1:12" ht="15.9" customHeight="1" x14ac:dyDescent="0.35">
      <c r="A33" s="2"/>
      <c r="B33" s="75"/>
      <c r="C33" s="82"/>
      <c r="D33" s="28" t="s">
        <v>18</v>
      </c>
      <c r="E33" s="12"/>
      <c r="F33" s="24">
        <v>10000</v>
      </c>
      <c r="G33" s="12"/>
      <c r="H33" s="29" t="s">
        <v>10</v>
      </c>
      <c r="I33" s="12"/>
      <c r="J33" s="43" t="s">
        <v>11</v>
      </c>
      <c r="K33" s="12"/>
      <c r="L33" s="13" t="s">
        <v>10</v>
      </c>
    </row>
    <row r="34" spans="1:12" ht="5.15" customHeight="1" x14ac:dyDescent="0.4">
      <c r="A34" s="2"/>
      <c r="B34" s="75"/>
      <c r="C34" s="91"/>
      <c r="D34" s="62"/>
      <c r="E34" s="7"/>
      <c r="F34" s="44"/>
      <c r="G34" s="7"/>
      <c r="H34" s="6"/>
      <c r="I34" s="7"/>
      <c r="J34" s="44"/>
      <c r="K34" s="7"/>
      <c r="L34" s="63"/>
    </row>
    <row r="35" spans="1:12" ht="5.15" customHeight="1" x14ac:dyDescent="0.4">
      <c r="A35" s="2"/>
      <c r="B35" s="75"/>
      <c r="C35" s="82"/>
      <c r="D35" s="2"/>
      <c r="E35" s="12"/>
      <c r="F35" s="40"/>
      <c r="G35" s="12"/>
      <c r="H35" s="9"/>
      <c r="I35" s="12"/>
      <c r="J35" s="40"/>
      <c r="K35" s="12"/>
      <c r="L35" s="10"/>
    </row>
    <row r="36" spans="1:12" ht="15.9" customHeight="1" x14ac:dyDescent="0.35">
      <c r="A36" s="2"/>
      <c r="B36" s="75"/>
      <c r="C36" s="82"/>
      <c r="D36" s="28" t="s">
        <v>19</v>
      </c>
      <c r="E36" s="12"/>
      <c r="F36" s="46">
        <v>10000</v>
      </c>
      <c r="G36" s="12"/>
      <c r="H36" s="29" t="s">
        <v>22</v>
      </c>
      <c r="I36" s="12"/>
      <c r="J36" s="43" t="s">
        <v>11</v>
      </c>
      <c r="K36" s="12"/>
      <c r="L36" s="13" t="s">
        <v>21</v>
      </c>
    </row>
    <row r="37" spans="1:12" ht="5.15" customHeight="1" x14ac:dyDescent="0.4">
      <c r="A37" s="2"/>
      <c r="B37" s="75"/>
      <c r="C37" s="91"/>
      <c r="D37" s="62"/>
      <c r="E37" s="7"/>
      <c r="F37" s="44"/>
      <c r="G37" s="7"/>
      <c r="H37" s="6"/>
      <c r="I37" s="7"/>
      <c r="J37" s="44"/>
      <c r="K37" s="7"/>
      <c r="L37" s="63"/>
    </row>
    <row r="38" spans="1:12" ht="5.15" customHeight="1" x14ac:dyDescent="0.4">
      <c r="A38" s="2"/>
      <c r="B38" s="75"/>
      <c r="C38" s="82"/>
      <c r="D38" s="2"/>
      <c r="E38" s="12"/>
      <c r="F38" s="40"/>
      <c r="G38" s="12"/>
      <c r="H38" s="9"/>
      <c r="I38" s="12"/>
      <c r="J38" s="40"/>
      <c r="K38" s="12"/>
      <c r="L38" s="10"/>
    </row>
    <row r="39" spans="1:12" ht="15.9" customHeight="1" x14ac:dyDescent="0.4">
      <c r="A39" s="2"/>
      <c r="B39" s="75"/>
      <c r="C39" s="82"/>
      <c r="D39" s="28" t="s">
        <v>20</v>
      </c>
      <c r="E39" s="12"/>
      <c r="F39" s="40"/>
      <c r="G39" s="12"/>
      <c r="H39" s="9"/>
      <c r="I39" s="12"/>
      <c r="J39" s="40"/>
      <c r="K39" s="12"/>
      <c r="L39" s="10"/>
    </row>
    <row r="40" spans="1:12" ht="5.15" customHeight="1" x14ac:dyDescent="0.4">
      <c r="A40" s="2"/>
      <c r="B40" s="75"/>
      <c r="C40" s="60"/>
      <c r="D40" s="28"/>
      <c r="E40" s="12"/>
      <c r="F40" s="40"/>
      <c r="G40" s="12"/>
      <c r="H40" s="9"/>
      <c r="I40" s="12"/>
      <c r="J40" s="40"/>
      <c r="K40" s="12"/>
      <c r="L40" s="10"/>
    </row>
    <row r="41" spans="1:12" ht="15.9" customHeight="1" x14ac:dyDescent="0.35">
      <c r="A41" s="2"/>
      <c r="B41" s="75"/>
      <c r="C41" s="60"/>
      <c r="D41" s="26" t="s">
        <v>23</v>
      </c>
      <c r="E41" s="12"/>
      <c r="F41" s="47">
        <v>10000</v>
      </c>
      <c r="G41" s="12"/>
      <c r="H41" s="29" t="s">
        <v>24</v>
      </c>
      <c r="I41" s="12"/>
      <c r="J41" s="48" t="s">
        <v>11</v>
      </c>
      <c r="K41" s="12"/>
      <c r="L41" s="13" t="s">
        <v>24</v>
      </c>
    </row>
    <row r="42" spans="1:12" ht="5.15" customHeight="1" x14ac:dyDescent="0.4">
      <c r="A42" s="2"/>
      <c r="B42" s="75"/>
      <c r="C42" s="60"/>
      <c r="D42" s="25"/>
      <c r="E42" s="7"/>
      <c r="F42" s="44"/>
      <c r="G42" s="7"/>
      <c r="H42" s="6"/>
      <c r="I42" s="7"/>
      <c r="J42" s="44"/>
      <c r="K42" s="7"/>
      <c r="L42" s="63"/>
    </row>
    <row r="43" spans="1:12" ht="5.15" customHeight="1" x14ac:dyDescent="0.4">
      <c r="A43" s="2"/>
      <c r="B43" s="75"/>
      <c r="C43" s="60"/>
      <c r="D43" s="28"/>
      <c r="E43" s="12"/>
      <c r="F43" s="40"/>
      <c r="G43" s="12"/>
      <c r="H43" s="9"/>
      <c r="I43" s="12"/>
      <c r="J43" s="40"/>
      <c r="K43" s="12"/>
      <c r="L43" s="10"/>
    </row>
    <row r="44" spans="1:12" ht="15.9" customHeight="1" x14ac:dyDescent="0.35">
      <c r="A44" s="2"/>
      <c r="B44" s="75"/>
      <c r="C44" s="60"/>
      <c r="D44" s="49" t="s">
        <v>31</v>
      </c>
      <c r="E44" s="12"/>
      <c r="F44" s="50">
        <v>10000</v>
      </c>
      <c r="G44" s="12"/>
      <c r="H44" s="29" t="s">
        <v>32</v>
      </c>
      <c r="I44" s="12"/>
      <c r="J44" s="43" t="s">
        <v>11</v>
      </c>
      <c r="K44" s="12"/>
      <c r="L44" s="13" t="s">
        <v>21</v>
      </c>
    </row>
    <row r="45" spans="1:12" ht="5.15" customHeight="1" x14ac:dyDescent="0.4">
      <c r="A45" s="2"/>
      <c r="B45" s="75"/>
      <c r="C45" s="60"/>
      <c r="D45" s="25"/>
      <c r="E45" s="7"/>
      <c r="F45" s="44"/>
      <c r="G45" s="7"/>
      <c r="H45" s="6"/>
      <c r="I45" s="7"/>
      <c r="J45" s="44"/>
      <c r="K45" s="7"/>
      <c r="L45" s="63"/>
    </row>
    <row r="46" spans="1:12" ht="21.9" customHeight="1" x14ac:dyDescent="0.4">
      <c r="A46" s="2"/>
      <c r="B46" s="75"/>
      <c r="C46" s="60"/>
      <c r="D46" s="2"/>
      <c r="E46" s="2"/>
      <c r="F46" s="38"/>
      <c r="G46" s="2"/>
      <c r="H46" s="9"/>
      <c r="I46" s="2"/>
      <c r="J46" s="38"/>
      <c r="K46" s="2"/>
      <c r="L46" s="10"/>
    </row>
    <row r="47" spans="1:12" ht="5.15" customHeight="1" thickBot="1" x14ac:dyDescent="0.45">
      <c r="A47" s="2"/>
      <c r="B47" s="76"/>
      <c r="C47" s="61"/>
      <c r="D47" s="30"/>
      <c r="E47" s="30"/>
      <c r="F47" s="51"/>
      <c r="G47" s="30"/>
      <c r="H47" s="32"/>
      <c r="I47" s="30"/>
      <c r="J47" s="51"/>
      <c r="K47" s="30"/>
      <c r="L47" s="33"/>
    </row>
    <row r="48" spans="1:12" ht="15.9" customHeight="1" x14ac:dyDescent="0.4">
      <c r="A48" s="2"/>
      <c r="B48" s="74" t="s">
        <v>5</v>
      </c>
      <c r="C48" s="14"/>
      <c r="D48" s="14"/>
      <c r="E48" s="14"/>
      <c r="F48" s="39"/>
      <c r="G48" s="14"/>
      <c r="H48" s="14"/>
      <c r="I48" s="14"/>
      <c r="J48" s="39"/>
      <c r="K48" s="14"/>
      <c r="L48" s="15"/>
    </row>
    <row r="49" spans="1:12" ht="18" customHeight="1" x14ac:dyDescent="0.35">
      <c r="A49" s="2"/>
      <c r="B49" s="75"/>
      <c r="C49" s="5"/>
      <c r="D49" s="6"/>
      <c r="E49" s="78" t="s">
        <v>6</v>
      </c>
      <c r="F49" s="79"/>
      <c r="G49" s="80"/>
      <c r="H49" s="4" t="s">
        <v>7</v>
      </c>
      <c r="I49" s="78" t="s">
        <v>8</v>
      </c>
      <c r="J49" s="79"/>
      <c r="K49" s="80"/>
      <c r="L49" s="11" t="s">
        <v>7</v>
      </c>
    </row>
    <row r="50" spans="1:12" ht="5.15" customHeight="1" x14ac:dyDescent="0.4">
      <c r="A50" s="2"/>
      <c r="B50" s="75"/>
      <c r="C50" s="82"/>
      <c r="D50" s="2"/>
      <c r="E50" s="12"/>
      <c r="F50" s="40"/>
      <c r="G50" s="12"/>
      <c r="H50" s="9"/>
      <c r="I50" s="12"/>
      <c r="J50" s="40"/>
      <c r="K50" s="12"/>
      <c r="L50" s="10"/>
    </row>
    <row r="51" spans="1:12" ht="15.9" customHeight="1" x14ac:dyDescent="0.35">
      <c r="A51" s="2"/>
      <c r="B51" s="75"/>
      <c r="C51" s="82"/>
      <c r="D51" s="28" t="s">
        <v>16</v>
      </c>
      <c r="E51" s="12"/>
      <c r="F51" s="24">
        <v>10000</v>
      </c>
      <c r="G51" s="12"/>
      <c r="H51" s="29" t="s">
        <v>10</v>
      </c>
      <c r="I51" s="12"/>
      <c r="J51" s="43" t="s">
        <v>11</v>
      </c>
      <c r="K51" s="12"/>
      <c r="L51" s="13" t="s">
        <v>10</v>
      </c>
    </row>
    <row r="52" spans="1:12" ht="5.15" customHeight="1" x14ac:dyDescent="0.4">
      <c r="A52" s="2"/>
      <c r="B52" s="75"/>
      <c r="C52" s="91"/>
      <c r="D52" s="62"/>
      <c r="E52" s="7"/>
      <c r="F52" s="44"/>
      <c r="G52" s="7"/>
      <c r="H52" s="6"/>
      <c r="I52" s="7"/>
      <c r="J52" s="44"/>
      <c r="K52" s="7"/>
      <c r="L52" s="63"/>
    </row>
    <row r="53" spans="1:12" ht="5.15" customHeight="1" x14ac:dyDescent="0.4">
      <c r="A53" s="2"/>
      <c r="B53" s="75"/>
      <c r="C53" s="82"/>
      <c r="D53" s="2"/>
      <c r="E53" s="12"/>
      <c r="F53" s="40"/>
      <c r="G53" s="12"/>
      <c r="H53" s="9"/>
      <c r="I53" s="12"/>
      <c r="J53" s="40"/>
      <c r="K53" s="12"/>
      <c r="L53" s="10"/>
    </row>
    <row r="54" spans="1:12" ht="15.9" customHeight="1" x14ac:dyDescent="0.35">
      <c r="A54" s="2"/>
      <c r="B54" s="75"/>
      <c r="C54" s="82"/>
      <c r="D54" s="28" t="s">
        <v>17</v>
      </c>
      <c r="E54" s="12"/>
      <c r="F54" s="45">
        <v>10000</v>
      </c>
      <c r="G54" s="12"/>
      <c r="H54" s="29" t="s">
        <v>22</v>
      </c>
      <c r="I54" s="12"/>
      <c r="J54" s="43" t="s">
        <v>11</v>
      </c>
      <c r="K54" s="12"/>
      <c r="L54" s="13" t="s">
        <v>21</v>
      </c>
    </row>
    <row r="55" spans="1:12" ht="5.15" customHeight="1" x14ac:dyDescent="0.4">
      <c r="A55" s="2"/>
      <c r="B55" s="75"/>
      <c r="C55" s="91"/>
      <c r="D55" s="62"/>
      <c r="E55" s="7"/>
      <c r="F55" s="44"/>
      <c r="G55" s="7"/>
      <c r="H55" s="6"/>
      <c r="I55" s="7"/>
      <c r="J55" s="44"/>
      <c r="K55" s="7"/>
      <c r="L55" s="63"/>
    </row>
    <row r="56" spans="1:12" ht="5.15" customHeight="1" x14ac:dyDescent="0.4">
      <c r="A56" s="2"/>
      <c r="B56" s="75"/>
      <c r="C56" s="82"/>
      <c r="D56" s="2"/>
      <c r="E56" s="12"/>
      <c r="F56" s="40"/>
      <c r="G56" s="12"/>
      <c r="H56" s="9"/>
      <c r="I56" s="12"/>
      <c r="J56" s="40"/>
      <c r="K56" s="12"/>
      <c r="L56" s="10"/>
    </row>
    <row r="57" spans="1:12" ht="15.9" customHeight="1" x14ac:dyDescent="0.35">
      <c r="A57" s="2"/>
      <c r="B57" s="75"/>
      <c r="C57" s="82"/>
      <c r="D57" s="28" t="s">
        <v>18</v>
      </c>
      <c r="E57" s="12"/>
      <c r="F57" s="45">
        <v>10000</v>
      </c>
      <c r="G57" s="12"/>
      <c r="H57" s="29" t="s">
        <v>10</v>
      </c>
      <c r="I57" s="12"/>
      <c r="J57" s="43" t="s">
        <v>11</v>
      </c>
      <c r="K57" s="12"/>
      <c r="L57" s="13" t="s">
        <v>10</v>
      </c>
    </row>
    <row r="58" spans="1:12" ht="5.15" customHeight="1" x14ac:dyDescent="0.4">
      <c r="A58" s="2"/>
      <c r="B58" s="75"/>
      <c r="C58" s="91"/>
      <c r="D58" s="62"/>
      <c r="E58" s="7"/>
      <c r="F58" s="44"/>
      <c r="G58" s="7"/>
      <c r="H58" s="6"/>
      <c r="I58" s="7"/>
      <c r="J58" s="44"/>
      <c r="K58" s="7"/>
      <c r="L58" s="63"/>
    </row>
    <row r="59" spans="1:12" ht="5.15" customHeight="1" x14ac:dyDescent="0.4">
      <c r="A59" s="2"/>
      <c r="B59" s="75"/>
      <c r="C59" s="82"/>
      <c r="D59" s="2"/>
      <c r="E59" s="12"/>
      <c r="F59" s="40"/>
      <c r="G59" s="12"/>
      <c r="H59" s="9"/>
      <c r="I59" s="12"/>
      <c r="J59" s="40"/>
      <c r="K59" s="12"/>
      <c r="L59" s="10"/>
    </row>
    <row r="60" spans="1:12" ht="15.9" customHeight="1" x14ac:dyDescent="0.35">
      <c r="A60" s="2"/>
      <c r="B60" s="75"/>
      <c r="C60" s="82"/>
      <c r="D60" s="28" t="s">
        <v>19</v>
      </c>
      <c r="E60" s="12"/>
      <c r="F60" s="45">
        <v>10000</v>
      </c>
      <c r="G60" s="12"/>
      <c r="H60" s="29" t="s">
        <v>10</v>
      </c>
      <c r="I60" s="12"/>
      <c r="J60" s="43" t="s">
        <v>11</v>
      </c>
      <c r="K60" s="12"/>
      <c r="L60" s="13" t="s">
        <v>10</v>
      </c>
    </row>
    <row r="61" spans="1:12" ht="5.15" customHeight="1" x14ac:dyDescent="0.4">
      <c r="A61" s="2"/>
      <c r="B61" s="75"/>
      <c r="C61" s="91"/>
      <c r="D61" s="62"/>
      <c r="E61" s="7"/>
      <c r="F61" s="44"/>
      <c r="G61" s="7"/>
      <c r="H61" s="6"/>
      <c r="I61" s="7"/>
      <c r="J61" s="44"/>
      <c r="K61" s="7"/>
      <c r="L61" s="63"/>
    </row>
    <row r="62" spans="1:12" ht="5.15" customHeight="1" x14ac:dyDescent="0.4">
      <c r="A62" s="2"/>
      <c r="B62" s="75"/>
      <c r="C62" s="82"/>
      <c r="D62" s="2"/>
      <c r="E62" s="12"/>
      <c r="F62" s="40"/>
      <c r="G62" s="12"/>
      <c r="H62" s="9"/>
      <c r="I62" s="12"/>
      <c r="J62" s="40"/>
      <c r="K62" s="12"/>
      <c r="L62" s="10"/>
    </row>
    <row r="63" spans="1:12" ht="15.9" customHeight="1" x14ac:dyDescent="0.4">
      <c r="A63" s="2"/>
      <c r="B63" s="75"/>
      <c r="C63" s="82"/>
      <c r="D63" s="28" t="s">
        <v>20</v>
      </c>
      <c r="E63" s="12"/>
      <c r="F63" s="40"/>
      <c r="G63" s="12"/>
      <c r="H63" s="9"/>
      <c r="I63" s="12"/>
      <c r="J63" s="40"/>
      <c r="K63" s="12"/>
      <c r="L63" s="10"/>
    </row>
    <row r="64" spans="1:12" ht="5.15" customHeight="1" x14ac:dyDescent="0.4">
      <c r="A64" s="2"/>
      <c r="B64" s="75"/>
      <c r="C64" s="60"/>
      <c r="D64" s="28"/>
      <c r="E64" s="12"/>
      <c r="F64" s="40"/>
      <c r="G64" s="12"/>
      <c r="H64" s="9"/>
      <c r="I64" s="12"/>
      <c r="J64" s="40"/>
      <c r="K64" s="12"/>
      <c r="L64" s="10"/>
    </row>
    <row r="65" spans="1:12" ht="15.9" customHeight="1" x14ac:dyDescent="0.35">
      <c r="A65" s="2"/>
      <c r="B65" s="75"/>
      <c r="C65" s="60"/>
      <c r="D65" s="26" t="s">
        <v>33</v>
      </c>
      <c r="E65" s="12"/>
      <c r="F65" s="52">
        <v>10000</v>
      </c>
      <c r="G65" s="12"/>
      <c r="H65" s="29" t="s">
        <v>24</v>
      </c>
      <c r="I65" s="12"/>
      <c r="J65" s="43" t="s">
        <v>11</v>
      </c>
      <c r="K65" s="12"/>
      <c r="L65" s="13" t="s">
        <v>21</v>
      </c>
    </row>
    <row r="66" spans="1:12" ht="5.15" customHeight="1" x14ac:dyDescent="0.4">
      <c r="A66" s="2"/>
      <c r="B66" s="75"/>
      <c r="C66" s="60"/>
      <c r="D66" s="25"/>
      <c r="E66" s="7"/>
      <c r="F66" s="44"/>
      <c r="G66" s="7"/>
      <c r="H66" s="6"/>
      <c r="I66" s="7"/>
      <c r="J66" s="44"/>
      <c r="K66" s="7"/>
      <c r="L66" s="63"/>
    </row>
    <row r="67" spans="1:12" ht="5.15" customHeight="1" x14ac:dyDescent="0.4">
      <c r="A67" s="2"/>
      <c r="B67" s="75"/>
      <c r="C67" s="60"/>
      <c r="D67" s="28"/>
      <c r="E67" s="12"/>
      <c r="F67" s="40"/>
      <c r="G67" s="12"/>
      <c r="H67" s="9"/>
      <c r="I67" s="12"/>
      <c r="J67" s="40"/>
      <c r="K67" s="12"/>
      <c r="L67" s="10"/>
    </row>
    <row r="68" spans="1:12" ht="15.9" customHeight="1" x14ac:dyDescent="0.35">
      <c r="A68" s="2"/>
      <c r="B68" s="75"/>
      <c r="C68" s="60"/>
      <c r="D68" s="26" t="s">
        <v>34</v>
      </c>
      <c r="E68" s="12"/>
      <c r="F68" s="24">
        <v>10000</v>
      </c>
      <c r="G68" s="12"/>
      <c r="H68" s="29" t="s">
        <v>21</v>
      </c>
      <c r="I68" s="12"/>
      <c r="J68" s="53" t="s">
        <v>11</v>
      </c>
      <c r="K68" s="12"/>
      <c r="L68" s="13" t="s">
        <v>22</v>
      </c>
    </row>
    <row r="69" spans="1:12" ht="5.15" customHeight="1" x14ac:dyDescent="0.4">
      <c r="A69" s="2"/>
      <c r="B69" s="75"/>
      <c r="C69" s="60"/>
      <c r="D69" s="25"/>
      <c r="E69" s="7"/>
      <c r="F69" s="44"/>
      <c r="G69" s="7"/>
      <c r="H69" s="6"/>
      <c r="I69" s="7"/>
      <c r="J69" s="44"/>
      <c r="K69" s="7"/>
      <c r="L69" s="63"/>
    </row>
    <row r="70" spans="1:12" ht="5.15" customHeight="1" x14ac:dyDescent="0.4">
      <c r="A70" s="2"/>
      <c r="B70" s="75"/>
      <c r="C70" s="60"/>
      <c r="D70" s="28"/>
      <c r="E70" s="12"/>
      <c r="F70" s="40"/>
      <c r="G70" s="12"/>
      <c r="H70" s="9"/>
      <c r="I70" s="12"/>
      <c r="J70" s="40"/>
      <c r="K70" s="12"/>
      <c r="L70" s="10"/>
    </row>
    <row r="71" spans="1:12" ht="15.9" customHeight="1" x14ac:dyDescent="0.35">
      <c r="A71" s="2"/>
      <c r="B71" s="75"/>
      <c r="C71" s="60"/>
      <c r="D71" s="26" t="s">
        <v>35</v>
      </c>
      <c r="E71" s="12"/>
      <c r="F71" s="24">
        <v>10000</v>
      </c>
      <c r="G71" s="12"/>
      <c r="H71" s="29" t="s">
        <v>21</v>
      </c>
      <c r="I71" s="12"/>
      <c r="J71" s="54" t="s">
        <v>11</v>
      </c>
      <c r="K71" s="12"/>
      <c r="L71" s="13" t="s">
        <v>22</v>
      </c>
    </row>
    <row r="72" spans="1:12" ht="5.15" customHeight="1" x14ac:dyDescent="0.4">
      <c r="A72" s="2"/>
      <c r="B72" s="75"/>
      <c r="C72" s="60"/>
      <c r="D72" s="25"/>
      <c r="E72" s="7"/>
      <c r="F72" s="44"/>
      <c r="G72" s="7"/>
      <c r="H72" s="6"/>
      <c r="I72" s="7"/>
      <c r="J72" s="44"/>
      <c r="K72" s="7"/>
      <c r="L72" s="63"/>
    </row>
    <row r="73" spans="1:12" ht="5.15" customHeight="1" x14ac:dyDescent="0.4">
      <c r="A73" s="2"/>
      <c r="B73" s="75"/>
      <c r="C73" s="60"/>
      <c r="D73" s="28"/>
      <c r="E73" s="12"/>
      <c r="F73" s="40"/>
      <c r="G73" s="12"/>
      <c r="H73" s="9"/>
      <c r="I73" s="12"/>
      <c r="J73" s="40"/>
      <c r="K73" s="12"/>
      <c r="L73" s="10"/>
    </row>
    <row r="74" spans="1:12" ht="15.9" customHeight="1" x14ac:dyDescent="0.35">
      <c r="A74" s="2"/>
      <c r="B74" s="75"/>
      <c r="C74" s="60"/>
      <c r="D74" s="26" t="s">
        <v>36</v>
      </c>
      <c r="E74" s="12"/>
      <c r="F74" s="24">
        <v>10000</v>
      </c>
      <c r="G74" s="12"/>
      <c r="H74" s="29" t="s">
        <v>21</v>
      </c>
      <c r="I74" s="12"/>
      <c r="J74" s="55" t="s">
        <v>11</v>
      </c>
      <c r="K74" s="12"/>
      <c r="L74" s="13" t="s">
        <v>22</v>
      </c>
    </row>
    <row r="75" spans="1:12" ht="5.15" customHeight="1" x14ac:dyDescent="0.4">
      <c r="A75" s="2"/>
      <c r="B75" s="75"/>
      <c r="C75" s="60"/>
      <c r="D75" s="25"/>
      <c r="E75" s="7"/>
      <c r="F75" s="44"/>
      <c r="G75" s="7"/>
      <c r="H75" s="6"/>
      <c r="I75" s="7"/>
      <c r="J75" s="44"/>
      <c r="K75" s="7"/>
      <c r="L75" s="63"/>
    </row>
    <row r="76" spans="1:12" ht="5.15" customHeight="1" x14ac:dyDescent="0.4">
      <c r="A76" s="2"/>
      <c r="B76" s="75"/>
      <c r="C76" s="60"/>
      <c r="D76" s="28"/>
      <c r="E76" s="12"/>
      <c r="F76" s="40"/>
      <c r="G76" s="12"/>
      <c r="H76" s="9"/>
      <c r="I76" s="12"/>
      <c r="J76" s="40"/>
      <c r="K76" s="12"/>
      <c r="L76" s="10"/>
    </row>
    <row r="77" spans="1:12" ht="15.9" customHeight="1" x14ac:dyDescent="0.35">
      <c r="A77" s="2"/>
      <c r="B77" s="75"/>
      <c r="C77" s="60"/>
      <c r="D77" s="26" t="s">
        <v>37</v>
      </c>
      <c r="E77" s="12"/>
      <c r="F77" s="24">
        <v>10000</v>
      </c>
      <c r="G77" s="12"/>
      <c r="H77" s="29" t="s">
        <v>21</v>
      </c>
      <c r="I77" s="12"/>
      <c r="J77" s="56" t="s">
        <v>11</v>
      </c>
      <c r="K77" s="12"/>
      <c r="L77" s="13" t="s">
        <v>22</v>
      </c>
    </row>
    <row r="78" spans="1:12" ht="5.15" customHeight="1" x14ac:dyDescent="0.4">
      <c r="A78" s="2"/>
      <c r="B78" s="75"/>
      <c r="C78" s="60"/>
      <c r="D78" s="25"/>
      <c r="E78" s="7"/>
      <c r="F78" s="44"/>
      <c r="G78" s="7"/>
      <c r="H78" s="6"/>
      <c r="I78" s="7"/>
      <c r="J78" s="44"/>
      <c r="K78" s="7"/>
      <c r="L78" s="63"/>
    </row>
    <row r="79" spans="1:12" ht="5.15" customHeight="1" x14ac:dyDescent="0.4">
      <c r="A79" s="2"/>
      <c r="B79" s="75"/>
      <c r="C79" s="60"/>
      <c r="D79" s="28"/>
      <c r="E79" s="12"/>
      <c r="F79" s="40"/>
      <c r="G79" s="12"/>
      <c r="H79" s="9"/>
      <c r="I79" s="12"/>
      <c r="J79" s="40"/>
      <c r="K79" s="12"/>
      <c r="L79" s="10"/>
    </row>
    <row r="80" spans="1:12" ht="15.9" customHeight="1" x14ac:dyDescent="0.35">
      <c r="A80" s="2"/>
      <c r="B80" s="75"/>
      <c r="C80" s="60"/>
      <c r="D80" s="26" t="s">
        <v>38</v>
      </c>
      <c r="E80" s="12"/>
      <c r="F80" s="24">
        <v>10000</v>
      </c>
      <c r="G80" s="12"/>
      <c r="H80" s="29" t="s">
        <v>21</v>
      </c>
      <c r="I80" s="12"/>
      <c r="J80" s="57" t="s">
        <v>11</v>
      </c>
      <c r="K80" s="12"/>
      <c r="L80" s="13" t="s">
        <v>22</v>
      </c>
    </row>
    <row r="81" spans="1:12" ht="5.15" customHeight="1" x14ac:dyDescent="0.4">
      <c r="A81" s="2"/>
      <c r="B81" s="75"/>
      <c r="C81" s="60"/>
      <c r="D81" s="25"/>
      <c r="E81" s="7"/>
      <c r="F81" s="44"/>
      <c r="G81" s="7"/>
      <c r="H81" s="6"/>
      <c r="I81" s="7"/>
      <c r="J81" s="44"/>
      <c r="K81" s="7"/>
      <c r="L81" s="63"/>
    </row>
    <row r="82" spans="1:12" ht="5.15" customHeight="1" x14ac:dyDescent="0.4">
      <c r="A82" s="2"/>
      <c r="B82" s="75"/>
      <c r="C82" s="60"/>
      <c r="D82" s="28"/>
      <c r="E82" s="12"/>
      <c r="F82" s="40"/>
      <c r="G82" s="12"/>
      <c r="H82" s="9"/>
      <c r="I82" s="12"/>
      <c r="J82" s="40"/>
      <c r="K82" s="12"/>
      <c r="L82" s="10"/>
    </row>
    <row r="83" spans="1:12" ht="15.9" customHeight="1" x14ac:dyDescent="0.35">
      <c r="A83" s="2"/>
      <c r="B83" s="75"/>
      <c r="C83" s="60"/>
      <c r="D83" s="26" t="s">
        <v>39</v>
      </c>
      <c r="E83" s="12"/>
      <c r="F83" s="24">
        <v>10000</v>
      </c>
      <c r="G83" s="12"/>
      <c r="H83" s="29" t="s">
        <v>21</v>
      </c>
      <c r="I83" s="12"/>
      <c r="J83" s="58" t="s">
        <v>11</v>
      </c>
      <c r="K83" s="12"/>
      <c r="L83" s="13" t="s">
        <v>22</v>
      </c>
    </row>
    <row r="84" spans="1:12" ht="5.15" customHeight="1" x14ac:dyDescent="0.4">
      <c r="A84" s="2"/>
      <c r="B84" s="75"/>
      <c r="C84" s="60"/>
      <c r="D84" s="25"/>
      <c r="E84" s="7"/>
      <c r="F84" s="44"/>
      <c r="G84" s="7"/>
      <c r="H84" s="6"/>
      <c r="I84" s="7"/>
      <c r="J84" s="44"/>
      <c r="K84" s="7"/>
      <c r="L84" s="63"/>
    </row>
    <row r="85" spans="1:12" ht="21.9" customHeight="1" x14ac:dyDescent="0.4">
      <c r="A85" s="2"/>
      <c r="B85" s="75"/>
      <c r="C85" s="60"/>
      <c r="D85" s="2"/>
      <c r="E85" s="2"/>
      <c r="F85" s="38"/>
      <c r="G85" s="2"/>
      <c r="H85" s="9"/>
      <c r="I85" s="2"/>
      <c r="J85" s="38"/>
      <c r="K85" s="2"/>
      <c r="L85" s="10"/>
    </row>
    <row r="86" spans="1:12" ht="5.15" customHeight="1" thickBot="1" x14ac:dyDescent="0.45">
      <c r="A86" s="2"/>
      <c r="B86" s="76"/>
      <c r="C86" s="61"/>
      <c r="D86" s="30"/>
      <c r="E86" s="30"/>
      <c r="F86" s="51"/>
      <c r="G86" s="30"/>
      <c r="H86" s="32"/>
      <c r="I86" s="30"/>
      <c r="J86" s="51"/>
      <c r="K86" s="30"/>
      <c r="L86" s="33"/>
    </row>
    <row r="87" spans="1:12" ht="24.65" customHeight="1" x14ac:dyDescent="0.4">
      <c r="A87" s="2"/>
      <c r="B87" s="2"/>
      <c r="C87" s="2"/>
      <c r="D87" s="2"/>
      <c r="E87" s="2"/>
      <c r="F87" s="38"/>
      <c r="G87" s="2"/>
      <c r="H87" s="2"/>
      <c r="I87" s="2"/>
      <c r="J87" s="38"/>
      <c r="K87" s="2"/>
      <c r="L87" s="2"/>
    </row>
    <row r="88" spans="1:12" ht="15" thickBot="1" x14ac:dyDescent="0.45">
      <c r="A88" s="2"/>
      <c r="B88" s="2"/>
      <c r="C88" s="2"/>
      <c r="D88" s="2"/>
      <c r="E88" s="2"/>
      <c r="F88" s="38"/>
      <c r="G88" s="2"/>
      <c r="H88" s="2"/>
      <c r="I88" s="2"/>
      <c r="J88" s="38"/>
      <c r="K88" s="2"/>
      <c r="L88" s="2"/>
    </row>
    <row r="89" spans="1:12" ht="28.4" customHeight="1" x14ac:dyDescent="0.35">
      <c r="A89" s="2"/>
      <c r="B89" s="84" t="s">
        <v>25</v>
      </c>
      <c r="C89" s="85"/>
      <c r="D89" s="85"/>
      <c r="E89" s="85"/>
      <c r="F89" s="85"/>
      <c r="G89" s="85"/>
      <c r="H89" s="85"/>
      <c r="I89" s="85"/>
      <c r="J89" s="85"/>
      <c r="K89" s="85"/>
      <c r="L89" s="86"/>
    </row>
    <row r="90" spans="1:12" ht="28.4" customHeight="1" x14ac:dyDescent="0.35">
      <c r="A90" s="2"/>
      <c r="B90" s="87"/>
      <c r="C90" s="88"/>
      <c r="D90" s="88"/>
      <c r="E90" s="88"/>
      <c r="F90" s="88"/>
      <c r="G90" s="88"/>
      <c r="H90" s="88"/>
      <c r="I90" s="88"/>
      <c r="J90" s="88"/>
      <c r="K90" s="88"/>
      <c r="L90" s="89"/>
    </row>
    <row r="91" spans="1:12" ht="21.75" customHeight="1" x14ac:dyDescent="0.4">
      <c r="A91" s="2"/>
      <c r="B91" s="90" t="s">
        <v>12</v>
      </c>
      <c r="C91" s="2"/>
      <c r="D91" s="2"/>
      <c r="E91" s="2"/>
      <c r="F91" s="38"/>
      <c r="G91" s="2"/>
      <c r="H91" s="2"/>
      <c r="I91" s="2"/>
      <c r="J91" s="38"/>
      <c r="K91" s="2"/>
      <c r="L91" s="10"/>
    </row>
    <row r="92" spans="1:12" ht="18" customHeight="1" x14ac:dyDescent="0.35">
      <c r="A92" s="2"/>
      <c r="B92" s="75"/>
      <c r="C92" s="5"/>
      <c r="D92" s="6"/>
      <c r="E92" s="78" t="s">
        <v>6</v>
      </c>
      <c r="F92" s="79"/>
      <c r="G92" s="80"/>
      <c r="H92" s="4" t="s">
        <v>7</v>
      </c>
      <c r="I92" s="78" t="s">
        <v>8</v>
      </c>
      <c r="J92" s="79"/>
      <c r="K92" s="80"/>
      <c r="L92" s="11" t="s">
        <v>7</v>
      </c>
    </row>
    <row r="93" spans="1:12" ht="5.15" customHeight="1" x14ac:dyDescent="0.4">
      <c r="A93" s="2"/>
      <c r="B93" s="75"/>
      <c r="C93" s="81"/>
      <c r="D93" s="2"/>
      <c r="E93" s="12"/>
      <c r="F93" s="40"/>
      <c r="G93" s="12"/>
      <c r="H93" s="8"/>
      <c r="I93" s="12"/>
      <c r="J93" s="40"/>
      <c r="K93" s="12"/>
      <c r="L93" s="10"/>
    </row>
    <row r="94" spans="1:12" ht="15.75" customHeight="1" x14ac:dyDescent="0.35">
      <c r="A94" s="2"/>
      <c r="B94" s="75"/>
      <c r="C94" s="82"/>
      <c r="D94" s="28" t="s">
        <v>26</v>
      </c>
      <c r="E94" s="12"/>
      <c r="F94" s="59">
        <v>10000</v>
      </c>
      <c r="G94" s="12"/>
      <c r="H94" s="29" t="s">
        <v>10</v>
      </c>
      <c r="I94" s="12"/>
      <c r="J94" s="43" t="s">
        <v>11</v>
      </c>
      <c r="K94" s="12"/>
      <c r="L94" s="13" t="s">
        <v>10</v>
      </c>
    </row>
    <row r="95" spans="1:12" ht="5.15" customHeight="1" x14ac:dyDescent="0.4">
      <c r="A95" s="2"/>
      <c r="B95" s="75"/>
      <c r="C95" s="91"/>
      <c r="D95" s="62"/>
      <c r="E95" s="7"/>
      <c r="F95" s="44"/>
      <c r="G95" s="7"/>
      <c r="H95" s="6"/>
      <c r="I95" s="7"/>
      <c r="J95" s="44"/>
      <c r="K95" s="7"/>
      <c r="L95" s="63"/>
    </row>
    <row r="96" spans="1:12" ht="5.15" customHeight="1" x14ac:dyDescent="0.4">
      <c r="A96" s="2"/>
      <c r="B96" s="75"/>
      <c r="C96" s="82"/>
      <c r="D96" s="2"/>
      <c r="E96" s="12"/>
      <c r="F96" s="40"/>
      <c r="G96" s="12"/>
      <c r="H96" s="9"/>
      <c r="I96" s="12"/>
      <c r="J96" s="40"/>
      <c r="K96" s="12"/>
      <c r="L96" s="10"/>
    </row>
    <row r="97" spans="1:12" ht="15.75" customHeight="1" x14ac:dyDescent="0.35">
      <c r="A97" s="2"/>
      <c r="B97" s="75"/>
      <c r="C97" s="82"/>
      <c r="D97" s="28" t="s">
        <v>27</v>
      </c>
      <c r="E97" s="12"/>
      <c r="F97" s="59">
        <v>10000</v>
      </c>
      <c r="G97" s="12"/>
      <c r="H97" s="29" t="s">
        <v>10</v>
      </c>
      <c r="I97" s="12"/>
      <c r="J97" s="43" t="s">
        <v>11</v>
      </c>
      <c r="K97" s="12"/>
      <c r="L97" s="13" t="s">
        <v>10</v>
      </c>
    </row>
    <row r="98" spans="1:12" ht="5.15" customHeight="1" x14ac:dyDescent="0.4">
      <c r="A98" s="2"/>
      <c r="B98" s="92"/>
      <c r="C98" s="91"/>
      <c r="D98" s="62"/>
      <c r="E98" s="7"/>
      <c r="F98" s="44"/>
      <c r="G98" s="7"/>
      <c r="H98" s="6"/>
      <c r="I98" s="7"/>
      <c r="J98" s="44"/>
      <c r="K98" s="7"/>
      <c r="L98" s="63"/>
    </row>
    <row r="99" spans="1:12" ht="21.75" customHeight="1" x14ac:dyDescent="0.4">
      <c r="A99" s="2"/>
      <c r="B99" s="90" t="s">
        <v>5</v>
      </c>
      <c r="C99" s="2"/>
      <c r="D99" s="2"/>
      <c r="E99" s="2"/>
      <c r="F99" s="38"/>
      <c r="G99" s="2"/>
      <c r="H99" s="2"/>
      <c r="I99" s="2"/>
      <c r="J99" s="38"/>
      <c r="K99" s="2"/>
      <c r="L99" s="10"/>
    </row>
    <row r="100" spans="1:12" ht="18" customHeight="1" x14ac:dyDescent="0.35">
      <c r="A100" s="2"/>
      <c r="B100" s="75"/>
      <c r="C100" s="5"/>
      <c r="D100" s="6"/>
      <c r="E100" s="78" t="s">
        <v>6</v>
      </c>
      <c r="F100" s="79"/>
      <c r="G100" s="80"/>
      <c r="H100" s="4" t="s">
        <v>7</v>
      </c>
      <c r="I100" s="78" t="s">
        <v>8</v>
      </c>
      <c r="J100" s="79"/>
      <c r="K100" s="80"/>
      <c r="L100" s="11" t="s">
        <v>7</v>
      </c>
    </row>
    <row r="101" spans="1:12" ht="5.15" customHeight="1" x14ac:dyDescent="0.4">
      <c r="A101" s="2"/>
      <c r="B101" s="75"/>
      <c r="C101" s="81"/>
      <c r="D101" s="2"/>
      <c r="E101" s="12"/>
      <c r="F101" s="40"/>
      <c r="G101" s="12"/>
      <c r="H101" s="8"/>
      <c r="I101" s="12"/>
      <c r="J101" s="40"/>
      <c r="K101" s="12"/>
      <c r="L101" s="10"/>
    </row>
    <row r="102" spans="1:12" ht="15.75" customHeight="1" x14ac:dyDescent="0.35">
      <c r="A102" s="2"/>
      <c r="B102" s="75"/>
      <c r="C102" s="82"/>
      <c r="D102" s="28" t="s">
        <v>26</v>
      </c>
      <c r="E102" s="12"/>
      <c r="F102" s="59">
        <v>10000</v>
      </c>
      <c r="G102" s="12"/>
      <c r="H102" s="29" t="s">
        <v>10</v>
      </c>
      <c r="I102" s="12"/>
      <c r="J102" s="43" t="s">
        <v>11</v>
      </c>
      <c r="K102" s="12"/>
      <c r="L102" s="13" t="s">
        <v>10</v>
      </c>
    </row>
    <row r="103" spans="1:12" ht="5.15" customHeight="1" x14ac:dyDescent="0.4">
      <c r="A103" s="2"/>
      <c r="B103" s="75"/>
      <c r="C103" s="91"/>
      <c r="D103" s="62"/>
      <c r="E103" s="7"/>
      <c r="F103" s="44"/>
      <c r="G103" s="7"/>
      <c r="H103" s="6"/>
      <c r="I103" s="7"/>
      <c r="J103" s="44"/>
      <c r="K103" s="7"/>
      <c r="L103" s="63"/>
    </row>
    <row r="104" spans="1:12" ht="5.15" customHeight="1" x14ac:dyDescent="0.4">
      <c r="A104" s="2"/>
      <c r="B104" s="75"/>
      <c r="C104" s="82"/>
      <c r="D104" s="2"/>
      <c r="E104" s="12"/>
      <c r="F104" s="40"/>
      <c r="G104" s="12"/>
      <c r="H104" s="9"/>
      <c r="I104" s="12"/>
      <c r="J104" s="40"/>
      <c r="K104" s="12"/>
      <c r="L104" s="10"/>
    </row>
    <row r="105" spans="1:12" ht="15.75" customHeight="1" x14ac:dyDescent="0.35">
      <c r="A105" s="2"/>
      <c r="B105" s="75"/>
      <c r="C105" s="82"/>
      <c r="D105" s="28" t="s">
        <v>27</v>
      </c>
      <c r="E105" s="12"/>
      <c r="F105" s="59">
        <v>10000</v>
      </c>
      <c r="G105" s="12"/>
      <c r="H105" s="29" t="s">
        <v>10</v>
      </c>
      <c r="I105" s="12"/>
      <c r="J105" s="43" t="s">
        <v>11</v>
      </c>
      <c r="K105" s="12"/>
      <c r="L105" s="13" t="s">
        <v>10</v>
      </c>
    </row>
    <row r="106" spans="1:12" ht="5.15" customHeight="1" thickBot="1" x14ac:dyDescent="0.45">
      <c r="A106" s="2"/>
      <c r="B106" s="76"/>
      <c r="C106" s="83"/>
      <c r="D106" s="30"/>
      <c r="E106" s="31"/>
      <c r="F106" s="42"/>
      <c r="G106" s="31"/>
      <c r="H106" s="32"/>
      <c r="I106" s="31"/>
      <c r="J106" s="42"/>
      <c r="K106" s="31"/>
      <c r="L106" s="33"/>
    </row>
    <row r="107" spans="1:12" ht="15" customHeight="1" x14ac:dyDescent="0.4">
      <c r="A107" s="2"/>
      <c r="B107" s="2"/>
      <c r="C107" s="2"/>
      <c r="D107" s="2"/>
      <c r="E107" s="2"/>
      <c r="F107" s="38"/>
      <c r="G107" s="2"/>
      <c r="H107" s="2"/>
      <c r="I107" s="2"/>
      <c r="J107" s="38"/>
      <c r="K107" s="2"/>
      <c r="L107" s="2"/>
    </row>
  </sheetData>
  <sheetProtection algorithmName="SHA-512" hashValue="fo7ZUChFbbaMFnEaxXsyURvwdEVEDRvWBj12Ck5ndK5b/4L3oucyi6T9/CJSE/uVSlD0xMzjF+yJz96BfznFpA==" saltValue="W7H03rk8vtTsMvaZtWP0HA==" spinCount="100000" sheet="1" objects="1" scenarios="1" formatCells="0"/>
  <mergeCells count="43">
    <mergeCell ref="B99:B106"/>
    <mergeCell ref="E100:G100"/>
    <mergeCell ref="I100:K100"/>
    <mergeCell ref="C101:C103"/>
    <mergeCell ref="C104:C106"/>
    <mergeCell ref="C62:C63"/>
    <mergeCell ref="B89:L89"/>
    <mergeCell ref="B90:L90"/>
    <mergeCell ref="B91:B98"/>
    <mergeCell ref="E92:G92"/>
    <mergeCell ref="I92:K92"/>
    <mergeCell ref="C93:C95"/>
    <mergeCell ref="C96:C98"/>
    <mergeCell ref="C32:C34"/>
    <mergeCell ref="C35:C37"/>
    <mergeCell ref="C38:C39"/>
    <mergeCell ref="B48:B86"/>
    <mergeCell ref="E49:G49"/>
    <mergeCell ref="I49:K49"/>
    <mergeCell ref="C50:C52"/>
    <mergeCell ref="C53:C55"/>
    <mergeCell ref="C56:C58"/>
    <mergeCell ref="C59:C61"/>
    <mergeCell ref="I15:K15"/>
    <mergeCell ref="C16:C18"/>
    <mergeCell ref="B22:L22"/>
    <mergeCell ref="Q22:Q29"/>
    <mergeCell ref="B23:L23"/>
    <mergeCell ref="B24:B47"/>
    <mergeCell ref="E25:G25"/>
    <mergeCell ref="I25:K25"/>
    <mergeCell ref="C26:C28"/>
    <mergeCell ref="C29:C31"/>
    <mergeCell ref="B1:L1"/>
    <mergeCell ref="B5:L5"/>
    <mergeCell ref="B6:L6"/>
    <mergeCell ref="B7:B12"/>
    <mergeCell ref="Q7:Q19"/>
    <mergeCell ref="E9:G9"/>
    <mergeCell ref="I9:K9"/>
    <mergeCell ref="C10:C12"/>
    <mergeCell ref="B13:B18"/>
    <mergeCell ref="E15:G15"/>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13338" r:id="rId5" name="cbApplyOddEvenFormatting">
          <controlPr defaultSize="0" autoFill="0" autoLine="0" r:id="rId6">
            <anchor moveWithCells="1">
              <from>
                <xdr:col>7</xdr:col>
                <xdr:colOff>1676400</xdr:colOff>
                <xdr:row>88</xdr:row>
                <xdr:rowOff>70757</xdr:rowOff>
              </from>
              <to>
                <xdr:col>7</xdr:col>
                <xdr:colOff>1796143</xdr:colOff>
                <xdr:row>88</xdr:row>
                <xdr:rowOff>342900</xdr:rowOff>
              </to>
            </anchor>
          </controlPr>
        </control>
      </mc:Choice>
      <mc:Fallback>
        <control shapeId="13338" r:id="rId5" name="cbApplyOddEvenFormatting"/>
      </mc:Fallback>
    </mc:AlternateContent>
    <mc:AlternateContent xmlns:mc="http://schemas.openxmlformats.org/markup-compatibility/2006">
      <mc:Choice Requires="x14">
        <control shapeId="13322" r:id="rId7" name="cbApplyMemberFormatting">
          <controlPr defaultSize="0" autoFill="0" autoLine="0" r:id="rId8">
            <anchor moveWithCells="1">
              <from>
                <xdr:col>9</xdr:col>
                <xdr:colOff>478971</xdr:colOff>
                <xdr:row>21</xdr:row>
                <xdr:rowOff>70757</xdr:rowOff>
              </from>
              <to>
                <xdr:col>9</xdr:col>
                <xdr:colOff>604157</xdr:colOff>
                <xdr:row>21</xdr:row>
                <xdr:rowOff>342900</xdr:rowOff>
              </to>
            </anchor>
          </controlPr>
        </control>
      </mc:Choice>
      <mc:Fallback>
        <control shapeId="13322" r:id="rId7" name="cbApplyMemberFormatting"/>
      </mc:Fallback>
    </mc:AlternateContent>
    <mc:AlternateContent xmlns:mc="http://schemas.openxmlformats.org/markup-compatibility/2006">
      <mc:Choice Requires="x14">
        <control shapeId="13313" r:id="rId9" name="cbApplyLevelFormatting">
          <controlPr defaultSize="0" autoFill="0" autoLine="0" r:id="rId10">
            <anchor moveWithCells="1">
              <from>
                <xdr:col>7</xdr:col>
                <xdr:colOff>1485900</xdr:colOff>
                <xdr:row>4</xdr:row>
                <xdr:rowOff>70757</xdr:rowOff>
              </from>
              <to>
                <xdr:col>7</xdr:col>
                <xdr:colOff>1605643</xdr:colOff>
                <xdr:row>4</xdr:row>
                <xdr:rowOff>342900</xdr:rowOff>
              </to>
            </anchor>
          </controlPr>
        </control>
      </mc:Choice>
      <mc:Fallback>
        <control shapeId="13313" r:id="rId9" name="cbApplyLevelFormatting"/>
      </mc:Fallback>
    </mc:AlternateContent>
    <mc:AlternateContent xmlns:mc="http://schemas.openxmlformats.org/markup-compatibility/2006">
      <mc:Choice Requires="x14">
        <control shapeId="13314" r:id="rId11"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13315" r:id="rId12" name="obLevelRowFirst">
          <controlPr defaultSize="0" autoFill="0" autoLine="0" autoPict="0" macro="_xll.IBPXLClient.TechnicalCategory.ButtonActionInIBPClientFormattingSheet">
            <anchor moveWithCells="1">
              <from>
                <xdr:col>3</xdr:col>
                <xdr:colOff>489857</xdr:colOff>
                <xdr:row>5</xdr:row>
                <xdr:rowOff>59871</xdr:rowOff>
              </from>
              <to>
                <xdr:col>3</xdr:col>
                <xdr:colOff>2628900</xdr:colOff>
                <xdr:row>5</xdr:row>
                <xdr:rowOff>272143</xdr:rowOff>
              </to>
            </anchor>
          </controlPr>
        </control>
      </mc:Choice>
    </mc:AlternateContent>
    <mc:AlternateContent xmlns:mc="http://schemas.openxmlformats.org/markup-compatibility/2006">
      <mc:Choice Requires="x14">
        <control shapeId="13316" r:id="rId13"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457200</xdr:colOff>
                <xdr:row>5</xdr:row>
                <xdr:rowOff>272143</xdr:rowOff>
              </to>
            </anchor>
          </controlPr>
        </control>
      </mc:Choice>
    </mc:AlternateContent>
    <mc:AlternateContent xmlns:mc="http://schemas.openxmlformats.org/markup-compatibility/2006">
      <mc:Choice Requires="x14">
        <control shapeId="13317" r:id="rId14" name="Group Box 5">
          <controlPr defaultSize="0" autoPict="0">
            <anchor moveWithCells="1">
              <from>
                <xdr:col>3</xdr:col>
                <xdr:colOff>2748643</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13318" r:id="rId15" name="Group Box 6">
          <controlPr defaultSize="0" autoPict="0">
            <anchor moveWithCells="1">
              <from>
                <xdr:col>10</xdr:col>
                <xdr:colOff>212271</xdr:colOff>
                <xdr:row>12</xdr:row>
                <xdr:rowOff>0</xdr:rowOff>
              </from>
              <to>
                <xdr:col>12</xdr:col>
                <xdr:colOff>5443</xdr:colOff>
                <xdr:row>14</xdr:row>
                <xdr:rowOff>0</xdr:rowOff>
              </to>
            </anchor>
          </controlPr>
        </control>
      </mc:Choice>
    </mc:AlternateContent>
    <mc:AlternateContent xmlns:mc="http://schemas.openxmlformats.org/markup-compatibility/2006">
      <mc:Choice Requires="x14">
        <control shapeId="13319" r:id="rId16" name="cbUseDefaultLevelFirst">
          <controlPr defaultSize="0" autoFill="0" autoLine="0" autoPict="0">
            <anchor moveWithCells="1">
              <from>
                <xdr:col>2</xdr:col>
                <xdr:colOff>119743</xdr:colOff>
                <xdr:row>14</xdr:row>
                <xdr:rowOff>195943</xdr:rowOff>
              </from>
              <to>
                <xdr:col>2</xdr:col>
                <xdr:colOff>1028700</xdr:colOff>
                <xdr:row>17</xdr:row>
                <xdr:rowOff>43543</xdr:rowOff>
              </to>
            </anchor>
          </controlPr>
        </control>
      </mc:Choice>
    </mc:AlternateContent>
    <mc:AlternateContent xmlns:mc="http://schemas.openxmlformats.org/markup-compatibility/2006">
      <mc:Choice Requires="x14">
        <control shapeId="13320" r:id="rId17" name="Group Box 8">
          <controlPr defaultSize="0" autoPict="0">
            <anchor moveWithCells="1">
              <from>
                <xdr:col>10</xdr:col>
                <xdr:colOff>212271</xdr:colOff>
                <xdr:row>6</xdr:row>
                <xdr:rowOff>0</xdr:rowOff>
              </from>
              <to>
                <xdr:col>12</xdr:col>
                <xdr:colOff>5443</xdr:colOff>
                <xdr:row>8</xdr:row>
                <xdr:rowOff>0</xdr:rowOff>
              </to>
            </anchor>
          </controlPr>
        </control>
      </mc:Choice>
    </mc:AlternateContent>
    <mc:AlternateContent xmlns:mc="http://schemas.openxmlformats.org/markup-compatibility/2006">
      <mc:Choice Requires="x14">
        <control shapeId="13321" r:id="rId18" name="cbUseDefaultLevelSecond">
          <controlPr defaultSize="0" autoFill="0" autoLine="0" autoPict="0">
            <anchor moveWithCells="1">
              <from>
                <xdr:col>2</xdr:col>
                <xdr:colOff>119743</xdr:colOff>
                <xdr:row>9</xdr:row>
                <xdr:rowOff>0</xdr:rowOff>
              </from>
              <to>
                <xdr:col>2</xdr:col>
                <xdr:colOff>1028700</xdr:colOff>
                <xdr:row>11</xdr:row>
                <xdr:rowOff>43543</xdr:rowOff>
              </to>
            </anchor>
          </controlPr>
        </control>
      </mc:Choice>
    </mc:AlternateContent>
    <mc:AlternateContent xmlns:mc="http://schemas.openxmlformats.org/markup-compatibility/2006">
      <mc:Choice Requires="x14">
        <control shapeId="13323" r:id="rId19" name="Group Box 11">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13324" r:id="rId20" name="obMemberRowFirst">
          <controlPr defaultSize="0" autoFill="0" autoLine="0" autoPict="0" macro="_xll.IBPXLClient.TechnicalCategory.ButtonActionInIBPClientFormattingSheet">
            <anchor moveWithCells="1">
              <from>
                <xdr:col>3</xdr:col>
                <xdr:colOff>489857</xdr:colOff>
                <xdr:row>22</xdr:row>
                <xdr:rowOff>59871</xdr:rowOff>
              </from>
              <to>
                <xdr:col>3</xdr:col>
                <xdr:colOff>2628900</xdr:colOff>
                <xdr:row>22</xdr:row>
                <xdr:rowOff>272143</xdr:rowOff>
              </to>
            </anchor>
          </controlPr>
        </control>
      </mc:Choice>
    </mc:AlternateContent>
    <mc:AlternateContent xmlns:mc="http://schemas.openxmlformats.org/markup-compatibility/2006">
      <mc:Choice Requires="x14">
        <control shapeId="13325" r:id="rId21"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457200</xdr:colOff>
                <xdr:row>22</xdr:row>
                <xdr:rowOff>272143</xdr:rowOff>
              </to>
            </anchor>
          </controlPr>
        </control>
      </mc:Choice>
    </mc:AlternateContent>
    <mc:AlternateContent xmlns:mc="http://schemas.openxmlformats.org/markup-compatibility/2006">
      <mc:Choice Requires="x14">
        <control shapeId="13326" r:id="rId22" name="cbApplyCalculatedMemberFirst">
          <controlPr defaultSize="0" autoFill="0" autoLine="0" autoPict="0">
            <anchor moveWithCells="1">
              <from>
                <xdr:col>2</xdr:col>
                <xdr:colOff>119743</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13327" r:id="rId23" name="cbApplyImputableMemberFirst">
          <controlPr defaultSize="0" autoFill="0" autoLine="0" autoPict="0">
            <anchor moveWithCells="1">
              <from>
                <xdr:col>2</xdr:col>
                <xdr:colOff>119743</xdr:colOff>
                <xdr:row>28</xdr:row>
                <xdr:rowOff>0</xdr:rowOff>
              </from>
              <to>
                <xdr:col>2</xdr:col>
                <xdr:colOff>1028700</xdr:colOff>
                <xdr:row>30</xdr:row>
                <xdr:rowOff>43543</xdr:rowOff>
              </to>
            </anchor>
          </controlPr>
        </control>
      </mc:Choice>
    </mc:AlternateContent>
    <mc:AlternateContent xmlns:mc="http://schemas.openxmlformats.org/markup-compatibility/2006">
      <mc:Choice Requires="x14">
        <control shapeId="13328" r:id="rId24" name="cbApplyLocalMemberFirst">
          <controlPr defaultSize="0" autoFill="0" autoLine="0" autoPict="0">
            <anchor moveWithCells="1">
              <from>
                <xdr:col>2</xdr:col>
                <xdr:colOff>119743</xdr:colOff>
                <xdr:row>31</xdr:row>
                <xdr:rowOff>0</xdr:rowOff>
              </from>
              <to>
                <xdr:col>2</xdr:col>
                <xdr:colOff>1028700</xdr:colOff>
                <xdr:row>33</xdr:row>
                <xdr:rowOff>43543</xdr:rowOff>
              </to>
            </anchor>
          </controlPr>
        </control>
      </mc:Choice>
    </mc:AlternateContent>
    <mc:AlternateContent xmlns:mc="http://schemas.openxmlformats.org/markup-compatibility/2006">
      <mc:Choice Requires="x14">
        <control shapeId="13329" r:id="rId25" name="cbApplyChangedMemberFirst">
          <controlPr defaultSize="0" autoFill="0" autoLine="0" autoPict="0">
            <anchor moveWithCells="1">
              <from>
                <xdr:col>2</xdr:col>
                <xdr:colOff>119743</xdr:colOff>
                <xdr:row>34</xdr:row>
                <xdr:rowOff>0</xdr:rowOff>
              </from>
              <to>
                <xdr:col>2</xdr:col>
                <xdr:colOff>1028700</xdr:colOff>
                <xdr:row>36</xdr:row>
                <xdr:rowOff>43543</xdr:rowOff>
              </to>
            </anchor>
          </controlPr>
        </control>
      </mc:Choice>
    </mc:AlternateContent>
    <mc:AlternateContent xmlns:mc="http://schemas.openxmlformats.org/markup-compatibility/2006">
      <mc:Choice Requires="x14">
        <control shapeId="13330" r:id="rId26" name="cbApplySpecificMemberFirst">
          <controlPr defaultSize="0" autoFill="0" autoLine="0" autoPict="0">
            <anchor moveWithCells="1">
              <from>
                <xdr:col>2</xdr:col>
                <xdr:colOff>119743</xdr:colOff>
                <xdr:row>37</xdr:row>
                <xdr:rowOff>43543</xdr:rowOff>
              </from>
              <to>
                <xdr:col>2</xdr:col>
                <xdr:colOff>1028700</xdr:colOff>
                <xdr:row>39</xdr:row>
                <xdr:rowOff>0</xdr:rowOff>
              </to>
            </anchor>
          </controlPr>
        </control>
      </mc:Choice>
    </mc:AlternateContent>
    <mc:AlternateContent xmlns:mc="http://schemas.openxmlformats.org/markup-compatibility/2006">
      <mc:Choice Requires="x14">
        <control shapeId="13331" r:id="rId27" name="AddMemberFirst">
          <controlPr defaultSize="0" print="0" autoFill="0" autoPict="0" macro="_xll.IBPXLClient.TechnicalCategory.ButtonActionInIBPClientFormattingSheet">
            <anchor moveWithCells="1" sizeWithCells="1">
              <from>
                <xdr:col>3</xdr:col>
                <xdr:colOff>59871</xdr:colOff>
                <xdr:row>45</xdr:row>
                <xdr:rowOff>21771</xdr:rowOff>
              </from>
              <to>
                <xdr:col>3</xdr:col>
                <xdr:colOff>4288971</xdr:colOff>
                <xdr:row>45</xdr:row>
                <xdr:rowOff>266700</xdr:rowOff>
              </to>
            </anchor>
          </controlPr>
        </control>
      </mc:Choice>
    </mc:AlternateContent>
    <mc:AlternateContent xmlns:mc="http://schemas.openxmlformats.org/markup-compatibility/2006">
      <mc:Choice Requires="x14">
        <control shapeId="13332" r:id="rId28" name="cbApplyCalculatedMemberSecond">
          <controlPr defaultSize="0" autoFill="0" autoLine="0" autoPict="0">
            <anchor moveWithCells="1">
              <from>
                <xdr:col>2</xdr:col>
                <xdr:colOff>119743</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13333" r:id="rId29" name="cbApplyImputableMemberSecond">
          <controlPr defaultSize="0" autoFill="0" autoLine="0" autoPict="0">
            <anchor moveWithCells="1">
              <from>
                <xdr:col>2</xdr:col>
                <xdr:colOff>119743</xdr:colOff>
                <xdr:row>52</xdr:row>
                <xdr:rowOff>0</xdr:rowOff>
              </from>
              <to>
                <xdr:col>2</xdr:col>
                <xdr:colOff>1028700</xdr:colOff>
                <xdr:row>54</xdr:row>
                <xdr:rowOff>43543</xdr:rowOff>
              </to>
            </anchor>
          </controlPr>
        </control>
      </mc:Choice>
    </mc:AlternateContent>
    <mc:AlternateContent xmlns:mc="http://schemas.openxmlformats.org/markup-compatibility/2006">
      <mc:Choice Requires="x14">
        <control shapeId="13334" r:id="rId30" name="cbApplyLocalMemberSecond">
          <controlPr defaultSize="0" autoFill="0" autoLine="0" autoPict="0">
            <anchor moveWithCells="1">
              <from>
                <xdr:col>2</xdr:col>
                <xdr:colOff>119743</xdr:colOff>
                <xdr:row>55</xdr:row>
                <xdr:rowOff>0</xdr:rowOff>
              </from>
              <to>
                <xdr:col>2</xdr:col>
                <xdr:colOff>1028700</xdr:colOff>
                <xdr:row>57</xdr:row>
                <xdr:rowOff>43543</xdr:rowOff>
              </to>
            </anchor>
          </controlPr>
        </control>
      </mc:Choice>
    </mc:AlternateContent>
    <mc:AlternateContent xmlns:mc="http://schemas.openxmlformats.org/markup-compatibility/2006">
      <mc:Choice Requires="x14">
        <control shapeId="13335" r:id="rId31" name="cbApplyChangedMemberSecond">
          <controlPr defaultSize="0" autoFill="0" autoLine="0" autoPict="0">
            <anchor moveWithCells="1">
              <from>
                <xdr:col>2</xdr:col>
                <xdr:colOff>119743</xdr:colOff>
                <xdr:row>58</xdr:row>
                <xdr:rowOff>0</xdr:rowOff>
              </from>
              <to>
                <xdr:col>2</xdr:col>
                <xdr:colOff>1028700</xdr:colOff>
                <xdr:row>60</xdr:row>
                <xdr:rowOff>43543</xdr:rowOff>
              </to>
            </anchor>
          </controlPr>
        </control>
      </mc:Choice>
    </mc:AlternateContent>
    <mc:AlternateContent xmlns:mc="http://schemas.openxmlformats.org/markup-compatibility/2006">
      <mc:Choice Requires="x14">
        <control shapeId="13336" r:id="rId32" name="cbApplySpecificMemberSecond">
          <controlPr defaultSize="0" autoFill="0" autoLine="0" autoPict="0">
            <anchor moveWithCells="1">
              <from>
                <xdr:col>2</xdr:col>
                <xdr:colOff>119743</xdr:colOff>
                <xdr:row>61</xdr:row>
                <xdr:rowOff>43543</xdr:rowOff>
              </from>
              <to>
                <xdr:col>2</xdr:col>
                <xdr:colOff>1028700</xdr:colOff>
                <xdr:row>63</xdr:row>
                <xdr:rowOff>0</xdr:rowOff>
              </to>
            </anchor>
          </controlPr>
        </control>
      </mc:Choice>
    </mc:AlternateContent>
    <mc:AlternateContent xmlns:mc="http://schemas.openxmlformats.org/markup-compatibility/2006">
      <mc:Choice Requires="x14">
        <control shapeId="13337" r:id="rId33" name="AddMemberSecond">
          <controlPr defaultSize="0" print="0" autoFill="0" autoPict="0" macro="_xll.IBPXLClient.TechnicalCategory.ButtonActionInIBPClientFormattingSheet">
            <anchor moveWithCells="1" sizeWithCells="1">
              <from>
                <xdr:col>3</xdr:col>
                <xdr:colOff>59871</xdr:colOff>
                <xdr:row>84</xdr:row>
                <xdr:rowOff>21771</xdr:rowOff>
              </from>
              <to>
                <xdr:col>3</xdr:col>
                <xdr:colOff>4288971</xdr:colOff>
                <xdr:row>84</xdr:row>
                <xdr:rowOff>266700</xdr:rowOff>
              </to>
            </anchor>
          </controlPr>
        </control>
      </mc:Choice>
    </mc:AlternateContent>
    <mc:AlternateContent xmlns:mc="http://schemas.openxmlformats.org/markup-compatibility/2006">
      <mc:Choice Requires="x14">
        <control shapeId="13339" r:id="rId34" name="Group Box 27">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13340" r:id="rId35" name="obOddEvenRowFirst">
          <controlPr defaultSize="0" autoFill="0" autoLine="0" autoPict="0" macro="_xll.IBPXLClient.TechnicalCategory.ButtonActionInIBPClientFormattingSheet">
            <anchor moveWithCells="1">
              <from>
                <xdr:col>3</xdr:col>
                <xdr:colOff>489857</xdr:colOff>
                <xdr:row>89</xdr:row>
                <xdr:rowOff>70757</xdr:rowOff>
              </from>
              <to>
                <xdr:col>3</xdr:col>
                <xdr:colOff>2628900</xdr:colOff>
                <xdr:row>89</xdr:row>
                <xdr:rowOff>272143</xdr:rowOff>
              </to>
            </anchor>
          </controlPr>
        </control>
      </mc:Choice>
    </mc:AlternateContent>
    <mc:AlternateContent xmlns:mc="http://schemas.openxmlformats.org/markup-compatibility/2006">
      <mc:Choice Requires="x14">
        <control shapeId="13341" r:id="rId36" name="obOddEvenColumnFirst">
          <controlPr defaultSize="0" autoFill="0" autoLine="0" autoPict="0" macro="_xll.IBPXLClient.TechnicalCategory.ButtonActionInIBPClientFormattingSheet">
            <anchor moveWithCells="1">
              <from>
                <xdr:col>1</xdr:col>
                <xdr:colOff>212271</xdr:colOff>
                <xdr:row>89</xdr:row>
                <xdr:rowOff>70757</xdr:rowOff>
              </from>
              <to>
                <xdr:col>3</xdr:col>
                <xdr:colOff>457200</xdr:colOff>
                <xdr:row>89</xdr:row>
                <xdr:rowOff>272143</xdr:rowOff>
              </to>
            </anchor>
          </controlPr>
        </control>
      </mc:Choice>
    </mc:AlternateContent>
    <mc:AlternateContent xmlns:mc="http://schemas.openxmlformats.org/markup-compatibility/2006">
      <mc:Choice Requires="x14">
        <control shapeId="13342" r:id="rId37" name="cbUseOddFirst">
          <controlPr defaultSize="0" autoFill="0" autoLine="0" autoPict="0">
            <anchor moveWithCells="1">
              <from>
                <xdr:col>2</xdr:col>
                <xdr:colOff>119743</xdr:colOff>
                <xdr:row>92</xdr:row>
                <xdr:rowOff>0</xdr:rowOff>
              </from>
              <to>
                <xdr:col>2</xdr:col>
                <xdr:colOff>1028700</xdr:colOff>
                <xdr:row>94</xdr:row>
                <xdr:rowOff>43543</xdr:rowOff>
              </to>
            </anchor>
          </controlPr>
        </control>
      </mc:Choice>
    </mc:AlternateContent>
    <mc:AlternateContent xmlns:mc="http://schemas.openxmlformats.org/markup-compatibility/2006">
      <mc:Choice Requires="x14">
        <control shapeId="13343" r:id="rId38" name="cbUseEvenFirst">
          <controlPr defaultSize="0" autoFill="0" autoLine="0" autoPict="0">
            <anchor moveWithCells="1">
              <from>
                <xdr:col>2</xdr:col>
                <xdr:colOff>119743</xdr:colOff>
                <xdr:row>95</xdr:row>
                <xdr:rowOff>0</xdr:rowOff>
              </from>
              <to>
                <xdr:col>2</xdr:col>
                <xdr:colOff>1028700</xdr:colOff>
                <xdr:row>97</xdr:row>
                <xdr:rowOff>43543</xdr:rowOff>
              </to>
            </anchor>
          </controlPr>
        </control>
      </mc:Choice>
    </mc:AlternateContent>
    <mc:AlternateContent xmlns:mc="http://schemas.openxmlformats.org/markup-compatibility/2006">
      <mc:Choice Requires="x14">
        <control shapeId="13344" r:id="rId39" name="cbUseOddSecond">
          <controlPr defaultSize="0" autoFill="0" autoLine="0" autoPict="0">
            <anchor moveWithCells="1">
              <from>
                <xdr:col>2</xdr:col>
                <xdr:colOff>119743</xdr:colOff>
                <xdr:row>100</xdr:row>
                <xdr:rowOff>0</xdr:rowOff>
              </from>
              <to>
                <xdr:col>2</xdr:col>
                <xdr:colOff>1028700</xdr:colOff>
                <xdr:row>102</xdr:row>
                <xdr:rowOff>43543</xdr:rowOff>
              </to>
            </anchor>
          </controlPr>
        </control>
      </mc:Choice>
    </mc:AlternateContent>
    <mc:AlternateContent xmlns:mc="http://schemas.openxmlformats.org/markup-compatibility/2006">
      <mc:Choice Requires="x14">
        <control shapeId="13345" r:id="rId40" name="cbUseEvenSecond">
          <controlPr defaultSize="0" autoFill="0" autoLine="0" autoPict="0">
            <anchor moveWithCells="1">
              <from>
                <xdr:col>2</xdr:col>
                <xdr:colOff>119743</xdr:colOff>
                <xdr:row>102</xdr:row>
                <xdr:rowOff>43543</xdr:rowOff>
              </from>
              <to>
                <xdr:col>2</xdr:col>
                <xdr:colOff>1028700</xdr:colOff>
                <xdr:row>105</xdr:row>
                <xdr:rowOff>43543</xdr:rowOff>
              </to>
            </anchor>
          </controlPr>
        </control>
      </mc:Choice>
    </mc:AlternateContent>
    <mc:AlternateContent xmlns:mc="http://schemas.openxmlformats.org/markup-compatibility/2006">
      <mc:Choice Requires="x14">
        <control shapeId="13346" r:id="rId41" name="AddedMember2_1">
          <controlPr defaultSize="0" print="0" autoFill="0" autoPict="0" macro="_xll.IBPXLClient.TechnicalCategory.ButtonActionInIBPClientFormattingSheet">
            <anchor moveWithCells="1">
              <from>
                <xdr:col>11</xdr:col>
                <xdr:colOff>2438400</xdr:colOff>
                <xdr:row>63</xdr:row>
                <xdr:rowOff>43543</xdr:rowOff>
              </from>
              <to>
                <xdr:col>12</xdr:col>
                <xdr:colOff>696686</xdr:colOff>
                <xdr:row>64</xdr:row>
                <xdr:rowOff>190500</xdr:rowOff>
              </to>
            </anchor>
          </controlPr>
        </control>
      </mc:Choice>
    </mc:AlternateContent>
    <mc:AlternateContent xmlns:mc="http://schemas.openxmlformats.org/markup-compatibility/2006">
      <mc:Choice Requires="x14">
        <control shapeId="13347" r:id="rId42" name="ChangeMember2_1">
          <controlPr defaultSize="0" print="0" autoFill="0" autoPict="0" macro="_xll.IBPXLClient.TechnicalCategory.ButtonActionInIBPClientFormattingSheet">
            <anchor moveWithCells="1">
              <from>
                <xdr:col>13</xdr:col>
                <xdr:colOff>0</xdr:colOff>
                <xdr:row>63</xdr:row>
                <xdr:rowOff>43543</xdr:rowOff>
              </from>
              <to>
                <xdr:col>13</xdr:col>
                <xdr:colOff>696686</xdr:colOff>
                <xdr:row>64</xdr:row>
                <xdr:rowOff>190500</xdr:rowOff>
              </to>
            </anchor>
          </controlPr>
        </control>
      </mc:Choice>
    </mc:AlternateContent>
    <mc:AlternateContent xmlns:mc="http://schemas.openxmlformats.org/markup-compatibility/2006">
      <mc:Choice Requires="x14">
        <control shapeId="13348" r:id="rId43" name="UpMember2_1">
          <controlPr defaultSize="0" print="0" autoFill="0" autoPict="0" macro="_xll.IBPXLClient.TechnicalCategory.ButtonActionInIBPClientFormattingSheet">
            <anchor moveWithCells="1">
              <from>
                <xdr:col>14</xdr:col>
                <xdr:colOff>0</xdr:colOff>
                <xdr:row>63</xdr:row>
                <xdr:rowOff>43543</xdr:rowOff>
              </from>
              <to>
                <xdr:col>14</xdr:col>
                <xdr:colOff>696686</xdr:colOff>
                <xdr:row>64</xdr:row>
                <xdr:rowOff>190500</xdr:rowOff>
              </to>
            </anchor>
          </controlPr>
        </control>
      </mc:Choice>
    </mc:AlternateContent>
    <mc:AlternateContent xmlns:mc="http://schemas.openxmlformats.org/markup-compatibility/2006">
      <mc:Choice Requires="x14">
        <control shapeId="13349" r:id="rId44" name="DownMember2_1">
          <controlPr defaultSize="0" print="0" autoFill="0" autoPict="0" macro="_xll.IBPXLClient.TechnicalCategory.ButtonActionInIBPClientFormattingSheet">
            <anchor moveWithCells="1">
              <from>
                <xdr:col>14</xdr:col>
                <xdr:colOff>707571</xdr:colOff>
                <xdr:row>63</xdr:row>
                <xdr:rowOff>43543</xdr:rowOff>
              </from>
              <to>
                <xdr:col>15</xdr:col>
                <xdr:colOff>696686</xdr:colOff>
                <xdr:row>64</xdr:row>
                <xdr:rowOff>190500</xdr:rowOff>
              </to>
            </anchor>
          </controlPr>
        </control>
      </mc:Choice>
    </mc:AlternateContent>
    <mc:AlternateContent xmlns:mc="http://schemas.openxmlformats.org/markup-compatibility/2006">
      <mc:Choice Requires="x14">
        <control shapeId="13350" r:id="rId45" name="AddedMember2_2">
          <controlPr defaultSize="0" print="0" autoFill="0" autoPict="0" macro="_xll.IBPXLClient.TechnicalCategory.ButtonActionInIBPClientFormattingSheet">
            <anchor moveWithCells="1">
              <from>
                <xdr:col>12</xdr:col>
                <xdr:colOff>0</xdr:colOff>
                <xdr:row>67</xdr:row>
                <xdr:rowOff>0</xdr:rowOff>
              </from>
              <to>
                <xdr:col>12</xdr:col>
                <xdr:colOff>707571</xdr:colOff>
                <xdr:row>68</xdr:row>
                <xdr:rowOff>0</xdr:rowOff>
              </to>
            </anchor>
          </controlPr>
        </control>
      </mc:Choice>
    </mc:AlternateContent>
    <mc:AlternateContent xmlns:mc="http://schemas.openxmlformats.org/markup-compatibility/2006">
      <mc:Choice Requires="x14">
        <control shapeId="13351" r:id="rId46"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707571</xdr:colOff>
                <xdr:row>68</xdr:row>
                <xdr:rowOff>0</xdr:rowOff>
              </to>
            </anchor>
          </controlPr>
        </control>
      </mc:Choice>
    </mc:AlternateContent>
    <mc:AlternateContent xmlns:mc="http://schemas.openxmlformats.org/markup-compatibility/2006">
      <mc:Choice Requires="x14">
        <control shapeId="13352" r:id="rId47" name="UpMember2_2">
          <controlPr defaultSize="0" print="0" autoFill="0" autoPict="0" macro="_xll.IBPXLClient.TechnicalCategory.ButtonActionInIBPClientFormattingSheet">
            <anchor moveWithCells="1">
              <from>
                <xdr:col>14</xdr:col>
                <xdr:colOff>0</xdr:colOff>
                <xdr:row>67</xdr:row>
                <xdr:rowOff>0</xdr:rowOff>
              </from>
              <to>
                <xdr:col>14</xdr:col>
                <xdr:colOff>707571</xdr:colOff>
                <xdr:row>68</xdr:row>
                <xdr:rowOff>0</xdr:rowOff>
              </to>
            </anchor>
          </controlPr>
        </control>
      </mc:Choice>
    </mc:AlternateContent>
    <mc:AlternateContent xmlns:mc="http://schemas.openxmlformats.org/markup-compatibility/2006">
      <mc:Choice Requires="x14">
        <control shapeId="13353" r:id="rId48"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13354" r:id="rId49" name="AddedMember2_3">
          <controlPr defaultSize="0" print="0" autoFill="0" autoPict="0" macro="_xll.IBPXLClient.TechnicalCategory.ButtonActionInIBPClientFormattingSheet">
            <anchor moveWithCells="1">
              <from>
                <xdr:col>12</xdr:col>
                <xdr:colOff>0</xdr:colOff>
                <xdr:row>69</xdr:row>
                <xdr:rowOff>59871</xdr:rowOff>
              </from>
              <to>
                <xdr:col>12</xdr:col>
                <xdr:colOff>707571</xdr:colOff>
                <xdr:row>71</xdr:row>
                <xdr:rowOff>0</xdr:rowOff>
              </to>
            </anchor>
          </controlPr>
        </control>
      </mc:Choice>
    </mc:AlternateContent>
    <mc:AlternateContent xmlns:mc="http://schemas.openxmlformats.org/markup-compatibility/2006">
      <mc:Choice Requires="x14">
        <control shapeId="13355" r:id="rId50" name="ChangeMember2_3">
          <controlPr defaultSize="0" print="0" autoFill="0" autoPict="0" macro="_xll.IBPXLClient.TechnicalCategory.ButtonActionInIBPClientFormattingSheet">
            <anchor moveWithCells="1">
              <from>
                <xdr:col>12</xdr:col>
                <xdr:colOff>723900</xdr:colOff>
                <xdr:row>69</xdr:row>
                <xdr:rowOff>59871</xdr:rowOff>
              </from>
              <to>
                <xdr:col>13</xdr:col>
                <xdr:colOff>707571</xdr:colOff>
                <xdr:row>71</xdr:row>
                <xdr:rowOff>0</xdr:rowOff>
              </to>
            </anchor>
          </controlPr>
        </control>
      </mc:Choice>
    </mc:AlternateContent>
    <mc:AlternateContent xmlns:mc="http://schemas.openxmlformats.org/markup-compatibility/2006">
      <mc:Choice Requires="x14">
        <control shapeId="13356" r:id="rId51" name="UpMember2_3">
          <controlPr defaultSize="0" print="0" autoFill="0" autoPict="0" macro="_xll.IBPXLClient.TechnicalCategory.ButtonActionInIBPClientFormattingSheet">
            <anchor moveWithCells="1">
              <from>
                <xdr:col>14</xdr:col>
                <xdr:colOff>0</xdr:colOff>
                <xdr:row>69</xdr:row>
                <xdr:rowOff>59871</xdr:rowOff>
              </from>
              <to>
                <xdr:col>14</xdr:col>
                <xdr:colOff>707571</xdr:colOff>
                <xdr:row>71</xdr:row>
                <xdr:rowOff>0</xdr:rowOff>
              </to>
            </anchor>
          </controlPr>
        </control>
      </mc:Choice>
    </mc:AlternateContent>
    <mc:AlternateContent xmlns:mc="http://schemas.openxmlformats.org/markup-compatibility/2006">
      <mc:Choice Requires="x14">
        <control shapeId="13357" r:id="rId52" name="DownMember2_3">
          <controlPr defaultSize="0" print="0" autoFill="0" autoPict="0" macro="_xll.IBPXLClient.TechnicalCategory.ButtonActionInIBPClientFormattingSheet">
            <anchor moveWithCells="1">
              <from>
                <xdr:col>15</xdr:col>
                <xdr:colOff>0</xdr:colOff>
                <xdr:row>69</xdr:row>
                <xdr:rowOff>59871</xdr:rowOff>
              </from>
              <to>
                <xdr:col>16</xdr:col>
                <xdr:colOff>0</xdr:colOff>
                <xdr:row>71</xdr:row>
                <xdr:rowOff>0</xdr:rowOff>
              </to>
            </anchor>
          </controlPr>
        </control>
      </mc:Choice>
    </mc:AlternateContent>
    <mc:AlternateContent xmlns:mc="http://schemas.openxmlformats.org/markup-compatibility/2006">
      <mc:Choice Requires="x14">
        <control shapeId="13358" r:id="rId53" name="AddedMember2_4">
          <controlPr defaultSize="0" print="0" autoFill="0" autoPict="0" macro="_xll.IBPXLClient.TechnicalCategory.ButtonActionInIBPClientFormattingSheet">
            <anchor moveWithCells="1">
              <from>
                <xdr:col>12</xdr:col>
                <xdr:colOff>0</xdr:colOff>
                <xdr:row>72</xdr:row>
                <xdr:rowOff>59871</xdr:rowOff>
              </from>
              <to>
                <xdr:col>12</xdr:col>
                <xdr:colOff>707571</xdr:colOff>
                <xdr:row>74</xdr:row>
                <xdr:rowOff>32657</xdr:rowOff>
              </to>
            </anchor>
          </controlPr>
        </control>
      </mc:Choice>
    </mc:AlternateContent>
    <mc:AlternateContent xmlns:mc="http://schemas.openxmlformats.org/markup-compatibility/2006">
      <mc:Choice Requires="x14">
        <control shapeId="13359" r:id="rId54" name="ChangeMember2_4">
          <controlPr defaultSize="0" print="0" autoFill="0" autoPict="0" macro="_xll.IBPXLClient.TechnicalCategory.ButtonActionInIBPClientFormattingSheet">
            <anchor moveWithCells="1">
              <from>
                <xdr:col>12</xdr:col>
                <xdr:colOff>723900</xdr:colOff>
                <xdr:row>72</xdr:row>
                <xdr:rowOff>59871</xdr:rowOff>
              </from>
              <to>
                <xdr:col>13</xdr:col>
                <xdr:colOff>707571</xdr:colOff>
                <xdr:row>74</xdr:row>
                <xdr:rowOff>32657</xdr:rowOff>
              </to>
            </anchor>
          </controlPr>
        </control>
      </mc:Choice>
    </mc:AlternateContent>
    <mc:AlternateContent xmlns:mc="http://schemas.openxmlformats.org/markup-compatibility/2006">
      <mc:Choice Requires="x14">
        <control shapeId="13360" r:id="rId55" name="UpMember2_4">
          <controlPr defaultSize="0" print="0" autoFill="0" autoPict="0" macro="_xll.IBPXLClient.TechnicalCategory.ButtonActionInIBPClientFormattingSheet">
            <anchor moveWithCells="1">
              <from>
                <xdr:col>14</xdr:col>
                <xdr:colOff>0</xdr:colOff>
                <xdr:row>72</xdr:row>
                <xdr:rowOff>59871</xdr:rowOff>
              </from>
              <to>
                <xdr:col>14</xdr:col>
                <xdr:colOff>707571</xdr:colOff>
                <xdr:row>74</xdr:row>
                <xdr:rowOff>32657</xdr:rowOff>
              </to>
            </anchor>
          </controlPr>
        </control>
      </mc:Choice>
    </mc:AlternateContent>
    <mc:AlternateContent xmlns:mc="http://schemas.openxmlformats.org/markup-compatibility/2006">
      <mc:Choice Requires="x14">
        <control shapeId="13361" r:id="rId56" name="DownMember2_4">
          <controlPr defaultSize="0" print="0" autoFill="0" autoPict="0" macro="_xll.IBPXLClient.TechnicalCategory.ButtonActionInIBPClientFormattingSheet">
            <anchor moveWithCells="1">
              <from>
                <xdr:col>15</xdr:col>
                <xdr:colOff>0</xdr:colOff>
                <xdr:row>72</xdr:row>
                <xdr:rowOff>59871</xdr:rowOff>
              </from>
              <to>
                <xdr:col>16</xdr:col>
                <xdr:colOff>0</xdr:colOff>
                <xdr:row>74</xdr:row>
                <xdr:rowOff>32657</xdr:rowOff>
              </to>
            </anchor>
          </controlPr>
        </control>
      </mc:Choice>
    </mc:AlternateContent>
    <mc:AlternateContent xmlns:mc="http://schemas.openxmlformats.org/markup-compatibility/2006">
      <mc:Choice Requires="x14">
        <control shapeId="13362" r:id="rId57" name="AddedMember2_5">
          <controlPr defaultSize="0" print="0" autoFill="0" autoPict="0" macro="_xll.IBPXLClient.TechnicalCategory.ButtonActionInIBPClientFormattingSheet">
            <anchor moveWithCells="1">
              <from>
                <xdr:col>12</xdr:col>
                <xdr:colOff>0</xdr:colOff>
                <xdr:row>76</xdr:row>
                <xdr:rowOff>0</xdr:rowOff>
              </from>
              <to>
                <xdr:col>12</xdr:col>
                <xdr:colOff>707571</xdr:colOff>
                <xdr:row>77</xdr:row>
                <xdr:rowOff>32657</xdr:rowOff>
              </to>
            </anchor>
          </controlPr>
        </control>
      </mc:Choice>
    </mc:AlternateContent>
    <mc:AlternateContent xmlns:mc="http://schemas.openxmlformats.org/markup-compatibility/2006">
      <mc:Choice Requires="x14">
        <control shapeId="13363" r:id="rId58"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707571</xdr:colOff>
                <xdr:row>77</xdr:row>
                <xdr:rowOff>32657</xdr:rowOff>
              </to>
            </anchor>
          </controlPr>
        </control>
      </mc:Choice>
    </mc:AlternateContent>
    <mc:AlternateContent xmlns:mc="http://schemas.openxmlformats.org/markup-compatibility/2006">
      <mc:Choice Requires="x14">
        <control shapeId="13364" r:id="rId59" name="UpMember2_5">
          <controlPr defaultSize="0" print="0" autoFill="0" autoPict="0" macro="_xll.IBPXLClient.TechnicalCategory.ButtonActionInIBPClientFormattingSheet">
            <anchor moveWithCells="1">
              <from>
                <xdr:col>14</xdr:col>
                <xdr:colOff>0</xdr:colOff>
                <xdr:row>76</xdr:row>
                <xdr:rowOff>0</xdr:rowOff>
              </from>
              <to>
                <xdr:col>14</xdr:col>
                <xdr:colOff>707571</xdr:colOff>
                <xdr:row>77</xdr:row>
                <xdr:rowOff>32657</xdr:rowOff>
              </to>
            </anchor>
          </controlPr>
        </control>
      </mc:Choice>
    </mc:AlternateContent>
    <mc:AlternateContent xmlns:mc="http://schemas.openxmlformats.org/markup-compatibility/2006">
      <mc:Choice Requires="x14">
        <control shapeId="13365" r:id="rId60"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32657</xdr:rowOff>
              </to>
            </anchor>
          </controlPr>
        </control>
      </mc:Choice>
    </mc:AlternateContent>
    <mc:AlternateContent xmlns:mc="http://schemas.openxmlformats.org/markup-compatibility/2006">
      <mc:Choice Requires="x14">
        <control shapeId="13366" r:id="rId61" name="AddedMember2_6">
          <controlPr defaultSize="0" print="0" autoFill="0" autoPict="0" macro="_xll.IBPXLClient.TechnicalCategory.ButtonActionInIBPClientFormattingSheet">
            <anchor moveWithCells="1">
              <from>
                <xdr:col>12</xdr:col>
                <xdr:colOff>0</xdr:colOff>
                <xdr:row>79</xdr:row>
                <xdr:rowOff>0</xdr:rowOff>
              </from>
              <to>
                <xdr:col>12</xdr:col>
                <xdr:colOff>707571</xdr:colOff>
                <xdr:row>80</xdr:row>
                <xdr:rowOff>32657</xdr:rowOff>
              </to>
            </anchor>
          </controlPr>
        </control>
      </mc:Choice>
    </mc:AlternateContent>
    <mc:AlternateContent xmlns:mc="http://schemas.openxmlformats.org/markup-compatibility/2006">
      <mc:Choice Requires="x14">
        <control shapeId="13367" r:id="rId62"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707571</xdr:colOff>
                <xdr:row>80</xdr:row>
                <xdr:rowOff>32657</xdr:rowOff>
              </to>
            </anchor>
          </controlPr>
        </control>
      </mc:Choice>
    </mc:AlternateContent>
    <mc:AlternateContent xmlns:mc="http://schemas.openxmlformats.org/markup-compatibility/2006">
      <mc:Choice Requires="x14">
        <control shapeId="13368" r:id="rId63" name="UpMember2_6">
          <controlPr defaultSize="0" print="0" autoFill="0" autoPict="0" macro="_xll.IBPXLClient.TechnicalCategory.ButtonActionInIBPClientFormattingSheet">
            <anchor moveWithCells="1">
              <from>
                <xdr:col>14</xdr:col>
                <xdr:colOff>0</xdr:colOff>
                <xdr:row>79</xdr:row>
                <xdr:rowOff>0</xdr:rowOff>
              </from>
              <to>
                <xdr:col>14</xdr:col>
                <xdr:colOff>707571</xdr:colOff>
                <xdr:row>80</xdr:row>
                <xdr:rowOff>32657</xdr:rowOff>
              </to>
            </anchor>
          </controlPr>
        </control>
      </mc:Choice>
    </mc:AlternateContent>
    <mc:AlternateContent xmlns:mc="http://schemas.openxmlformats.org/markup-compatibility/2006">
      <mc:Choice Requires="x14">
        <control shapeId="13369" r:id="rId64"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32657</xdr:rowOff>
              </to>
            </anchor>
          </controlPr>
        </control>
      </mc:Choice>
    </mc:AlternateContent>
    <mc:AlternateContent xmlns:mc="http://schemas.openxmlformats.org/markup-compatibility/2006">
      <mc:Choice Requires="x14">
        <control shapeId="13370" r:id="rId65" name="AddedMember2_7">
          <controlPr defaultSize="0" print="0" autoFill="0" autoPict="0" macro="_xll.IBPXLClient.TechnicalCategory.ButtonActionInIBPClientFormattingSheet">
            <anchor moveWithCells="1">
              <from>
                <xdr:col>12</xdr:col>
                <xdr:colOff>0</xdr:colOff>
                <xdr:row>82</xdr:row>
                <xdr:rowOff>0</xdr:rowOff>
              </from>
              <to>
                <xdr:col>12</xdr:col>
                <xdr:colOff>707571</xdr:colOff>
                <xdr:row>83</xdr:row>
                <xdr:rowOff>0</xdr:rowOff>
              </to>
            </anchor>
          </controlPr>
        </control>
      </mc:Choice>
    </mc:AlternateContent>
    <mc:AlternateContent xmlns:mc="http://schemas.openxmlformats.org/markup-compatibility/2006">
      <mc:Choice Requires="x14">
        <control shapeId="13371" r:id="rId66"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707571</xdr:colOff>
                <xdr:row>83</xdr:row>
                <xdr:rowOff>0</xdr:rowOff>
              </to>
            </anchor>
          </controlPr>
        </control>
      </mc:Choice>
    </mc:AlternateContent>
    <mc:AlternateContent xmlns:mc="http://schemas.openxmlformats.org/markup-compatibility/2006">
      <mc:Choice Requires="x14">
        <control shapeId="13372" r:id="rId67" name="UpMember2_7">
          <controlPr defaultSize="0" print="0" autoFill="0" autoPict="0" macro="_xll.IBPXLClient.TechnicalCategory.ButtonActionInIBPClientFormattingSheet">
            <anchor moveWithCells="1">
              <from>
                <xdr:col>14</xdr:col>
                <xdr:colOff>0</xdr:colOff>
                <xdr:row>82</xdr:row>
                <xdr:rowOff>0</xdr:rowOff>
              </from>
              <to>
                <xdr:col>14</xdr:col>
                <xdr:colOff>707571</xdr:colOff>
                <xdr:row>83</xdr:row>
                <xdr:rowOff>0</xdr:rowOff>
              </to>
            </anchor>
          </controlPr>
        </control>
      </mc:Choice>
    </mc:AlternateContent>
    <mc:AlternateContent xmlns:mc="http://schemas.openxmlformats.org/markup-compatibility/2006">
      <mc:Choice Requires="x14">
        <control shapeId="13373" r:id="rId68"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13374" r:id="rId69" name="AddedMember1_1">
          <controlPr defaultSize="0" print="0" autoFill="0" autoPict="0" macro="_xll.IBPXLClient.TechnicalCategory.ButtonActionInIBPClientFormattingSheet">
            <anchor moveWithCells="1">
              <from>
                <xdr:col>12</xdr:col>
                <xdr:colOff>0</xdr:colOff>
                <xdr:row>39</xdr:row>
                <xdr:rowOff>59871</xdr:rowOff>
              </from>
              <to>
                <xdr:col>12</xdr:col>
                <xdr:colOff>707571</xdr:colOff>
                <xdr:row>41</xdr:row>
                <xdr:rowOff>0</xdr:rowOff>
              </to>
            </anchor>
          </controlPr>
        </control>
      </mc:Choice>
    </mc:AlternateContent>
    <mc:AlternateContent xmlns:mc="http://schemas.openxmlformats.org/markup-compatibility/2006">
      <mc:Choice Requires="x14">
        <control shapeId="13375" r:id="rId70" name="ChangeMember1_1">
          <controlPr defaultSize="0" print="0" autoFill="0" autoPict="0" macro="_xll.IBPXLClient.TechnicalCategory.ButtonActionInIBPClientFormattingSheet">
            <anchor moveWithCells="1">
              <from>
                <xdr:col>12</xdr:col>
                <xdr:colOff>723900</xdr:colOff>
                <xdr:row>39</xdr:row>
                <xdr:rowOff>59871</xdr:rowOff>
              </from>
              <to>
                <xdr:col>13</xdr:col>
                <xdr:colOff>707571</xdr:colOff>
                <xdr:row>41</xdr:row>
                <xdr:rowOff>0</xdr:rowOff>
              </to>
            </anchor>
          </controlPr>
        </control>
      </mc:Choice>
    </mc:AlternateContent>
    <mc:AlternateContent xmlns:mc="http://schemas.openxmlformats.org/markup-compatibility/2006">
      <mc:Choice Requires="x14">
        <control shapeId="13376" r:id="rId71" name="UpMember1_1">
          <controlPr defaultSize="0" print="0" autoFill="0" autoPict="0" macro="_xll.IBPXLClient.TechnicalCategory.ButtonActionInIBPClientFormattingSheet">
            <anchor moveWithCells="1">
              <from>
                <xdr:col>14</xdr:col>
                <xdr:colOff>0</xdr:colOff>
                <xdr:row>39</xdr:row>
                <xdr:rowOff>59871</xdr:rowOff>
              </from>
              <to>
                <xdr:col>14</xdr:col>
                <xdr:colOff>707571</xdr:colOff>
                <xdr:row>41</xdr:row>
                <xdr:rowOff>0</xdr:rowOff>
              </to>
            </anchor>
          </controlPr>
        </control>
      </mc:Choice>
    </mc:AlternateContent>
    <mc:AlternateContent xmlns:mc="http://schemas.openxmlformats.org/markup-compatibility/2006">
      <mc:Choice Requires="x14">
        <control shapeId="13377" r:id="rId72" name="DownMember1_1">
          <controlPr defaultSize="0" print="0" autoFill="0" autoPict="0" macro="_xll.IBPXLClient.TechnicalCategory.ButtonActionInIBPClientFormattingSheet">
            <anchor moveWithCells="1">
              <from>
                <xdr:col>15</xdr:col>
                <xdr:colOff>0</xdr:colOff>
                <xdr:row>39</xdr:row>
                <xdr:rowOff>59871</xdr:rowOff>
              </from>
              <to>
                <xdr:col>16</xdr:col>
                <xdr:colOff>0</xdr:colOff>
                <xdr:row>41</xdr:row>
                <xdr:rowOff>0</xdr:rowOff>
              </to>
            </anchor>
          </controlPr>
        </control>
      </mc:Choice>
    </mc:AlternateContent>
    <mc:AlternateContent xmlns:mc="http://schemas.openxmlformats.org/markup-compatibility/2006">
      <mc:Choice Requires="x14">
        <control shapeId="13378" r:id="rId73" name="AddedMember1_2">
          <controlPr defaultSize="0" print="0" autoFill="0" autoPict="0" macro="_xll.IBPXLClient.TechnicalCategory.ButtonActionInIBPClientFormattingSheet">
            <anchor moveWithCells="1">
              <from>
                <xdr:col>12</xdr:col>
                <xdr:colOff>0</xdr:colOff>
                <xdr:row>43</xdr:row>
                <xdr:rowOff>0</xdr:rowOff>
              </from>
              <to>
                <xdr:col>12</xdr:col>
                <xdr:colOff>707571</xdr:colOff>
                <xdr:row>44</xdr:row>
                <xdr:rowOff>32657</xdr:rowOff>
              </to>
            </anchor>
          </controlPr>
        </control>
      </mc:Choice>
    </mc:AlternateContent>
    <mc:AlternateContent xmlns:mc="http://schemas.openxmlformats.org/markup-compatibility/2006">
      <mc:Choice Requires="x14">
        <control shapeId="13379" r:id="rId74"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707571</xdr:colOff>
                <xdr:row>44</xdr:row>
                <xdr:rowOff>32657</xdr:rowOff>
              </to>
            </anchor>
          </controlPr>
        </control>
      </mc:Choice>
    </mc:AlternateContent>
    <mc:AlternateContent xmlns:mc="http://schemas.openxmlformats.org/markup-compatibility/2006">
      <mc:Choice Requires="x14">
        <control shapeId="13380" r:id="rId75" name="UpMember1_2">
          <controlPr defaultSize="0" print="0" autoFill="0" autoPict="0" macro="_xll.IBPXLClient.TechnicalCategory.ButtonActionInIBPClientFormattingSheet">
            <anchor moveWithCells="1">
              <from>
                <xdr:col>14</xdr:col>
                <xdr:colOff>0</xdr:colOff>
                <xdr:row>43</xdr:row>
                <xdr:rowOff>0</xdr:rowOff>
              </from>
              <to>
                <xdr:col>14</xdr:col>
                <xdr:colOff>707571</xdr:colOff>
                <xdr:row>44</xdr:row>
                <xdr:rowOff>32657</xdr:rowOff>
              </to>
            </anchor>
          </controlPr>
        </control>
      </mc:Choice>
    </mc:AlternateContent>
    <mc:AlternateContent xmlns:mc="http://schemas.openxmlformats.org/markup-compatibility/2006">
      <mc:Choice Requires="x14">
        <control shapeId="13381" r:id="rId76"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32657</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13"/>
  <sheetViews>
    <sheetView showGridLines="0" tabSelected="1" zoomScaleNormal="100" workbookViewId="0">
      <pane xSplit="10" ySplit="3" topLeftCell="K4" activePane="bottomRight" state="frozen"/>
      <selection pane="topRight" activeCell="Y9" sqref="Y9"/>
      <selection pane="bottomLeft" activeCell="Y9" sqref="Y9"/>
      <selection pane="bottomRight" activeCell="K5" sqref="K5"/>
    </sheetView>
  </sheetViews>
  <sheetFormatPr defaultRowHeight="14.6" x14ac:dyDescent="0.4"/>
  <cols>
    <col min="1" max="6" width="1.3828125" bestFit="1" customWidth="1"/>
    <col min="7" max="7" width="10.15234375" bestFit="1" customWidth="1"/>
    <col min="8" max="8" width="12.3828125" bestFit="1" customWidth="1"/>
    <col min="9" max="9" width="11.84375" bestFit="1" customWidth="1"/>
    <col min="10" max="10" width="33.61328125" bestFit="1" customWidth="1"/>
    <col min="11" max="11" width="10.765625" bestFit="1" customWidth="1"/>
    <col min="12" max="12" width="10.61328125" bestFit="1" customWidth="1"/>
    <col min="13" max="13" width="11.69140625" bestFit="1" customWidth="1"/>
    <col min="14" max="14" width="11" bestFit="1" customWidth="1"/>
    <col min="15" max="15" width="11.61328125" bestFit="1" customWidth="1"/>
    <col min="16" max="16" width="10.84375" bestFit="1" customWidth="1"/>
    <col min="17" max="17" width="10.3828125" bestFit="1" customWidth="1"/>
    <col min="18" max="18" width="11.3828125" bestFit="1" customWidth="1"/>
    <col min="19" max="19" width="10.53515625" bestFit="1" customWidth="1"/>
    <col min="20" max="20" width="11" bestFit="1" customWidth="1"/>
    <col min="21" max="21" width="11.3828125" bestFit="1" customWidth="1"/>
    <col min="22" max="22" width="10.84375" bestFit="1" customWidth="1"/>
    <col min="23" max="23" width="8.3828125" bestFit="1" customWidth="1"/>
    <col min="24" max="24" width="13.15234375" bestFit="1" customWidth="1"/>
    <col min="25" max="25" width="18.15234375" bestFit="1" customWidth="1"/>
    <col min="26" max="26" width="12.3828125" bestFit="1" customWidth="1"/>
    <col min="27" max="27" width="26.15234375" bestFit="1" customWidth="1"/>
    <col min="28" max="28" width="23.3828125" bestFit="1" customWidth="1"/>
    <col min="29" max="29" width="21.15234375" bestFit="1" customWidth="1"/>
    <col min="30" max="30" width="13.15234375" bestFit="1" customWidth="1"/>
    <col min="31" max="31" width="18.15234375" bestFit="1" customWidth="1"/>
    <col min="32" max="32" width="12.3828125" bestFit="1" customWidth="1"/>
    <col min="33" max="33" width="26.15234375" bestFit="1" customWidth="1"/>
    <col min="34" max="34" width="23.382812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2" customFormat="1" ht="28.3" x14ac:dyDescent="0.4">
      <c r="A1" s="93" t="s">
        <v>28</v>
      </c>
      <c r="B1" s="94"/>
      <c r="C1" s="94"/>
      <c r="D1" s="94"/>
      <c r="E1" s="94"/>
      <c r="F1" s="94"/>
      <c r="G1" s="94"/>
      <c r="H1" s="94"/>
      <c r="I1" s="94"/>
      <c r="J1" s="94"/>
      <c r="K1" s="95" t="str">
        <f>" "&amp;IFERROR(IF(SOP_Favorite_Name&lt;&gt;" ",SOP_Favorite_Name,IF(SOP_Template_Name&lt;&gt;" ",SOP_Template_Name,"Ad Hoc Planning View")),"Offline")</f>
        <v xml:space="preserve"> Main and Details View</v>
      </c>
      <c r="L1" s="95"/>
      <c r="M1" s="95"/>
      <c r="N1" s="95"/>
      <c r="O1" s="95"/>
      <c r="P1" s="95"/>
      <c r="Q1" s="96" t="str">
        <f>"User: "&amp;_xll.EPMUser()&amp;"   |    Planning Area: "&amp;IFERROR(SOP_Planning_Area,"Offline")&amp;"
"&amp;"Template: "&amp;IFERROR(SOP_Template_Name,"none")</f>
        <v>User: #Error, no current connection.   |    Planning Area: SAP6
Template: template name</v>
      </c>
      <c r="R1" s="96"/>
      <c r="S1" s="96"/>
      <c r="T1" s="96"/>
      <c r="U1" s="96"/>
      <c r="V1" s="96"/>
      <c r="W1" s="34"/>
      <c r="X1" s="35"/>
      <c r="Y1" s="35"/>
      <c r="Z1" s="35"/>
      <c r="AA1" s="35"/>
      <c r="AB1" s="35"/>
      <c r="AC1" s="35"/>
      <c r="AD1" s="35"/>
      <c r="BR1" s="36"/>
      <c r="BS1" s="36"/>
      <c r="BT1" s="36"/>
      <c r="BU1" s="36"/>
      <c r="BV1" s="36"/>
      <c r="BW1" s="36"/>
      <c r="BX1" s="36"/>
      <c r="BY1" s="36"/>
      <c r="BZ1" s="36"/>
      <c r="CA1" s="36"/>
      <c r="CB1" s="36"/>
      <c r="CC1" s="36"/>
      <c r="CD1" s="36"/>
    </row>
    <row r="2" spans="1:82" s="22" customFormat="1" ht="60" customHeight="1" x14ac:dyDescent="0.4">
      <c r="A2" s="97"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(2 criteria):
Customer ID = CA1000; CA2000; US9001; US9002
Brand ID = ConsumersChoice Kitchen Products; ConsumersChoice Television
</v>
      </c>
      <c r="B2" s="97"/>
      <c r="C2" s="97"/>
      <c r="D2" s="97"/>
      <c r="E2" s="97"/>
      <c r="F2" s="97"/>
      <c r="G2" s="97"/>
      <c r="H2" s="97"/>
      <c r="I2" s="97"/>
      <c r="J2" s="97"/>
      <c r="K2" s="98" t="str">
        <f>"  Last Refresh: "&amp;IFERROR(YEAR(SOP_Refresh_Timestamp)&amp;"-"&amp;TEXT(SOP_Refresh_Timestamp,"MMM")&amp;"-"&amp;DAY(SOP_Refresh_Timestamp)&amp;"   "&amp;TEXT(SOP_Refresh_Timestamp,"HH:MM:SS"),"Offline")</f>
        <v xml:space="preserve">  Last Refresh: 2023-Aug-16   13:15:44</v>
      </c>
      <c r="L2" s="98"/>
      <c r="M2" s="98"/>
      <c r="N2" s="98"/>
      <c r="O2" s="98"/>
      <c r="P2" s="98"/>
      <c r="Q2" s="98"/>
      <c r="R2" s="98"/>
      <c r="S2" s="98"/>
      <c r="T2" s="98"/>
      <c r="U2" s="98"/>
      <c r="V2" s="98"/>
      <c r="W2" s="34"/>
      <c r="X2" s="35"/>
      <c r="Y2" s="35"/>
      <c r="Z2" s="35"/>
      <c r="AA2" s="35"/>
      <c r="AB2" s="35"/>
      <c r="AC2" s="35"/>
      <c r="AD2" s="35"/>
      <c r="BR2" s="36"/>
      <c r="BS2" s="36"/>
      <c r="BT2" s="36"/>
      <c r="BU2" s="36"/>
      <c r="BV2" s="36"/>
      <c r="BW2" s="36"/>
      <c r="BX2" s="36"/>
      <c r="BY2" s="36"/>
      <c r="BZ2" s="36"/>
      <c r="CA2" s="36"/>
      <c r="CB2" s="36"/>
      <c r="CC2" s="36"/>
      <c r="CD2" s="36"/>
    </row>
    <row r="3" spans="1:82" s="23" customFormat="1" x14ac:dyDescent="0.4">
      <c r="A3" s="37" t="str">
        <f>SOP_Heading10</f>
        <v xml:space="preserve"> </v>
      </c>
      <c r="B3" s="37" t="str">
        <f>SOP_Heading9</f>
        <v xml:space="preserve"> </v>
      </c>
      <c r="C3" s="37" t="str">
        <f>SOP_Heading8</f>
        <v xml:space="preserve"> </v>
      </c>
      <c r="D3" s="37" t="str">
        <f>SOP_Heading7</f>
        <v xml:space="preserve"> </v>
      </c>
      <c r="E3" s="37" t="str">
        <f>SOP_Heading6</f>
        <v xml:space="preserve"> </v>
      </c>
      <c r="F3" s="37" t="str">
        <f>SOP_Heading5</f>
        <v xml:space="preserve"> </v>
      </c>
      <c r="G3" s="37" t="str">
        <f>SOP_Heading4</f>
        <v xml:space="preserve"> </v>
      </c>
      <c r="H3" s="37" t="str">
        <f>SOP_Heading3</f>
        <v xml:space="preserve"> </v>
      </c>
      <c r="I3" s="37" t="str">
        <f>SOP_Heading2</f>
        <v>Product ID</v>
      </c>
      <c r="J3" s="37" t="str">
        <f>SOP_Heading1</f>
        <v>Key Figure</v>
      </c>
      <c r="K3" s="41" t="str">
        <f xml:space="preserve"> _xll.EPMOlapMemberO("[PERIODID3].[].[70637]","","JAN 2023","","000")</f>
        <v>JAN 2023</v>
      </c>
      <c r="L3" s="41" t="str">
        <f xml:space="preserve"> _xll.EPMOlapMemberO("[PERIODID3].[].[70638]","","FEB 2023","","000")</f>
        <v>FEB 2023</v>
      </c>
      <c r="M3" s="41" t="str">
        <f xml:space="preserve"> _xll.EPMOlapMemberO("[PERIODID3].[].[70639]","","MAR 2023","","000")</f>
        <v>MAR 2023</v>
      </c>
      <c r="N3" s="41" t="str">
        <f xml:space="preserve"> _xll.EPMOlapMemberO("[PERIODID3].[].[70640]","","APR 2023","","000")</f>
        <v>APR 2023</v>
      </c>
      <c r="O3" s="41" t="str">
        <f xml:space="preserve"> _xll.EPMOlapMemberO("[PERIODID3].[].[70641]","","MAY 2023","","000")</f>
        <v>MAY 2023</v>
      </c>
      <c r="P3" s="41" t="str">
        <f xml:space="preserve"> _xll.EPMOlapMemberO("[PERIODID3].[].[70642]","","JUN 2023","","000")</f>
        <v>JUN 2023</v>
      </c>
      <c r="Q3" s="41" t="str">
        <f xml:space="preserve"> _xll.EPMOlapMemberO("[PERIODID3].[].[70643]","","JUL 2023","","000")</f>
        <v>JUL 2023</v>
      </c>
      <c r="R3" s="41" t="str">
        <f xml:space="preserve"> _xll.EPMOlapMemberO("[PERIODID3].[].[70644]","","AUG 2023","","000")</f>
        <v>AUG 2023</v>
      </c>
      <c r="S3" s="41" t="str">
        <f xml:space="preserve"> _xll.EPMOlapMemberO("[PERIODID3].[].[70645]","","SEP 2023","","000")</f>
        <v>SEP 2023</v>
      </c>
      <c r="T3" s="41" t="str">
        <f xml:space="preserve"> _xll.EPMOlapMemberO("[PERIODID3].[].[70646]","","OCT 2023","","000")</f>
        <v>OCT 2023</v>
      </c>
      <c r="U3" s="41" t="str">
        <f xml:space="preserve"> _xll.EPMOlapMemberO("[PERIODID3].[].[70647]","","NOV 2023","","000")</f>
        <v>NOV 2023</v>
      </c>
      <c r="V3" s="41" t="str">
        <f xml:space="preserve"> _xll.EPMOlapMemberO("[PERIODID3].[].[70648]","","DEC 2023","","000")</f>
        <v>DEC 2023</v>
      </c>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row>
    <row r="4" spans="1:82" x14ac:dyDescent="0.4">
      <c r="I4" s="21" t="str">
        <f xml:space="preserve"> _xll.EPMOlapMemberO("[PRDID].[].[HT_001]","","HT_001","","000")</f>
        <v>HT_001</v>
      </c>
      <c r="J4" s="21" t="str">
        <f xml:space="preserve"> _xll.EPMOlapMemberO("[KEY_FIGURES].[].[CONSENSUSDEMAND]","","Consensus Demand without Promotion","","000")</f>
        <v>Consensus Demand without Promotion</v>
      </c>
      <c r="K4" s="65">
        <v>832115.91200000001</v>
      </c>
      <c r="L4" s="65">
        <v>819633.79</v>
      </c>
      <c r="M4" s="65">
        <v>606781.38</v>
      </c>
      <c r="N4" s="65">
        <v>174190.69500000001</v>
      </c>
      <c r="O4" s="65">
        <v>11903.165999999999</v>
      </c>
      <c r="P4" s="65">
        <v>6760.8770000000004</v>
      </c>
      <c r="Q4" s="65">
        <v>6375.75</v>
      </c>
      <c r="R4" s="65">
        <v>328973.065</v>
      </c>
      <c r="S4" s="65">
        <v>820184.95200000005</v>
      </c>
      <c r="T4" s="65">
        <v>840418.18500000006</v>
      </c>
      <c r="U4" s="65">
        <v>795932.45799999998</v>
      </c>
      <c r="V4" s="65">
        <v>852249.81499999994</v>
      </c>
    </row>
    <row r="5" spans="1:82" x14ac:dyDescent="0.4">
      <c r="I5" s="21" t="str">
        <f xml:space="preserve"> _xll.EPMOlapMemberO("[PRDID].[].[HT_002]","","HT_002","","000")</f>
        <v>HT_002</v>
      </c>
      <c r="J5" s="21" t="str">
        <f xml:space="preserve"> _xll.EPMOlapMemberO("[KEY_FIGURES].[].[CONSENSUSDEMAND]","","Consensus Demand without Promotion","","000")</f>
        <v>Consensus Demand without Promotion</v>
      </c>
      <c r="K5" s="65">
        <v>876558.27800000005</v>
      </c>
      <c r="L5" s="65">
        <v>413532.89</v>
      </c>
      <c r="M5" s="65">
        <v>278916.83100000001</v>
      </c>
      <c r="N5" s="65">
        <v>183376.89499999999</v>
      </c>
      <c r="O5" s="65">
        <v>808679.57</v>
      </c>
      <c r="P5" s="65">
        <v>412293.36</v>
      </c>
      <c r="Q5" s="65">
        <v>183324.91399999999</v>
      </c>
      <c r="R5" s="65">
        <v>469475.12</v>
      </c>
      <c r="S5" s="65">
        <v>751471.57</v>
      </c>
      <c r="T5" s="65">
        <v>867552.47199999995</v>
      </c>
      <c r="U5" s="65">
        <v>545843.12</v>
      </c>
      <c r="V5" s="65">
        <v>165041.79500000001</v>
      </c>
    </row>
    <row r="6" spans="1:82" x14ac:dyDescent="0.4">
      <c r="I6" s="21" t="str">
        <f xml:space="preserve"> _xll.EPMOlapMemberO("[PRDID].[].[HT_003]","","HT_003","","000")</f>
        <v>HT_003</v>
      </c>
      <c r="J6" s="21" t="str">
        <f xml:space="preserve"> _xll.EPMOlapMemberO("[KEY_FIGURES].[].[CONSENSUSDEMAND]","","Consensus Demand without Promotion","","000")</f>
        <v>Consensus Demand without Promotion</v>
      </c>
      <c r="K6" s="65">
        <v>1752989.148</v>
      </c>
      <c r="L6" s="65">
        <v>1577082.7749999999</v>
      </c>
      <c r="M6" s="65">
        <v>3394707.02</v>
      </c>
      <c r="N6" s="65">
        <v>1625031.3</v>
      </c>
      <c r="O6" s="65">
        <v>3439861.1150000002</v>
      </c>
      <c r="P6" s="65">
        <v>2104091.5249999999</v>
      </c>
      <c r="Q6" s="65">
        <v>338450.29800000001</v>
      </c>
      <c r="R6" s="65">
        <v>533940.57499999995</v>
      </c>
      <c r="S6" s="65">
        <v>243085.72</v>
      </c>
      <c r="T6" s="65">
        <v>291593.728</v>
      </c>
      <c r="U6" s="65">
        <v>407494.87</v>
      </c>
      <c r="V6" s="65">
        <v>1107609.145</v>
      </c>
    </row>
    <row r="7" spans="1:82" x14ac:dyDescent="0.4">
      <c r="I7" s="21" t="str">
        <f xml:space="preserve"> _xll.EPMOlapMemberO("[PRDID].[].[HT_004]","","HT_004","","000")</f>
        <v>HT_004</v>
      </c>
      <c r="J7" s="21" t="str">
        <f xml:space="preserve"> _xll.EPMOlapMemberO("[KEY_FIGURES].[].[CONSENSUSDEMAND]","","Consensus Demand without Promotion","","000")</f>
        <v>Consensus Demand without Promotion</v>
      </c>
      <c r="K7" s="65">
        <v>637666.28799999994</v>
      </c>
      <c r="L7" s="65">
        <v>153721.71599999999</v>
      </c>
      <c r="M7" s="65">
        <v>844232.15599999996</v>
      </c>
      <c r="N7" s="65">
        <v>892335.44</v>
      </c>
      <c r="O7" s="65">
        <v>702491.44</v>
      </c>
      <c r="P7" s="65">
        <v>440778.29</v>
      </c>
      <c r="Q7" s="65">
        <v>949842.87600000005</v>
      </c>
      <c r="R7" s="65">
        <v>146830.85999999999</v>
      </c>
      <c r="S7" s="65">
        <v>632352</v>
      </c>
      <c r="T7" s="65">
        <v>916318.29</v>
      </c>
      <c r="U7" s="65">
        <v>305053.15500000003</v>
      </c>
      <c r="V7" s="65">
        <v>775506.29</v>
      </c>
    </row>
    <row r="8" spans="1:82" x14ac:dyDescent="0.4">
      <c r="I8" s="21" t="str">
        <f xml:space="preserve"> _xll.EPMOlapMemberO("[PRDID].[].[HT_009]","","HT_009","","000")</f>
        <v>HT_009</v>
      </c>
      <c r="J8" s="21" t="str">
        <f xml:space="preserve"> _xll.EPMOlapMemberO("[KEY_FIGURES].[].[CONSENSUSDEMAND]","","Consensus Demand without Promotion","","000")</f>
        <v>Consensus Demand without Promotion</v>
      </c>
      <c r="K8" s="65">
        <v>903890</v>
      </c>
      <c r="L8" s="65">
        <v>1217716</v>
      </c>
      <c r="M8" s="65">
        <v>572062.14</v>
      </c>
      <c r="N8" s="65">
        <v>283924.66499999998</v>
      </c>
      <c r="O8" s="65">
        <v>430482.66499999998</v>
      </c>
      <c r="P8" s="65">
        <v>387376</v>
      </c>
      <c r="Q8" s="65">
        <v>1034804.664</v>
      </c>
      <c r="R8" s="65">
        <v>310768</v>
      </c>
      <c r="S8" s="65">
        <v>265473.34000000003</v>
      </c>
      <c r="T8" s="65">
        <v>377837.33600000001</v>
      </c>
      <c r="U8" s="65">
        <v>1317974</v>
      </c>
      <c r="V8" s="65">
        <v>1039419.34</v>
      </c>
    </row>
    <row r="9" spans="1:82" x14ac:dyDescent="0.4">
      <c r="I9" s="21" t="str">
        <f xml:space="preserve"> _xll.EPMOlapMemberO("[PRDID].[].[HT_010]","","HT_010","","000")</f>
        <v>HT_010</v>
      </c>
      <c r="J9" s="21" t="str">
        <f xml:space="preserve"> _xll.EPMOlapMemberO("[KEY_FIGURES].[].[CONSENSUSDEMAND]","","Consensus Demand without Promotion","","000")</f>
        <v>Consensus Demand without Promotion</v>
      </c>
      <c r="K9" s="65">
        <v>1135503.3359999999</v>
      </c>
      <c r="L9" s="65">
        <v>1163670</v>
      </c>
      <c r="M9" s="65">
        <v>302052.07</v>
      </c>
      <c r="N9" s="65">
        <v>967096.67500000005</v>
      </c>
      <c r="O9" s="65">
        <v>1138044.675</v>
      </c>
      <c r="P9" s="65">
        <v>1041924.675</v>
      </c>
      <c r="Q9" s="65">
        <v>941022.68200000003</v>
      </c>
      <c r="R9" s="65">
        <v>994464.67500000005</v>
      </c>
      <c r="S9" s="65">
        <v>1054502.675</v>
      </c>
      <c r="T9" s="65">
        <v>1286989.328</v>
      </c>
      <c r="U9" s="65">
        <v>892336.67500000005</v>
      </c>
      <c r="V9" s="65">
        <v>903108.67500000005</v>
      </c>
    </row>
    <row r="10" spans="1:82" x14ac:dyDescent="0.4">
      <c r="I10" s="21" t="str">
        <f xml:space="preserve"> _xll.EPMOlapMemberO("[PRDID].[].[HT_011]","","HT_011","","000")</f>
        <v>HT_011</v>
      </c>
      <c r="J10" s="21" t="str">
        <f xml:space="preserve"> _xll.EPMOlapMemberO("[KEY_FIGURES].[].[CONSENSUSDEMAND]","","Consensus Demand without Promotion","","000")</f>
        <v>Consensus Demand without Promotion</v>
      </c>
      <c r="K10" s="65">
        <v>181291.334</v>
      </c>
      <c r="L10" s="65">
        <v>506622.66800000001</v>
      </c>
      <c r="M10" s="65">
        <v>538684.56000000006</v>
      </c>
      <c r="N10" s="65">
        <v>740024.67</v>
      </c>
      <c r="O10" s="65">
        <v>297556</v>
      </c>
      <c r="P10" s="65">
        <v>737650</v>
      </c>
      <c r="Q10" s="65">
        <v>1199921.3359999999</v>
      </c>
      <c r="R10" s="65">
        <v>1240517.33</v>
      </c>
      <c r="S10" s="65">
        <v>602260</v>
      </c>
      <c r="T10" s="65">
        <v>427370.00400000002</v>
      </c>
      <c r="U10" s="65">
        <v>1268594.67</v>
      </c>
      <c r="V10" s="65">
        <v>914003.33</v>
      </c>
    </row>
    <row r="11" spans="1:82" x14ac:dyDescent="0.4">
      <c r="I11" s="21" t="str">
        <f xml:space="preserve"> _xll.EPMOlapMemberO("[PRDID].[].[HT_012]","","HT_012","","000")</f>
        <v>HT_012</v>
      </c>
      <c r="J11" s="21" t="str">
        <f xml:space="preserve"> _xll.EPMOlapMemberO("[KEY_FIGURES].[].[CONSENSUSDEMAND]","","Consensus Demand without Promotion","","000")</f>
        <v>Consensus Demand without Promotion</v>
      </c>
      <c r="K11" s="65">
        <v>1990766</v>
      </c>
      <c r="L11" s="65">
        <v>2321770</v>
      </c>
      <c r="M11" s="65">
        <v>324228</v>
      </c>
      <c r="N11" s="65">
        <v>3402742</v>
      </c>
      <c r="O11" s="65">
        <v>1886850</v>
      </c>
      <c r="P11" s="65">
        <v>241904</v>
      </c>
      <c r="Q11" s="65">
        <v>559400</v>
      </c>
      <c r="R11" s="65">
        <v>256622</v>
      </c>
      <c r="S11" s="65">
        <v>2585842</v>
      </c>
      <c r="T11" s="65">
        <v>2671048</v>
      </c>
      <c r="U11" s="65">
        <v>856392</v>
      </c>
      <c r="V11" s="65">
        <v>1713534</v>
      </c>
    </row>
    <row r="12" spans="1:82" x14ac:dyDescent="0.4">
      <c r="I12" s="21" t="str">
        <f xml:space="preserve"> _xll.EPMOlapMemberO("[PRDID].[].[HT_013]","","HT_013","","000")</f>
        <v>HT_013</v>
      </c>
      <c r="J12" s="21" t="str">
        <f xml:space="preserve"> _xll.EPMOlapMemberO("[KEY_FIGURES].[].[CONSENSUSDEMAND]","","Consensus Demand without Promotion","","000")</f>
        <v>Consensus Demand without Promotion</v>
      </c>
      <c r="K12" s="65">
        <v>824092.14399999997</v>
      </c>
      <c r="L12" s="65">
        <v>776817.14399999997</v>
      </c>
      <c r="M12" s="65">
        <v>540024.94499999995</v>
      </c>
      <c r="N12" s="65">
        <v>868309.28500000003</v>
      </c>
      <c r="O12" s="65">
        <v>620673.56999999995</v>
      </c>
      <c r="P12" s="65">
        <v>323604.28499999997</v>
      </c>
      <c r="Q12" s="65">
        <v>490512.14</v>
      </c>
      <c r="R12" s="65">
        <v>1029789.285</v>
      </c>
      <c r="S12" s="65">
        <v>1315410</v>
      </c>
      <c r="T12" s="65">
        <v>915614.28799999994</v>
      </c>
      <c r="U12" s="65">
        <v>163668.57</v>
      </c>
      <c r="V12" s="65">
        <v>1221908.57</v>
      </c>
    </row>
    <row r="13" spans="1:82" x14ac:dyDescent="0.4">
      <c r="I13" s="21" t="str">
        <f xml:space="preserve"> _xll.EPMOlapMemberO("[PRDID].[].[HT_014]","","HT_014","","000")</f>
        <v>HT_014</v>
      </c>
      <c r="J13" s="21" t="str">
        <f xml:space="preserve"> _xll.EPMOlapMemberO("[KEY_FIGURES].[].[CONSENSUSDEMAND]","","Consensus Demand without Promotion","","000")</f>
        <v>Consensus Demand without Promotion</v>
      </c>
      <c r="K13" s="65">
        <v>1427233.112</v>
      </c>
      <c r="L13" s="65">
        <v>1163137.112</v>
      </c>
      <c r="M13" s="65">
        <v>839572.495</v>
      </c>
      <c r="N13" s="65">
        <v>474162.11</v>
      </c>
      <c r="O13" s="65">
        <v>1514672.44</v>
      </c>
      <c r="P13" s="65">
        <v>1177400.78</v>
      </c>
      <c r="Q13" s="65">
        <v>310072.78000000003</v>
      </c>
      <c r="R13" s="65">
        <v>666627.89</v>
      </c>
      <c r="S13" s="65">
        <v>212411.89</v>
      </c>
      <c r="T13" s="65">
        <v>278403.22399999999</v>
      </c>
      <c r="U13" s="65">
        <v>399891.33</v>
      </c>
      <c r="V13" s="65">
        <v>855182.22</v>
      </c>
    </row>
  </sheetData>
  <sheetProtection autoFilter="0"/>
  <autoFilter ref="I3:V13" xr:uid="{00000000-0001-0000-0200-000000000000}"/>
  <mergeCells count="5">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147" r:id="rId8" name="AnalyzerDynReportDC000tb1">
          <controlPr defaultSize="0" autoLine="0" r:id="rId9">
            <anchor moveWithCells="1">
              <from>
                <xdr:col>10</xdr:col>
                <xdr:colOff>0</xdr:colOff>
                <xdr:row>3</xdr:row>
                <xdr:rowOff>0</xdr:rowOff>
              </from>
              <to>
                <xdr:col>11</xdr:col>
                <xdr:colOff>152400</xdr:colOff>
                <xdr:row>3</xdr:row>
                <xdr:rowOff>5443</xdr:rowOff>
              </to>
            </anchor>
          </controlPr>
        </control>
      </mc:Choice>
      <mc:Fallback>
        <control shapeId="3147" r:id="rId8" name="AnalyzerDynReportDC000tb1"/>
      </mc:Fallback>
    </mc:AlternateContent>
    <mc:AlternateContent xmlns:mc="http://schemas.openxmlformats.org/markup-compatibility/2006">
      <mc:Choice Requires="x14">
        <control shapeId="3146" r:id="rId10" name="AnalyzerDynReportHC000tb1">
          <controlPr defaultSize="0" autoLine="0" r:id="rId11">
            <anchor moveWithCells="1">
              <from>
                <xdr:col>10</xdr:col>
                <xdr:colOff>0</xdr:colOff>
                <xdr:row>3</xdr:row>
                <xdr:rowOff>0</xdr:rowOff>
              </from>
              <to>
                <xdr:col>11</xdr:col>
                <xdr:colOff>152400</xdr:colOff>
                <xdr:row>3</xdr:row>
                <xdr:rowOff>5443</xdr:rowOff>
              </to>
            </anchor>
          </controlPr>
        </control>
      </mc:Choice>
      <mc:Fallback>
        <control shapeId="3146" r:id="rId10" name="AnalyzerDynReportHC000tb1"/>
      </mc:Fallback>
    </mc:AlternateContent>
    <mc:AlternateContent xmlns:mc="http://schemas.openxmlformats.org/markup-compatibility/2006">
      <mc:Choice Requires="x14">
        <control shapeId="3142" r:id="rId12" name="ReportSubmitControl_1DCtb1">
          <controlPr defaultSize="0" autoLine="0" r:id="rId13">
            <anchor moveWithCells="1">
              <from>
                <xdr:col>10</xdr:col>
                <xdr:colOff>0</xdr:colOff>
                <xdr:row>3</xdr:row>
                <xdr:rowOff>0</xdr:rowOff>
              </from>
              <to>
                <xdr:col>11</xdr:col>
                <xdr:colOff>152400</xdr:colOff>
                <xdr:row>3</xdr:row>
                <xdr:rowOff>5443</xdr:rowOff>
              </to>
            </anchor>
          </controlPr>
        </control>
      </mc:Choice>
      <mc:Fallback>
        <control shapeId="3142" r:id="rId12" name="ReportSubmitControl_1DCtb1"/>
      </mc:Fallback>
    </mc:AlternateContent>
    <mc:AlternateContent xmlns:mc="http://schemas.openxmlformats.org/markup-compatibility/2006">
      <mc:Choice Requires="x14">
        <control shapeId="3141" r:id="rId14" name="ReportSubmitControl_1HCtb1">
          <controlPr defaultSize="0" autoLine="0" r:id="rId15">
            <anchor moveWithCells="1">
              <from>
                <xdr:col>10</xdr:col>
                <xdr:colOff>0</xdr:colOff>
                <xdr:row>3</xdr:row>
                <xdr:rowOff>0</xdr:rowOff>
              </from>
              <to>
                <xdr:col>11</xdr:col>
                <xdr:colOff>152400</xdr:colOff>
                <xdr:row>3</xdr:row>
                <xdr:rowOff>5443</xdr:rowOff>
              </to>
            </anchor>
          </controlPr>
        </control>
      </mc:Choice>
      <mc:Fallback>
        <control shapeId="3141" r:id="rId14" name="ReportSubmitControl_1HCtb1"/>
      </mc:Fallback>
    </mc:AlternateContent>
    <mc:AlternateContent xmlns:mc="http://schemas.openxmlformats.org/markup-compatibility/2006">
      <mc:Choice Requires="x14">
        <control shapeId="3140" r:id="rId16" name="ReportSubmitManagerControlDCtb1">
          <controlPr defaultSize="0" autoLine="0" r:id="rId17">
            <anchor moveWithCells="1">
              <from>
                <xdr:col>10</xdr:col>
                <xdr:colOff>0</xdr:colOff>
                <xdr:row>3</xdr:row>
                <xdr:rowOff>0</xdr:rowOff>
              </from>
              <to>
                <xdr:col>11</xdr:col>
                <xdr:colOff>152400</xdr:colOff>
                <xdr:row>3</xdr:row>
                <xdr:rowOff>5443</xdr:rowOff>
              </to>
            </anchor>
          </controlPr>
        </control>
      </mc:Choice>
      <mc:Fallback>
        <control shapeId="3140" r:id="rId16" name="ReportSubmitManagerControlDCtb1"/>
      </mc:Fallback>
    </mc:AlternateContent>
    <mc:AlternateContent xmlns:mc="http://schemas.openxmlformats.org/markup-compatibility/2006">
      <mc:Choice Requires="x14">
        <control shapeId="3139" r:id="rId18" name="ReportSubmitManagerControlHCtb1">
          <controlPr defaultSize="0" autoLine="0" r:id="rId19">
            <anchor moveWithCells="1">
              <from>
                <xdr:col>10</xdr:col>
                <xdr:colOff>0</xdr:colOff>
                <xdr:row>3</xdr:row>
                <xdr:rowOff>0</xdr:rowOff>
              </from>
              <to>
                <xdr:col>11</xdr:col>
                <xdr:colOff>152400</xdr:colOff>
                <xdr:row>3</xdr:row>
                <xdr:rowOff>5443</xdr:rowOff>
              </to>
            </anchor>
          </controlPr>
        </control>
      </mc:Choice>
      <mc:Fallback>
        <control shapeId="3139" r:id="rId18" name="ReportSubmitManagerControlHCtb1"/>
      </mc:Fallback>
    </mc:AlternateContent>
    <mc:AlternateContent xmlns:mc="http://schemas.openxmlformats.org/markup-compatibility/2006">
      <mc:Choice Requires="x14">
        <control shapeId="3138" r:id="rId20" name="MultipleReportManagerInfoDCtb1">
          <controlPr defaultSize="0" autoLine="0" r:id="rId21">
            <anchor moveWithCells="1">
              <from>
                <xdr:col>10</xdr:col>
                <xdr:colOff>0</xdr:colOff>
                <xdr:row>3</xdr:row>
                <xdr:rowOff>0</xdr:rowOff>
              </from>
              <to>
                <xdr:col>11</xdr:col>
                <xdr:colOff>152400</xdr:colOff>
                <xdr:row>3</xdr:row>
                <xdr:rowOff>5443</xdr:rowOff>
              </to>
            </anchor>
          </controlPr>
        </control>
      </mc:Choice>
      <mc:Fallback>
        <control shapeId="3138" r:id="rId20" name="MultipleReportManagerInfoDCtb1"/>
      </mc:Fallback>
    </mc:AlternateContent>
    <mc:AlternateContent xmlns:mc="http://schemas.openxmlformats.org/markup-compatibility/2006">
      <mc:Choice Requires="x14">
        <control shapeId="3137" r:id="rId22" name="MultipleReportManagerInfoHCtb1">
          <controlPr defaultSize="0" autoLine="0" r:id="rId23">
            <anchor moveWithCells="1">
              <from>
                <xdr:col>10</xdr:col>
                <xdr:colOff>0</xdr:colOff>
                <xdr:row>3</xdr:row>
                <xdr:rowOff>0</xdr:rowOff>
              </from>
              <to>
                <xdr:col>11</xdr:col>
                <xdr:colOff>152400</xdr:colOff>
                <xdr:row>3</xdr:row>
                <xdr:rowOff>5443</xdr:rowOff>
              </to>
            </anchor>
          </controlPr>
        </control>
      </mc:Choice>
      <mc:Fallback>
        <control shapeId="3137" r:id="rId22" name="MultipleReportManagerInfoHCtb1"/>
      </mc:Fallback>
    </mc:AlternateContent>
    <mc:AlternateContent xmlns:mc="http://schemas.openxmlformats.org/markup-compatibility/2006">
      <mc:Choice Requires="x14">
        <control shapeId="3136" r:id="rId24" name="ConnectionDescriptorsInfoDCtb1">
          <controlPr defaultSize="0" autoLine="0" r:id="rId25">
            <anchor moveWithCells="1">
              <from>
                <xdr:col>10</xdr:col>
                <xdr:colOff>0</xdr:colOff>
                <xdr:row>3</xdr:row>
                <xdr:rowOff>0</xdr:rowOff>
              </from>
              <to>
                <xdr:col>11</xdr:col>
                <xdr:colOff>152400</xdr:colOff>
                <xdr:row>3</xdr:row>
                <xdr:rowOff>5443</xdr:rowOff>
              </to>
            </anchor>
          </controlPr>
        </control>
      </mc:Choice>
      <mc:Fallback>
        <control shapeId="3136" r:id="rId24" name="ConnectionDescriptorsInfoDCtb1"/>
      </mc:Fallback>
    </mc:AlternateContent>
    <mc:AlternateContent xmlns:mc="http://schemas.openxmlformats.org/markup-compatibility/2006">
      <mc:Choice Requires="x14">
        <control shapeId="3135" r:id="rId26" name="ConnectionDescriptorsInfoHCtb1">
          <controlPr defaultSize="0" autoLine="0" r:id="rId27">
            <anchor moveWithCells="1">
              <from>
                <xdr:col>10</xdr:col>
                <xdr:colOff>0</xdr:colOff>
                <xdr:row>3</xdr:row>
                <xdr:rowOff>0</xdr:rowOff>
              </from>
              <to>
                <xdr:col>11</xdr:col>
                <xdr:colOff>152400</xdr:colOff>
                <xdr:row>3</xdr:row>
                <xdr:rowOff>5443</xdr:rowOff>
              </to>
            </anchor>
          </controlPr>
        </control>
      </mc:Choice>
      <mc:Fallback>
        <control shapeId="3135" r:id="rId26" name="ConnectionDescriptorsInfoHCtb1"/>
      </mc:Fallback>
    </mc:AlternateContent>
    <mc:AlternateContent xmlns:mc="http://schemas.openxmlformats.org/markup-compatibility/2006">
      <mc:Choice Requires="x14">
        <control shapeId="3134" r:id="rId28" name="ReportSubmitControl_1tb1">
          <controlPr defaultSize="0" autoLine="0" autoPict="0" r:id="rId29">
            <anchor moveWithCells="1" sizeWithCells="1">
              <from>
                <xdr:col>0</xdr:col>
                <xdr:colOff>0</xdr:colOff>
                <xdr:row>0</xdr:row>
                <xdr:rowOff>0</xdr:rowOff>
              </from>
              <to>
                <xdr:col>6</xdr:col>
                <xdr:colOff>97971</xdr:colOff>
                <xdr:row>0</xdr:row>
                <xdr:rowOff>0</xdr:rowOff>
              </to>
            </anchor>
          </controlPr>
        </control>
      </mc:Choice>
      <mc:Fallback>
        <control shapeId="3134" r:id="rId28" name="ReportSubmitControl_1tb1"/>
      </mc:Fallback>
    </mc:AlternateContent>
    <mc:AlternateContent xmlns:mc="http://schemas.openxmlformats.org/markup-compatibility/2006">
      <mc:Choice Requires="x14">
        <control shapeId="3133" r:id="rId30" name="ReportSubmitManagerControltb1">
          <controlPr defaultSize="0" autoLine="0" autoPict="0" r:id="rId31">
            <anchor moveWithCells="1" sizeWithCells="1">
              <from>
                <xdr:col>0</xdr:col>
                <xdr:colOff>0</xdr:colOff>
                <xdr:row>0</xdr:row>
                <xdr:rowOff>0</xdr:rowOff>
              </from>
              <to>
                <xdr:col>6</xdr:col>
                <xdr:colOff>97971</xdr:colOff>
                <xdr:row>0</xdr:row>
                <xdr:rowOff>0</xdr:rowOff>
              </to>
            </anchor>
          </controlPr>
        </control>
      </mc:Choice>
      <mc:Fallback>
        <control shapeId="3133" r:id="rId30" name="ReportSubmitManagerControltb1"/>
      </mc:Fallback>
    </mc:AlternateContent>
    <mc:AlternateContent xmlns:mc="http://schemas.openxmlformats.org/markup-compatibility/2006">
      <mc:Choice Requires="x14">
        <control shapeId="3132" r:id="rId32" name="MultipleReportManagerInfotb1">
          <controlPr defaultSize="0" autoLine="0" autoPict="0" r:id="rId33">
            <anchor moveWithCells="1" sizeWithCells="1">
              <from>
                <xdr:col>0</xdr:col>
                <xdr:colOff>0</xdr:colOff>
                <xdr:row>0</xdr:row>
                <xdr:rowOff>0</xdr:rowOff>
              </from>
              <to>
                <xdr:col>6</xdr:col>
                <xdr:colOff>97971</xdr:colOff>
                <xdr:row>0</xdr:row>
                <xdr:rowOff>0</xdr:rowOff>
              </to>
            </anchor>
          </controlPr>
        </control>
      </mc:Choice>
      <mc:Fallback>
        <control shapeId="3132" r:id="rId32" name="MultipleReportManagerInfotb1"/>
      </mc:Fallback>
    </mc:AlternateContent>
    <mc:AlternateContent xmlns:mc="http://schemas.openxmlformats.org/markup-compatibility/2006">
      <mc:Choice Requires="x14">
        <control shapeId="3131" r:id="rId34" name="ConnectionDescriptorsInfotb1">
          <controlPr defaultSize="0" autoLine="0" autoPict="0" r:id="rId35">
            <anchor moveWithCells="1" sizeWithCells="1">
              <from>
                <xdr:col>0</xdr:col>
                <xdr:colOff>0</xdr:colOff>
                <xdr:row>0</xdr:row>
                <xdr:rowOff>0</xdr:rowOff>
              </from>
              <to>
                <xdr:col>6</xdr:col>
                <xdr:colOff>97971</xdr:colOff>
                <xdr:row>0</xdr:row>
                <xdr:rowOff>0</xdr:rowOff>
              </to>
            </anchor>
          </controlPr>
        </control>
      </mc:Choice>
      <mc:Fallback>
        <control shapeId="3131" r:id="rId34" name="ConnectionDescriptorsInfotb1"/>
      </mc:Fallback>
    </mc:AlternateContent>
    <mc:AlternateContent xmlns:mc="http://schemas.openxmlformats.org/markup-compatibility/2006">
      <mc:Choice Requires="x14">
        <control shapeId="3130" r:id="rId36" name="AnalyzerDynReport000tb1">
          <controlPr defaultSize="0" autoLine="0" autoPict="0" r:id="rId37">
            <anchor moveWithCells="1" sizeWithCells="1">
              <from>
                <xdr:col>0</xdr:col>
                <xdr:colOff>0</xdr:colOff>
                <xdr:row>0</xdr:row>
                <xdr:rowOff>0</xdr:rowOff>
              </from>
              <to>
                <xdr:col>6</xdr:col>
                <xdr:colOff>97971</xdr:colOff>
                <xdr:row>0</xdr:row>
                <xdr:rowOff>0</xdr:rowOff>
              </to>
            </anchor>
          </controlPr>
        </control>
      </mc:Choice>
      <mc:Fallback>
        <control shapeId="3130" r:id="rId36" name="AnalyzerDynReport000tb1"/>
      </mc:Fallback>
    </mc:AlternateContent>
    <mc:AlternateContent xmlns:mc="http://schemas.openxmlformats.org/markup-compatibility/2006">
      <mc:Choice Requires="x14">
        <control shapeId="3119" r:id="rId38" name="TextBox2">
          <controlPr defaultSize="0" disabled="1" autoLine="0" r:id="rId39">
            <anchor>
              <from>
                <xdr:col>8</xdr:col>
                <xdr:colOff>593271</xdr:colOff>
                <xdr:row>2</xdr:row>
                <xdr:rowOff>152400</xdr:rowOff>
              </from>
              <to>
                <xdr:col>8</xdr:col>
                <xdr:colOff>598714</xdr:colOff>
                <xdr:row>2</xdr:row>
                <xdr:rowOff>157843</xdr:rowOff>
              </to>
            </anchor>
          </controlPr>
        </control>
      </mc:Choice>
      <mc:Fallback>
        <control shapeId="3119" r:id="rId38" name="TextBox2"/>
      </mc:Fallback>
    </mc:AlternateContent>
    <mc:AlternateContent xmlns:mc="http://schemas.openxmlformats.org/markup-compatibility/2006">
      <mc:Choice Requires="x14">
        <control shapeId="3115" r:id="rId40" name="TextBox1">
          <controlPr defaultSize="0" disabled="1" autoLine="0" r:id="rId41">
            <anchor>
              <from>
                <xdr:col>0</xdr:col>
                <xdr:colOff>38100</xdr:colOff>
                <xdr:row>2</xdr:row>
                <xdr:rowOff>152400</xdr:rowOff>
              </from>
              <to>
                <xdr:col>0</xdr:col>
                <xdr:colOff>43543</xdr:colOff>
                <xdr:row>2</xdr:row>
                <xdr:rowOff>157843</xdr:rowOff>
              </to>
            </anchor>
          </controlPr>
        </control>
      </mc:Choice>
      <mc:Fallback>
        <control shapeId="3115" r:id="rId40" name="TextBox1"/>
      </mc:Fallback>
    </mc:AlternateContent>
    <mc:AlternateContent xmlns:mc="http://schemas.openxmlformats.org/markup-compatibility/2006">
      <mc:Choice Requires="x14">
        <control shapeId="3093" r:id="rId42" name="FPMExcelClientSheetOptionstb1">
          <controlPr defaultSize="0" autoLine="0" r:id="rId43">
            <anchor moveWithCells="1" sizeWithCells="1">
              <from>
                <xdr:col>0</xdr:col>
                <xdr:colOff>0</xdr:colOff>
                <xdr:row>0</xdr:row>
                <xdr:rowOff>0</xdr:rowOff>
              </from>
              <to>
                <xdr:col>0</xdr:col>
                <xdr:colOff>0</xdr:colOff>
                <xdr:row>0</xdr:row>
                <xdr:rowOff>0</xdr:rowOff>
              </to>
            </anchor>
          </controlPr>
        </control>
      </mc:Choice>
      <mc:Fallback>
        <control shapeId="3093" r:id="rId42" name="FPMExcelClientSheetOptionstb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24910-40E4-40DD-BFE6-D1B52E878A9D}">
  <sheetPr codeName="Sheet5"/>
  <dimension ref="A1:CD35"/>
  <sheetViews>
    <sheetView showGridLines="0" zoomScaleNormal="100" workbookViewId="0">
      <pane xSplit="10" ySplit="3" topLeftCell="K4" activePane="bottomRight" state="frozen"/>
      <selection pane="topRight" activeCell="Y9" sqref="Y9"/>
      <selection pane="bottomLeft" activeCell="Y9" sqref="Y9"/>
      <selection pane="bottomRight" activeCell="K4" sqref="K4"/>
    </sheetView>
  </sheetViews>
  <sheetFormatPr defaultRowHeight="14.6" x14ac:dyDescent="0.4"/>
  <cols>
    <col min="1" max="6" width="1.3828125" bestFit="1" customWidth="1"/>
    <col min="7" max="7" width="10.15234375" bestFit="1" customWidth="1"/>
    <col min="8" max="8" width="11.84375" bestFit="1" customWidth="1"/>
    <col min="9" max="9" width="12.61328125" bestFit="1" customWidth="1"/>
    <col min="10" max="10" width="33.61328125" bestFit="1" customWidth="1"/>
    <col min="11" max="11" width="10.765625" bestFit="1" customWidth="1"/>
    <col min="12" max="12" width="10.61328125" bestFit="1" customWidth="1"/>
    <col min="13" max="13" width="11.69140625" bestFit="1" customWidth="1"/>
    <col min="14" max="14" width="11" bestFit="1" customWidth="1"/>
    <col min="15" max="15" width="11.61328125" bestFit="1" customWidth="1"/>
    <col min="16" max="16" width="10.84375" bestFit="1" customWidth="1"/>
    <col min="17" max="17" width="10.3828125" bestFit="1" customWidth="1"/>
    <col min="18" max="18" width="11.3828125" bestFit="1" customWidth="1"/>
    <col min="19" max="19" width="10.53515625" bestFit="1" customWidth="1"/>
    <col min="20" max="20" width="11" bestFit="1" customWidth="1"/>
    <col min="21" max="21" width="11.3828125" bestFit="1" customWidth="1"/>
    <col min="22" max="22" width="10.84375" bestFit="1" customWidth="1"/>
    <col min="23" max="23" width="8.53515625" bestFit="1" customWidth="1"/>
    <col min="24" max="24" width="13.15234375" bestFit="1" customWidth="1"/>
    <col min="25" max="25" width="18.15234375" bestFit="1" customWidth="1"/>
    <col min="26" max="26" width="12.3828125" bestFit="1" customWidth="1"/>
    <col min="27" max="27" width="26.15234375" bestFit="1" customWidth="1"/>
    <col min="28" max="28" width="23.3828125" bestFit="1" customWidth="1"/>
    <col min="29" max="29" width="21.15234375" bestFit="1" customWidth="1"/>
    <col min="30" max="30" width="13.15234375" bestFit="1" customWidth="1"/>
    <col min="31" max="31" width="18.15234375" bestFit="1" customWidth="1"/>
    <col min="32" max="32" width="12.3828125" bestFit="1" customWidth="1"/>
    <col min="33" max="33" width="26.15234375" bestFit="1" customWidth="1"/>
    <col min="34" max="34" width="23.382812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2" customFormat="1" ht="28.3" x14ac:dyDescent="0.4">
      <c r="A1" s="93" t="s">
        <v>28</v>
      </c>
      <c r="B1" s="94"/>
      <c r="C1" s="94"/>
      <c r="D1" s="94"/>
      <c r="E1" s="94"/>
      <c r="F1" s="94"/>
      <c r="G1" s="94"/>
      <c r="H1" s="94"/>
      <c r="I1" s="94"/>
      <c r="J1" s="94"/>
      <c r="K1" s="95" t="str">
        <f>" "&amp;IFERROR(IF(SOP_Favorite_Name&lt;&gt;" ",SOP_Favorite_Name,IF(SOP_Template_Name&lt;&gt;" ",SOP_Template_Name,"Ad Hoc Planning View")),"Offline")</f>
        <v xml:space="preserve"> Main and Details View</v>
      </c>
      <c r="L1" s="95"/>
      <c r="M1" s="95"/>
      <c r="N1" s="95"/>
      <c r="O1" s="95"/>
      <c r="P1" s="95"/>
      <c r="Q1" s="96" t="str">
        <f>"User: "&amp;_xll.EPMUser()&amp;"   |    Planning Area: "&amp;IFERROR(SOP_Planning_Area,"Offline")&amp;"
"&amp;"Template: "&amp;IFERROR(SOP_Template_Name,"none")</f>
        <v>User: #Error, no current connection.   |    Planning Area: SAP6
Template: template name</v>
      </c>
      <c r="R1" s="96"/>
      <c r="S1" s="96"/>
      <c r="T1" s="96"/>
      <c r="U1" s="96"/>
      <c r="V1" s="96"/>
      <c r="W1" s="34"/>
      <c r="X1" s="35"/>
      <c r="Y1" s="35"/>
      <c r="Z1" s="35"/>
      <c r="AA1" s="35"/>
      <c r="AB1" s="35"/>
      <c r="AC1" s="35"/>
      <c r="AD1" s="35"/>
      <c r="BR1" s="36"/>
      <c r="BS1" s="36"/>
      <c r="BT1" s="36"/>
      <c r="BU1" s="36"/>
      <c r="BV1" s="36"/>
      <c r="BW1" s="36"/>
      <c r="BX1" s="36"/>
      <c r="BY1" s="36"/>
      <c r="BZ1" s="36"/>
      <c r="CA1" s="36"/>
      <c r="CB1" s="36"/>
      <c r="CC1" s="36"/>
      <c r="CD1" s="36"/>
    </row>
    <row r="2" spans="1:82" s="22" customFormat="1" ht="60" customHeight="1" x14ac:dyDescent="0.4">
      <c r="A2" s="97"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(1 criteria):
Product ID = HT_002
</v>
      </c>
      <c r="B2" s="97"/>
      <c r="C2" s="97"/>
      <c r="D2" s="97"/>
      <c r="E2" s="97"/>
      <c r="F2" s="97"/>
      <c r="G2" s="97"/>
      <c r="H2" s="97"/>
      <c r="I2" s="97"/>
      <c r="J2" s="97"/>
      <c r="K2" s="98" t="str">
        <f>"  Last Refresh: "&amp;IFERROR(YEAR(SOP_Refresh_Timestamp)&amp;"-"&amp;TEXT(SOP_Refresh_Timestamp,"MMM")&amp;"-"&amp;DAY(SOP_Refresh_Timestamp)&amp;"   "&amp;TEXT(SOP_Refresh_Timestamp,"HH:MM:SS"),"Offline")</f>
        <v xml:space="preserve">  Last Refresh: 2023-Aug-16   13:15:44</v>
      </c>
      <c r="L2" s="98"/>
      <c r="M2" s="98"/>
      <c r="N2" s="98"/>
      <c r="O2" s="98"/>
      <c r="P2" s="98"/>
      <c r="Q2" s="98"/>
      <c r="R2" s="98"/>
      <c r="S2" s="98"/>
      <c r="T2" s="98"/>
      <c r="U2" s="98"/>
      <c r="V2" s="98"/>
      <c r="W2" s="34"/>
      <c r="X2" s="35"/>
      <c r="Y2" s="35"/>
      <c r="Z2" s="35"/>
      <c r="AA2" s="35"/>
      <c r="AB2" s="35"/>
      <c r="AC2" s="35"/>
      <c r="AD2" s="35"/>
      <c r="BR2" s="36"/>
      <c r="BS2" s="36"/>
      <c r="BT2" s="36"/>
      <c r="BU2" s="36"/>
      <c r="BV2" s="36"/>
      <c r="BW2" s="36"/>
      <c r="BX2" s="36"/>
      <c r="BY2" s="36"/>
      <c r="BZ2" s="36"/>
      <c r="CA2" s="36"/>
      <c r="CB2" s="36"/>
      <c r="CC2" s="36"/>
      <c r="CD2" s="36"/>
    </row>
    <row r="3" spans="1:82" s="23" customFormat="1" x14ac:dyDescent="0.4">
      <c r="A3" s="37" t="str">
        <f>SOP_Heading10</f>
        <v xml:space="preserve"> </v>
      </c>
      <c r="B3" s="37" t="str">
        <f>SOP_Heading9</f>
        <v xml:space="preserve"> </v>
      </c>
      <c r="C3" s="37" t="str">
        <f>SOP_Heading8</f>
        <v xml:space="preserve"> </v>
      </c>
      <c r="D3" s="37" t="str">
        <f>SOP_Heading7</f>
        <v xml:space="preserve"> </v>
      </c>
      <c r="E3" s="37" t="str">
        <f>SOP_Heading6</f>
        <v xml:space="preserve"> </v>
      </c>
      <c r="F3" s="37" t="str">
        <f>SOP_Heading5</f>
        <v xml:space="preserve"> </v>
      </c>
      <c r="G3" s="37" t="str">
        <f>SOP_Heading4</f>
        <v xml:space="preserve"> </v>
      </c>
      <c r="H3" s="37" t="str">
        <f>SOP_Heading3</f>
        <v>Product ID</v>
      </c>
      <c r="I3" s="37" t="str">
        <f>SOP_Heading2</f>
        <v>Location ID</v>
      </c>
      <c r="J3" s="37" t="str">
        <f>SOP_Heading1</f>
        <v>Key Figure</v>
      </c>
      <c r="K3" s="41" t="str">
        <f xml:space="preserve"> _xll.EPMOlapMemberO("[PERIODID3].[].[70637]","","JAN 2023","","000")</f>
        <v>JAN 2023</v>
      </c>
      <c r="L3" s="41" t="str">
        <f xml:space="preserve"> _xll.EPMOlapMemberO("[PERIODID3].[].[70638]","","FEB 2023","","000")</f>
        <v>FEB 2023</v>
      </c>
      <c r="M3" s="41" t="str">
        <f xml:space="preserve"> _xll.EPMOlapMemberO("[PERIODID3].[].[70639]","","MAR 2023","","000")</f>
        <v>MAR 2023</v>
      </c>
      <c r="N3" s="41" t="str">
        <f xml:space="preserve"> _xll.EPMOlapMemberO("[PERIODID3].[].[70640]","","APR 2023","","000")</f>
        <v>APR 2023</v>
      </c>
      <c r="O3" s="41" t="str">
        <f xml:space="preserve"> _xll.EPMOlapMemberO("[PERIODID3].[].[70641]","","MAY 2023","","000")</f>
        <v>MAY 2023</v>
      </c>
      <c r="P3" s="41" t="str">
        <f xml:space="preserve"> _xll.EPMOlapMemberO("[PERIODID3].[].[70642]","","JUN 2023","","000")</f>
        <v>JUN 2023</v>
      </c>
      <c r="Q3" s="41" t="str">
        <f xml:space="preserve"> _xll.EPMOlapMemberO("[PERIODID3].[].[70643]","","JUL 2023","","000")</f>
        <v>JUL 2023</v>
      </c>
      <c r="R3" s="41" t="str">
        <f xml:space="preserve"> _xll.EPMOlapMemberO("[PERIODID3].[].[70644]","","AUG 2023","","000")</f>
        <v>AUG 2023</v>
      </c>
      <c r="S3" s="41" t="str">
        <f xml:space="preserve"> _xll.EPMOlapMemberO("[PERIODID3].[].[70645]","","SEP 2023","","000")</f>
        <v>SEP 2023</v>
      </c>
      <c r="T3" s="41" t="str">
        <f xml:space="preserve"> _xll.EPMOlapMemberO("[PERIODID3].[].[70646]","","OCT 2023","","000")</f>
        <v>OCT 2023</v>
      </c>
      <c r="U3" s="41" t="str">
        <f xml:space="preserve"> _xll.EPMOlapMemberO("[PERIODID3].[].[70647]","","NOV 2023","","000")</f>
        <v>NOV 2023</v>
      </c>
      <c r="V3" s="41" t="str">
        <f xml:space="preserve"> _xll.EPMOlapMemberO("[PERIODID3].[].[70648]","","DEC 2023","","000")</f>
        <v>DEC 2023</v>
      </c>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row>
    <row r="4" spans="1:82" x14ac:dyDescent="0.4">
      <c r="H4" s="21" t="str">
        <f xml:space="preserve"> _xll.EPMOlapMemberO("[PRDID].[].[HT_002]","","HT_002","","000")</f>
        <v>HT_002</v>
      </c>
      <c r="I4" s="21" t="str">
        <f xml:space="preserve"> _xll.EPMOlapMemberO("[LOCID].[].[HD_DC_CA_E]","","HD_DC_CA_E","","000")</f>
        <v>HD_DC_CA_E</v>
      </c>
      <c r="J4" s="21" t="str">
        <f xml:space="preserve"> _xll.EPMOlapMemberO("[KEY_FIGURES].[].[CONSENSUSDEMAND]","","Consensus Demand without Promotion","","000")</f>
        <v>Consensus Demand without Promotion</v>
      </c>
      <c r="K4" s="65">
        <v>1753462.1640000001</v>
      </c>
      <c r="L4" s="65">
        <v>207259.25</v>
      </c>
      <c r="M4" s="65">
        <v>139871.39499999999</v>
      </c>
      <c r="N4" s="65">
        <v>103149.5</v>
      </c>
      <c r="O4" s="65">
        <v>404339.78</v>
      </c>
      <c r="P4" s="65">
        <v>231915</v>
      </c>
      <c r="Q4" s="65">
        <v>103120.24800000001</v>
      </c>
      <c r="R4" s="65">
        <v>264079.75</v>
      </c>
      <c r="S4" s="65">
        <v>422702.75</v>
      </c>
      <c r="T4" s="65">
        <v>487998.25199999998</v>
      </c>
      <c r="U4" s="65">
        <v>307036.75</v>
      </c>
      <c r="V4" s="65">
        <v>92836</v>
      </c>
    </row>
    <row r="5" spans="1:82" x14ac:dyDescent="0.4">
      <c r="H5" s="21"/>
      <c r="I5" s="21"/>
      <c r="J5" s="21" t="str">
        <f xml:space="preserve"> _xll.EPMOlapMemberO("[KEY_FIGURES].[].[FINALCONSENSUSDEMAND]","","Consensus Demand","","000")</f>
        <v>Consensus Demand</v>
      </c>
      <c r="K5" s="24">
        <v>1753462.1640000001</v>
      </c>
      <c r="L5" s="24">
        <v>207259.25</v>
      </c>
      <c r="M5" s="24">
        <v>139871.39499999999</v>
      </c>
      <c r="N5" s="24">
        <v>103149.5</v>
      </c>
      <c r="O5" s="24">
        <v>404339.78</v>
      </c>
      <c r="P5" s="24">
        <v>231915</v>
      </c>
      <c r="Q5" s="24">
        <v>103120.24800000001</v>
      </c>
      <c r="R5" s="24">
        <v>264079.75</v>
      </c>
      <c r="S5" s="24">
        <v>422702.75</v>
      </c>
      <c r="T5" s="24">
        <v>487998.25199999998</v>
      </c>
      <c r="U5" s="24">
        <v>307036.75</v>
      </c>
      <c r="V5" s="24">
        <v>92836</v>
      </c>
    </row>
    <row r="6" spans="1:82" x14ac:dyDescent="0.4">
      <c r="H6" s="21"/>
      <c r="I6" s="21"/>
      <c r="J6" s="21" t="str">
        <f xml:space="preserve"> _xll.EPMOlapMemberO("[KEY_FIGURES].[].[DEMANDPLANNINGQTY]","","Demand Planning Qty","","000")</f>
        <v>Demand Planning Qty</v>
      </c>
      <c r="K6" s="66">
        <v>0</v>
      </c>
      <c r="L6" s="66">
        <v>0</v>
      </c>
      <c r="M6" s="66">
        <v>0</v>
      </c>
      <c r="N6" s="66">
        <v>0</v>
      </c>
      <c r="O6" s="66">
        <v>150092</v>
      </c>
      <c r="P6" s="66">
        <v>150092</v>
      </c>
      <c r="Q6" s="66">
        <v>150092</v>
      </c>
      <c r="R6" s="65">
        <v>0</v>
      </c>
      <c r="S6" s="65">
        <v>0</v>
      </c>
      <c r="T6" s="65">
        <v>0</v>
      </c>
      <c r="U6" s="65">
        <v>0</v>
      </c>
      <c r="V6" s="65">
        <v>0</v>
      </c>
    </row>
    <row r="7" spans="1:82" x14ac:dyDescent="0.4">
      <c r="H7" s="21"/>
      <c r="I7" s="21"/>
      <c r="J7" s="21" t="str">
        <f xml:space="preserve"> _xll.EPMOlapMemberO("[KEY_FIGURES].[].[ADJDELIVQTY]","","Delivered Qty Adjusted","","000")</f>
        <v>Delivered Qty Adjusted</v>
      </c>
      <c r="K7" s="64"/>
      <c r="L7" s="64"/>
      <c r="M7" s="64"/>
      <c r="N7" s="64"/>
      <c r="O7" s="64"/>
      <c r="P7" s="64"/>
      <c r="Q7" s="64"/>
      <c r="R7" s="64"/>
      <c r="S7" s="64"/>
      <c r="T7" s="64"/>
      <c r="U7" s="64"/>
      <c r="V7" s="64"/>
    </row>
    <row r="8" spans="1:82" x14ac:dyDescent="0.4">
      <c r="H8" s="21"/>
      <c r="I8" s="21"/>
      <c r="J8" s="21" t="str">
        <f xml:space="preserve"> _xll.EPMOlapMemberO("[KEY_FIGURES].[].[ACTUALSPRICE]","","Actuals Price","","000")</f>
        <v>Actuals Price</v>
      </c>
      <c r="K8" s="24"/>
      <c r="L8" s="24"/>
      <c r="M8" s="24"/>
      <c r="N8" s="24"/>
      <c r="O8" s="24"/>
      <c r="P8" s="24"/>
      <c r="Q8" s="24"/>
      <c r="R8" s="24"/>
      <c r="S8" s="24"/>
      <c r="T8" s="24"/>
      <c r="U8" s="24"/>
      <c r="V8" s="24"/>
    </row>
    <row r="9" spans="1:82" x14ac:dyDescent="0.4">
      <c r="H9" s="21"/>
      <c r="I9" s="21"/>
      <c r="J9" s="21" t="str">
        <f xml:space="preserve"> _xll.EPMOlapMemberO("[KEY_FIGURES].[].[ACTUALSREV]","","Actuals Revenue","","000")</f>
        <v>Actuals Revenue</v>
      </c>
      <c r="K9" s="64"/>
      <c r="L9" s="64"/>
      <c r="M9" s="64"/>
      <c r="N9" s="64"/>
      <c r="O9" s="64"/>
      <c r="P9" s="64"/>
      <c r="Q9" s="64"/>
      <c r="R9" s="24"/>
      <c r="S9" s="24"/>
      <c r="T9" s="24"/>
      <c r="U9" s="24"/>
      <c r="V9" s="24"/>
    </row>
    <row r="10" spans="1:82" x14ac:dyDescent="0.4">
      <c r="H10" s="21"/>
      <c r="I10" s="21"/>
      <c r="J10" s="21" t="str">
        <f xml:space="preserve"> _xll.EPMOlapMemberO("[KEY_FIGURES].[].[RBCALCULATEDNEGATIV]","","Calculated Stored Negativ","","000")</f>
        <v>Calculated Stored Negativ</v>
      </c>
      <c r="K10" s="64"/>
      <c r="L10" s="64"/>
      <c r="M10" s="64"/>
      <c r="N10" s="64"/>
      <c r="O10" s="64"/>
      <c r="P10" s="64"/>
      <c r="Q10" s="64"/>
      <c r="R10" s="64"/>
      <c r="S10" s="64"/>
      <c r="T10" s="64"/>
      <c r="U10" s="64"/>
      <c r="V10" s="64"/>
    </row>
    <row r="11" spans="1:82" x14ac:dyDescent="0.4">
      <c r="H11" s="21"/>
      <c r="I11" s="21"/>
      <c r="J11" s="21" t="str">
        <f xml:space="preserve"> _xll.EPMOlapMemberO("[KEY_FIGURES].[].[CONSENSUSDEMANDREV]","","Consensus Demand Plan Revenue","","000")</f>
        <v>Consensus Demand Plan Revenue</v>
      </c>
      <c r="K11" s="24"/>
      <c r="L11" s="24"/>
      <c r="M11" s="24"/>
      <c r="N11" s="24"/>
      <c r="O11" s="24"/>
      <c r="P11" s="24"/>
      <c r="Q11" s="24"/>
      <c r="R11" s="24"/>
      <c r="S11" s="24"/>
      <c r="T11" s="24"/>
      <c r="U11" s="24"/>
      <c r="V11" s="24"/>
    </row>
    <row r="12" spans="1:82" x14ac:dyDescent="0.4">
      <c r="H12" s="21"/>
      <c r="I12" s="21" t="str">
        <f xml:space="preserve"> _xll.EPMOlapMemberO("[LOCID].[].[HD_DC_FR]","","HD_DC_FR","","000")</f>
        <v>HD_DC_FR</v>
      </c>
      <c r="J12" s="21" t="str">
        <f xml:space="preserve"> _xll.EPMOlapMemberO("[KEY_FIGURES].[].[CONSENSUSDEMAND]","","Consensus Demand without Promotion","","000")</f>
        <v>Consensus Demand without Promotion</v>
      </c>
      <c r="K12" s="65">
        <v>0</v>
      </c>
      <c r="L12" s="65">
        <v>207259.25399999999</v>
      </c>
      <c r="M12" s="65">
        <v>139871.39499999999</v>
      </c>
      <c r="N12" s="65">
        <v>103149.5</v>
      </c>
      <c r="O12" s="65">
        <v>404339.78</v>
      </c>
      <c r="P12" s="65">
        <v>231915</v>
      </c>
      <c r="Q12" s="65">
        <v>103120.254</v>
      </c>
      <c r="R12" s="65">
        <v>264079.75</v>
      </c>
      <c r="S12" s="65">
        <v>422702.75</v>
      </c>
      <c r="T12" s="65">
        <v>487998.25199999998</v>
      </c>
      <c r="U12" s="65">
        <v>307036.75</v>
      </c>
      <c r="V12" s="65">
        <v>92836</v>
      </c>
    </row>
    <row r="13" spans="1:82" x14ac:dyDescent="0.4">
      <c r="H13" s="21"/>
      <c r="I13" s="21"/>
      <c r="J13" s="21" t="str">
        <f xml:space="preserve"> _xll.EPMOlapMemberO("[KEY_FIGURES].[].[FINALCONSENSUSDEMAND]","","Consensus Demand","","000")</f>
        <v>Consensus Demand</v>
      </c>
      <c r="K13" s="24">
        <v>0</v>
      </c>
      <c r="L13" s="24">
        <v>207259.25399999999</v>
      </c>
      <c r="M13" s="24">
        <v>139871.39499999999</v>
      </c>
      <c r="N13" s="24">
        <v>103149.5</v>
      </c>
      <c r="O13" s="24">
        <v>404339.78</v>
      </c>
      <c r="P13" s="24">
        <v>231915</v>
      </c>
      <c r="Q13" s="24">
        <v>103120.254</v>
      </c>
      <c r="R13" s="24">
        <v>264079.75</v>
      </c>
      <c r="S13" s="24">
        <v>422702.75</v>
      </c>
      <c r="T13" s="24">
        <v>487998.25199999998</v>
      </c>
      <c r="U13" s="24">
        <v>307036.75</v>
      </c>
      <c r="V13" s="24">
        <v>92836</v>
      </c>
    </row>
    <row r="14" spans="1:82" x14ac:dyDescent="0.4">
      <c r="H14" s="21"/>
      <c r="I14" s="21"/>
      <c r="J14" s="21" t="str">
        <f xml:space="preserve"> _xll.EPMOlapMemberO("[KEY_FIGURES].[].[DEMANDPLANNINGQTY]","","Demand Planning Qty","","000")</f>
        <v>Demand Planning Qty</v>
      </c>
      <c r="K14" s="66">
        <v>0</v>
      </c>
      <c r="L14" s="66">
        <v>0</v>
      </c>
      <c r="M14" s="66">
        <v>0</v>
      </c>
      <c r="N14" s="66">
        <v>0</v>
      </c>
      <c r="O14" s="66">
        <v>150092</v>
      </c>
      <c r="P14" s="66">
        <v>150092</v>
      </c>
      <c r="Q14" s="66">
        <v>150092</v>
      </c>
      <c r="R14" s="65">
        <v>0</v>
      </c>
      <c r="S14" s="65">
        <v>0</v>
      </c>
      <c r="T14" s="65">
        <v>0</v>
      </c>
      <c r="U14" s="65">
        <v>0</v>
      </c>
      <c r="V14" s="65">
        <v>0</v>
      </c>
    </row>
    <row r="15" spans="1:82" x14ac:dyDescent="0.4">
      <c r="H15" s="21"/>
      <c r="I15" s="21"/>
      <c r="J15" s="21" t="str">
        <f xml:space="preserve"> _xll.EPMOlapMemberO("[KEY_FIGURES].[].[ADJDELIVQTY]","","Delivered Qty Adjusted","","000")</f>
        <v>Delivered Qty Adjusted</v>
      </c>
      <c r="K15" s="64"/>
      <c r="L15" s="64"/>
      <c r="M15" s="64"/>
      <c r="N15" s="64"/>
      <c r="O15" s="64"/>
      <c r="P15" s="64"/>
      <c r="Q15" s="64"/>
      <c r="R15" s="64"/>
      <c r="S15" s="64"/>
      <c r="T15" s="64"/>
      <c r="U15" s="64"/>
      <c r="V15" s="64"/>
    </row>
    <row r="16" spans="1:82" x14ac:dyDescent="0.4">
      <c r="H16" s="21"/>
      <c r="I16" s="21"/>
      <c r="J16" s="21" t="str">
        <f xml:space="preserve"> _xll.EPMOlapMemberO("[KEY_FIGURES].[].[ACTUALSPRICE]","","Actuals Price","","000")</f>
        <v>Actuals Price</v>
      </c>
      <c r="K16" s="24"/>
      <c r="L16" s="24"/>
      <c r="M16" s="24"/>
      <c r="N16" s="24"/>
      <c r="O16" s="24"/>
      <c r="P16" s="24"/>
      <c r="Q16" s="24"/>
      <c r="R16" s="24"/>
      <c r="S16" s="24"/>
      <c r="T16" s="24"/>
      <c r="U16" s="24"/>
      <c r="V16" s="24"/>
    </row>
    <row r="17" spans="8:22" x14ac:dyDescent="0.4">
      <c r="H17" s="21"/>
      <c r="I17" s="21"/>
      <c r="J17" s="21" t="str">
        <f xml:space="preserve"> _xll.EPMOlapMemberO("[KEY_FIGURES].[].[ACTUALSREV]","","Actuals Revenue","","000")</f>
        <v>Actuals Revenue</v>
      </c>
      <c r="K17" s="64"/>
      <c r="L17" s="64"/>
      <c r="M17" s="64"/>
      <c r="N17" s="64"/>
      <c r="O17" s="64"/>
      <c r="P17" s="64"/>
      <c r="Q17" s="64"/>
      <c r="R17" s="24"/>
      <c r="S17" s="24"/>
      <c r="T17" s="24"/>
      <c r="U17" s="24"/>
      <c r="V17" s="24"/>
    </row>
    <row r="18" spans="8:22" x14ac:dyDescent="0.4">
      <c r="H18" s="21"/>
      <c r="I18" s="21"/>
      <c r="J18" s="21" t="str">
        <f xml:space="preserve"> _xll.EPMOlapMemberO("[KEY_FIGURES].[].[RBCALCULATEDNEGATIV]","","Calculated Stored Negativ","","000")</f>
        <v>Calculated Stored Negativ</v>
      </c>
      <c r="K18" s="64"/>
      <c r="L18" s="64"/>
      <c r="M18" s="64"/>
      <c r="N18" s="64"/>
      <c r="O18" s="64"/>
      <c r="P18" s="64"/>
      <c r="Q18" s="64"/>
      <c r="R18" s="64"/>
      <c r="S18" s="64"/>
      <c r="T18" s="64"/>
      <c r="U18" s="64"/>
      <c r="V18" s="64"/>
    </row>
    <row r="19" spans="8:22" x14ac:dyDescent="0.4">
      <c r="H19" s="21"/>
      <c r="I19" s="21"/>
      <c r="J19" s="21" t="str">
        <f xml:space="preserve"> _xll.EPMOlapMemberO("[KEY_FIGURES].[].[CONSENSUSDEMANDREV]","","Consensus Demand Plan Revenue","","000")</f>
        <v>Consensus Demand Plan Revenue</v>
      </c>
      <c r="K19" s="24"/>
      <c r="L19" s="24"/>
      <c r="M19" s="24"/>
      <c r="N19" s="24"/>
      <c r="O19" s="24"/>
      <c r="P19" s="24"/>
      <c r="Q19" s="24"/>
      <c r="R19" s="24"/>
      <c r="S19" s="24"/>
      <c r="T19" s="24"/>
      <c r="U19" s="24"/>
      <c r="V19" s="24"/>
    </row>
    <row r="20" spans="8:22" x14ac:dyDescent="0.4">
      <c r="H20" s="21"/>
      <c r="I20" s="21" t="str">
        <f xml:space="preserve"> _xll.EPMOlapMemberO("[LOCID].[].[HD_DC_US_E]","","HD_DC_US_E","","000")</f>
        <v>HD_DC_US_E</v>
      </c>
      <c r="J20" s="21" t="str">
        <f xml:space="preserve"> _xll.EPMOlapMemberO("[KEY_FIGURES].[].[CONSENSUSDEMAND]","","Consensus Demand without Promotion","","000")</f>
        <v>Consensus Demand without Promotion</v>
      </c>
      <c r="K20" s="65">
        <v>0</v>
      </c>
      <c r="L20" s="65">
        <v>207259.25700000001</v>
      </c>
      <c r="M20" s="65">
        <v>139871.39199999999</v>
      </c>
      <c r="N20" s="65">
        <v>103149.5</v>
      </c>
      <c r="O20" s="65">
        <v>404339.78</v>
      </c>
      <c r="P20" s="65">
        <v>231915</v>
      </c>
      <c r="Q20" s="65">
        <v>103120.25</v>
      </c>
      <c r="R20" s="65">
        <v>264079.75</v>
      </c>
      <c r="S20" s="65">
        <v>422702.75</v>
      </c>
      <c r="T20" s="65">
        <v>487998.25</v>
      </c>
      <c r="U20" s="65">
        <v>307036.75</v>
      </c>
      <c r="V20" s="65">
        <v>92836</v>
      </c>
    </row>
    <row r="21" spans="8:22" x14ac:dyDescent="0.4">
      <c r="H21" s="21"/>
      <c r="I21" s="21"/>
      <c r="J21" s="21" t="str">
        <f xml:space="preserve"> _xll.EPMOlapMemberO("[KEY_FIGURES].[].[FINALCONSENSUSDEMAND]","","Consensus Demand","","000")</f>
        <v>Consensus Demand</v>
      </c>
      <c r="K21" s="24">
        <v>0</v>
      </c>
      <c r="L21" s="24">
        <v>207259.25700000001</v>
      </c>
      <c r="M21" s="24">
        <v>139871.39199999999</v>
      </c>
      <c r="N21" s="24">
        <v>103149.5</v>
      </c>
      <c r="O21" s="24">
        <v>404339.78</v>
      </c>
      <c r="P21" s="24">
        <v>231915</v>
      </c>
      <c r="Q21" s="24">
        <v>103120.25</v>
      </c>
      <c r="R21" s="24">
        <v>264079.75</v>
      </c>
      <c r="S21" s="24">
        <v>422702.75</v>
      </c>
      <c r="T21" s="24">
        <v>487998.25</v>
      </c>
      <c r="U21" s="24">
        <v>307036.75</v>
      </c>
      <c r="V21" s="24">
        <v>92836</v>
      </c>
    </row>
    <row r="22" spans="8:22" x14ac:dyDescent="0.4">
      <c r="H22" s="21"/>
      <c r="I22" s="21"/>
      <c r="J22" s="21" t="str">
        <f xml:space="preserve"> _xll.EPMOlapMemberO("[KEY_FIGURES].[].[DEMANDPLANNINGQTY]","","Demand Planning Qty","","000")</f>
        <v>Demand Planning Qty</v>
      </c>
      <c r="K22" s="66">
        <v>0</v>
      </c>
      <c r="L22" s="66">
        <v>0</v>
      </c>
      <c r="M22" s="66">
        <v>0</v>
      </c>
      <c r="N22" s="66">
        <v>0</v>
      </c>
      <c r="O22" s="66">
        <v>150092</v>
      </c>
      <c r="P22" s="66">
        <v>150092</v>
      </c>
      <c r="Q22" s="66">
        <v>150092</v>
      </c>
      <c r="R22" s="65">
        <v>0</v>
      </c>
      <c r="S22" s="65">
        <v>0</v>
      </c>
      <c r="T22" s="65">
        <v>0</v>
      </c>
      <c r="U22" s="65">
        <v>0</v>
      </c>
      <c r="V22" s="65">
        <v>0</v>
      </c>
    </row>
    <row r="23" spans="8:22" x14ac:dyDescent="0.4">
      <c r="H23" s="21"/>
      <c r="I23" s="21"/>
      <c r="J23" s="21" t="str">
        <f xml:space="preserve"> _xll.EPMOlapMemberO("[KEY_FIGURES].[].[ADJDELIVQTY]","","Delivered Qty Adjusted","","000")</f>
        <v>Delivered Qty Adjusted</v>
      </c>
      <c r="K23" s="64"/>
      <c r="L23" s="64"/>
      <c r="M23" s="64"/>
      <c r="N23" s="64"/>
      <c r="O23" s="64"/>
      <c r="P23" s="64"/>
      <c r="Q23" s="64"/>
      <c r="R23" s="64"/>
      <c r="S23" s="64"/>
      <c r="T23" s="64"/>
      <c r="U23" s="64"/>
      <c r="V23" s="64"/>
    </row>
    <row r="24" spans="8:22" x14ac:dyDescent="0.4">
      <c r="H24" s="21"/>
      <c r="I24" s="21"/>
      <c r="J24" s="21" t="str">
        <f xml:space="preserve"> _xll.EPMOlapMemberO("[KEY_FIGURES].[].[ACTUALSPRICE]","","Actuals Price","","000")</f>
        <v>Actuals Price</v>
      </c>
      <c r="K24" s="24"/>
      <c r="L24" s="24"/>
      <c r="M24" s="24"/>
      <c r="N24" s="24"/>
      <c r="O24" s="24"/>
      <c r="P24" s="24"/>
      <c r="Q24" s="24"/>
      <c r="R24" s="24"/>
      <c r="S24" s="24"/>
      <c r="T24" s="24"/>
      <c r="U24" s="24"/>
      <c r="V24" s="24"/>
    </row>
    <row r="25" spans="8:22" x14ac:dyDescent="0.4">
      <c r="H25" s="21"/>
      <c r="I25" s="21"/>
      <c r="J25" s="21" t="str">
        <f xml:space="preserve"> _xll.EPMOlapMemberO("[KEY_FIGURES].[].[ACTUALSREV]","","Actuals Revenue","","000")</f>
        <v>Actuals Revenue</v>
      </c>
      <c r="K25" s="64"/>
      <c r="L25" s="64"/>
      <c r="M25" s="64"/>
      <c r="N25" s="64"/>
      <c r="O25" s="64"/>
      <c r="P25" s="64"/>
      <c r="Q25" s="64"/>
      <c r="R25" s="24"/>
      <c r="S25" s="24"/>
      <c r="T25" s="24"/>
      <c r="U25" s="24"/>
      <c r="V25" s="24"/>
    </row>
    <row r="26" spans="8:22" x14ac:dyDescent="0.4">
      <c r="H26" s="21"/>
      <c r="I26" s="21"/>
      <c r="J26" s="21" t="str">
        <f xml:space="preserve"> _xll.EPMOlapMemberO("[KEY_FIGURES].[].[RBCALCULATEDNEGATIV]","","Calculated Stored Negativ","","000")</f>
        <v>Calculated Stored Negativ</v>
      </c>
      <c r="K26" s="64"/>
      <c r="L26" s="64"/>
      <c r="M26" s="64"/>
      <c r="N26" s="64"/>
      <c r="O26" s="64"/>
      <c r="P26" s="64"/>
      <c r="Q26" s="64"/>
      <c r="R26" s="64"/>
      <c r="S26" s="64"/>
      <c r="T26" s="64"/>
      <c r="U26" s="64"/>
      <c r="V26" s="64"/>
    </row>
    <row r="27" spans="8:22" x14ac:dyDescent="0.4">
      <c r="H27" s="21"/>
      <c r="I27" s="21"/>
      <c r="J27" s="21" t="str">
        <f xml:space="preserve"> _xll.EPMOlapMemberO("[KEY_FIGURES].[].[CONSENSUSDEMANDREV]","","Consensus Demand Plan Revenue","","000")</f>
        <v>Consensus Demand Plan Revenue</v>
      </c>
      <c r="K27" s="24"/>
      <c r="L27" s="24"/>
      <c r="M27" s="24"/>
      <c r="N27" s="24"/>
      <c r="O27" s="24"/>
      <c r="P27" s="24"/>
      <c r="Q27" s="24"/>
      <c r="R27" s="24"/>
      <c r="S27" s="24"/>
      <c r="T27" s="24"/>
      <c r="U27" s="24"/>
      <c r="V27" s="24"/>
    </row>
    <row r="28" spans="8:22" x14ac:dyDescent="0.4">
      <c r="H28" s="21"/>
      <c r="I28" s="21" t="str">
        <f xml:space="preserve"> _xll.EPMOlapMemberO("[LOCID].[].[HD_DC_US_W]","","HD_DC_US_W","","000")</f>
        <v>HD_DC_US_W</v>
      </c>
      <c r="J28" s="21" t="str">
        <f xml:space="preserve"> _xll.EPMOlapMemberO("[KEY_FIGURES].[].[CONSENSUSDEMAND]","","Consensus Demand without Promotion","","000")</f>
        <v>Consensus Demand without Promotion</v>
      </c>
      <c r="K28" s="65">
        <v>0</v>
      </c>
      <c r="L28" s="65">
        <v>207259.25700000001</v>
      </c>
      <c r="M28" s="65">
        <v>139871.39499999999</v>
      </c>
      <c r="N28" s="65">
        <v>103149.5</v>
      </c>
      <c r="O28" s="65">
        <v>404339.78</v>
      </c>
      <c r="P28" s="65">
        <v>231915</v>
      </c>
      <c r="Q28" s="65">
        <v>103120.24800000001</v>
      </c>
      <c r="R28" s="65">
        <v>264079.75</v>
      </c>
      <c r="S28" s="65">
        <v>422702.75</v>
      </c>
      <c r="T28" s="65">
        <v>487998.24599999998</v>
      </c>
      <c r="U28" s="65">
        <v>307036.75</v>
      </c>
      <c r="V28" s="65">
        <v>92836</v>
      </c>
    </row>
    <row r="29" spans="8:22" x14ac:dyDescent="0.4">
      <c r="H29" s="21"/>
      <c r="I29" s="21"/>
      <c r="J29" s="21" t="str">
        <f xml:space="preserve"> _xll.EPMOlapMemberO("[KEY_FIGURES].[].[FINALCONSENSUSDEMAND]","","Consensus Demand","","000")</f>
        <v>Consensus Demand</v>
      </c>
      <c r="K29" s="24">
        <v>0</v>
      </c>
      <c r="L29" s="24">
        <v>207259.25700000001</v>
      </c>
      <c r="M29" s="24">
        <v>139871.39499999999</v>
      </c>
      <c r="N29" s="24">
        <v>103149.5</v>
      </c>
      <c r="O29" s="24">
        <v>404339.78</v>
      </c>
      <c r="P29" s="24">
        <v>231915</v>
      </c>
      <c r="Q29" s="24">
        <v>103120.24800000001</v>
      </c>
      <c r="R29" s="24">
        <v>264079.75</v>
      </c>
      <c r="S29" s="24">
        <v>422702.75</v>
      </c>
      <c r="T29" s="24">
        <v>487998.24599999998</v>
      </c>
      <c r="U29" s="24">
        <v>307036.75</v>
      </c>
      <c r="V29" s="24">
        <v>92836</v>
      </c>
    </row>
    <row r="30" spans="8:22" x14ac:dyDescent="0.4">
      <c r="H30" s="21"/>
      <c r="I30" s="21"/>
      <c r="J30" s="21" t="str">
        <f xml:space="preserve"> _xll.EPMOlapMemberO("[KEY_FIGURES].[].[DEMANDPLANNINGQTY]","","Demand Planning Qty","","000")</f>
        <v>Demand Planning Qty</v>
      </c>
      <c r="K30" s="66">
        <v>0</v>
      </c>
      <c r="L30" s="66">
        <v>0</v>
      </c>
      <c r="M30" s="66">
        <v>0</v>
      </c>
      <c r="N30" s="66">
        <v>0</v>
      </c>
      <c r="O30" s="66">
        <v>150092</v>
      </c>
      <c r="P30" s="66">
        <v>150092</v>
      </c>
      <c r="Q30" s="66">
        <v>150092</v>
      </c>
      <c r="R30" s="65">
        <v>0</v>
      </c>
      <c r="S30" s="65">
        <v>0</v>
      </c>
      <c r="T30" s="65">
        <v>0</v>
      </c>
      <c r="U30" s="65">
        <v>0</v>
      </c>
      <c r="V30" s="65">
        <v>0</v>
      </c>
    </row>
    <row r="31" spans="8:22" x14ac:dyDescent="0.4">
      <c r="H31" s="21"/>
      <c r="I31" s="21"/>
      <c r="J31" s="21" t="str">
        <f xml:space="preserve"> _xll.EPMOlapMemberO("[KEY_FIGURES].[].[ADJDELIVQTY]","","Delivered Qty Adjusted","","000")</f>
        <v>Delivered Qty Adjusted</v>
      </c>
      <c r="K31" s="64"/>
      <c r="L31" s="64">
        <v>1</v>
      </c>
      <c r="M31" s="64">
        <v>2</v>
      </c>
      <c r="N31" s="64">
        <v>3</v>
      </c>
      <c r="O31" s="64">
        <v>4</v>
      </c>
      <c r="P31" s="64">
        <v>5</v>
      </c>
      <c r="Q31" s="64">
        <v>6</v>
      </c>
      <c r="R31" s="64">
        <v>7</v>
      </c>
      <c r="S31" s="64"/>
      <c r="T31" s="64"/>
      <c r="U31" s="64"/>
      <c r="V31" s="64"/>
    </row>
    <row r="32" spans="8:22" x14ac:dyDescent="0.4">
      <c r="H32" s="21"/>
      <c r="I32" s="21"/>
      <c r="J32" s="21" t="str">
        <f xml:space="preserve"> _xll.EPMOlapMemberO("[KEY_FIGURES].[].[ACTUALSPRICE]","","Actuals Price","","000")</f>
        <v>Actuals Price</v>
      </c>
      <c r="K32" s="24"/>
      <c r="L32" s="24"/>
      <c r="M32" s="24"/>
      <c r="N32" s="24"/>
      <c r="O32" s="24"/>
      <c r="P32" s="24"/>
      <c r="Q32" s="24"/>
      <c r="R32" s="24"/>
      <c r="S32" s="24"/>
      <c r="T32" s="24"/>
      <c r="U32" s="24"/>
      <c r="V32" s="24"/>
    </row>
    <row r="33" spans="8:22" x14ac:dyDescent="0.4">
      <c r="H33" s="21"/>
      <c r="I33" s="21"/>
      <c r="J33" s="21" t="str">
        <f xml:space="preserve"> _xll.EPMOlapMemberO("[KEY_FIGURES].[].[ACTUALSREV]","","Actuals Revenue","","000")</f>
        <v>Actuals Revenue</v>
      </c>
      <c r="K33" s="64"/>
      <c r="L33" s="64"/>
      <c r="M33" s="64"/>
      <c r="N33" s="64"/>
      <c r="O33" s="64"/>
      <c r="P33" s="64"/>
      <c r="Q33" s="64"/>
      <c r="R33" s="24"/>
      <c r="S33" s="24"/>
      <c r="T33" s="24"/>
      <c r="U33" s="24"/>
      <c r="V33" s="24"/>
    </row>
    <row r="34" spans="8:22" x14ac:dyDescent="0.4">
      <c r="H34" s="21"/>
      <c r="I34" s="21"/>
      <c r="J34" s="21" t="str">
        <f xml:space="preserve"> _xll.EPMOlapMemberO("[KEY_FIGURES].[].[RBCALCULATEDNEGATIV]","","Calculated Stored Negativ","","000")</f>
        <v>Calculated Stored Negativ</v>
      </c>
      <c r="K34" s="64"/>
      <c r="L34" s="64"/>
      <c r="M34" s="64"/>
      <c r="N34" s="64"/>
      <c r="O34" s="64"/>
      <c r="P34" s="64"/>
      <c r="Q34" s="64"/>
      <c r="R34" s="64"/>
      <c r="S34" s="64"/>
      <c r="T34" s="64"/>
      <c r="U34" s="64"/>
      <c r="V34" s="64"/>
    </row>
    <row r="35" spans="8:22" x14ac:dyDescent="0.4">
      <c r="H35" s="21"/>
      <c r="I35" s="21"/>
      <c r="J35" s="21" t="str">
        <f xml:space="preserve"> _xll.EPMOlapMemberO("[KEY_FIGURES].[].[CONSENSUSDEMANDREV]","","Consensus Demand Plan Revenue","","000")</f>
        <v>Consensus Demand Plan Revenue</v>
      </c>
      <c r="K35" s="24"/>
      <c r="L35" s="24"/>
      <c r="M35" s="24"/>
      <c r="N35" s="24"/>
      <c r="O35" s="24"/>
      <c r="P35" s="24"/>
      <c r="Q35" s="24"/>
      <c r="R35" s="24"/>
      <c r="S35" s="24"/>
      <c r="T35" s="24"/>
      <c r="U35" s="24"/>
      <c r="V35" s="24"/>
    </row>
  </sheetData>
  <sheetProtection autoFilter="0"/>
  <autoFilter ref="H3:V35" xr:uid="{9DE24910-40E4-40DD-BFE6-D1B52E878A9D}"/>
  <mergeCells count="5">
    <mergeCell ref="A1:J1"/>
    <mergeCell ref="K1:P1"/>
    <mergeCell ref="Q1:V1"/>
    <mergeCell ref="A2:J2"/>
    <mergeCell ref="K2:V2"/>
  </mergeCells>
  <pageMargins left="0.7" right="0.7" top="0.75" bottom="0.75" header="0.3" footer="0.3"/>
  <pageSetup orientation="portrait" horizontalDpi="300" r:id="rId1"/>
  <customProperties>
    <customPr name="FPMExcelClientRefreshTime" r:id="rId2"/>
    <customPr name="IbpWorksheetKeyString_GUID" r:id="rId3"/>
  </customProperties>
  <drawing r:id="rId4"/>
  <legacyDrawing r:id="rId5"/>
  <picture r:id="rId6"/>
  <controls>
    <mc:AlternateContent xmlns:mc="http://schemas.openxmlformats.org/markup-compatibility/2006">
      <mc:Choice Requires="x14">
        <control shapeId="9234" r:id="rId7" name="AnalyzerDynReportDC000tb1">
          <controlPr defaultSize="0" autoLine="0" r:id="rId8">
            <anchor moveWithCells="1">
              <from>
                <xdr:col>10</xdr:col>
                <xdr:colOff>0</xdr:colOff>
                <xdr:row>3</xdr:row>
                <xdr:rowOff>0</xdr:rowOff>
              </from>
              <to>
                <xdr:col>11</xdr:col>
                <xdr:colOff>152400</xdr:colOff>
                <xdr:row>3</xdr:row>
                <xdr:rowOff>5443</xdr:rowOff>
              </to>
            </anchor>
          </controlPr>
        </control>
      </mc:Choice>
      <mc:Fallback>
        <control shapeId="9234" r:id="rId7" name="AnalyzerDynReportDC000tb1"/>
      </mc:Fallback>
    </mc:AlternateContent>
    <mc:AlternateContent xmlns:mc="http://schemas.openxmlformats.org/markup-compatibility/2006">
      <mc:Choice Requires="x14">
        <control shapeId="9233" r:id="rId9" name="AnalyzerDynReportHC000tb1">
          <controlPr defaultSize="0" autoLine="0" r:id="rId10">
            <anchor moveWithCells="1">
              <from>
                <xdr:col>10</xdr:col>
                <xdr:colOff>0</xdr:colOff>
                <xdr:row>3</xdr:row>
                <xdr:rowOff>0</xdr:rowOff>
              </from>
              <to>
                <xdr:col>11</xdr:col>
                <xdr:colOff>152400</xdr:colOff>
                <xdr:row>3</xdr:row>
                <xdr:rowOff>5443</xdr:rowOff>
              </to>
            </anchor>
          </controlPr>
        </control>
      </mc:Choice>
      <mc:Fallback>
        <control shapeId="9233" r:id="rId9" name="AnalyzerDynReportHC000tb1"/>
      </mc:Fallback>
    </mc:AlternateContent>
    <mc:AlternateContent xmlns:mc="http://schemas.openxmlformats.org/markup-compatibility/2006">
      <mc:Choice Requires="x14">
        <control shapeId="9232" r:id="rId11" name="ReportSubmitControl_1DCtb1">
          <controlPr defaultSize="0" autoLine="0" r:id="rId12">
            <anchor moveWithCells="1">
              <from>
                <xdr:col>10</xdr:col>
                <xdr:colOff>0</xdr:colOff>
                <xdr:row>3</xdr:row>
                <xdr:rowOff>0</xdr:rowOff>
              </from>
              <to>
                <xdr:col>11</xdr:col>
                <xdr:colOff>152400</xdr:colOff>
                <xdr:row>3</xdr:row>
                <xdr:rowOff>5443</xdr:rowOff>
              </to>
            </anchor>
          </controlPr>
        </control>
      </mc:Choice>
      <mc:Fallback>
        <control shapeId="9232" r:id="rId11" name="ReportSubmitControl_1DCtb1"/>
      </mc:Fallback>
    </mc:AlternateContent>
    <mc:AlternateContent xmlns:mc="http://schemas.openxmlformats.org/markup-compatibility/2006">
      <mc:Choice Requires="x14">
        <control shapeId="9231" r:id="rId13" name="ReportSubmitControl_1HCtb1">
          <controlPr defaultSize="0" autoLine="0" r:id="rId14">
            <anchor moveWithCells="1">
              <from>
                <xdr:col>10</xdr:col>
                <xdr:colOff>0</xdr:colOff>
                <xdr:row>3</xdr:row>
                <xdr:rowOff>0</xdr:rowOff>
              </from>
              <to>
                <xdr:col>11</xdr:col>
                <xdr:colOff>152400</xdr:colOff>
                <xdr:row>3</xdr:row>
                <xdr:rowOff>5443</xdr:rowOff>
              </to>
            </anchor>
          </controlPr>
        </control>
      </mc:Choice>
      <mc:Fallback>
        <control shapeId="9231" r:id="rId13" name="ReportSubmitControl_1HCtb1"/>
      </mc:Fallback>
    </mc:AlternateContent>
    <mc:AlternateContent xmlns:mc="http://schemas.openxmlformats.org/markup-compatibility/2006">
      <mc:Choice Requires="x14">
        <control shapeId="9230" r:id="rId15" name="ReportSubmitManagerControlDCtb1">
          <controlPr defaultSize="0" autoLine="0" r:id="rId16">
            <anchor moveWithCells="1">
              <from>
                <xdr:col>10</xdr:col>
                <xdr:colOff>0</xdr:colOff>
                <xdr:row>3</xdr:row>
                <xdr:rowOff>0</xdr:rowOff>
              </from>
              <to>
                <xdr:col>11</xdr:col>
                <xdr:colOff>152400</xdr:colOff>
                <xdr:row>3</xdr:row>
                <xdr:rowOff>5443</xdr:rowOff>
              </to>
            </anchor>
          </controlPr>
        </control>
      </mc:Choice>
      <mc:Fallback>
        <control shapeId="9230" r:id="rId15" name="ReportSubmitManagerControlDCtb1"/>
      </mc:Fallback>
    </mc:AlternateContent>
    <mc:AlternateContent xmlns:mc="http://schemas.openxmlformats.org/markup-compatibility/2006">
      <mc:Choice Requires="x14">
        <control shapeId="9229" r:id="rId17" name="ReportSubmitManagerControlHCtb1">
          <controlPr defaultSize="0" autoLine="0" r:id="rId18">
            <anchor moveWithCells="1">
              <from>
                <xdr:col>10</xdr:col>
                <xdr:colOff>0</xdr:colOff>
                <xdr:row>3</xdr:row>
                <xdr:rowOff>0</xdr:rowOff>
              </from>
              <to>
                <xdr:col>11</xdr:col>
                <xdr:colOff>152400</xdr:colOff>
                <xdr:row>3</xdr:row>
                <xdr:rowOff>5443</xdr:rowOff>
              </to>
            </anchor>
          </controlPr>
        </control>
      </mc:Choice>
      <mc:Fallback>
        <control shapeId="9229" r:id="rId17" name="ReportSubmitManagerControlHCtb1"/>
      </mc:Fallback>
    </mc:AlternateContent>
    <mc:AlternateContent xmlns:mc="http://schemas.openxmlformats.org/markup-compatibility/2006">
      <mc:Choice Requires="x14">
        <control shapeId="9228" r:id="rId19" name="MultipleReportManagerInfoDCtb1">
          <controlPr defaultSize="0" autoLine="0" r:id="rId20">
            <anchor moveWithCells="1">
              <from>
                <xdr:col>10</xdr:col>
                <xdr:colOff>0</xdr:colOff>
                <xdr:row>3</xdr:row>
                <xdr:rowOff>0</xdr:rowOff>
              </from>
              <to>
                <xdr:col>11</xdr:col>
                <xdr:colOff>152400</xdr:colOff>
                <xdr:row>3</xdr:row>
                <xdr:rowOff>5443</xdr:rowOff>
              </to>
            </anchor>
          </controlPr>
        </control>
      </mc:Choice>
      <mc:Fallback>
        <control shapeId="9228" r:id="rId19" name="MultipleReportManagerInfoDCtb1"/>
      </mc:Fallback>
    </mc:AlternateContent>
    <mc:AlternateContent xmlns:mc="http://schemas.openxmlformats.org/markup-compatibility/2006">
      <mc:Choice Requires="x14">
        <control shapeId="9227" r:id="rId21" name="MultipleReportManagerInfoHCtb1">
          <controlPr defaultSize="0" autoLine="0" r:id="rId22">
            <anchor moveWithCells="1">
              <from>
                <xdr:col>10</xdr:col>
                <xdr:colOff>0</xdr:colOff>
                <xdr:row>3</xdr:row>
                <xdr:rowOff>0</xdr:rowOff>
              </from>
              <to>
                <xdr:col>11</xdr:col>
                <xdr:colOff>152400</xdr:colOff>
                <xdr:row>3</xdr:row>
                <xdr:rowOff>5443</xdr:rowOff>
              </to>
            </anchor>
          </controlPr>
        </control>
      </mc:Choice>
      <mc:Fallback>
        <control shapeId="9227" r:id="rId21" name="MultipleReportManagerInfoHCtb1"/>
      </mc:Fallback>
    </mc:AlternateContent>
    <mc:AlternateContent xmlns:mc="http://schemas.openxmlformats.org/markup-compatibility/2006">
      <mc:Choice Requires="x14">
        <control shapeId="9226" r:id="rId23" name="ConnectionDescriptorsInfoDCtb1">
          <controlPr defaultSize="0" autoLine="0" r:id="rId24">
            <anchor moveWithCells="1">
              <from>
                <xdr:col>10</xdr:col>
                <xdr:colOff>0</xdr:colOff>
                <xdr:row>3</xdr:row>
                <xdr:rowOff>0</xdr:rowOff>
              </from>
              <to>
                <xdr:col>11</xdr:col>
                <xdr:colOff>152400</xdr:colOff>
                <xdr:row>3</xdr:row>
                <xdr:rowOff>5443</xdr:rowOff>
              </to>
            </anchor>
          </controlPr>
        </control>
      </mc:Choice>
      <mc:Fallback>
        <control shapeId="9226" r:id="rId23" name="ConnectionDescriptorsInfoDCtb1"/>
      </mc:Fallback>
    </mc:AlternateContent>
    <mc:AlternateContent xmlns:mc="http://schemas.openxmlformats.org/markup-compatibility/2006">
      <mc:Choice Requires="x14">
        <control shapeId="9225" r:id="rId25" name="ConnectionDescriptorsInfoHCtb1">
          <controlPr defaultSize="0" autoLine="0" r:id="rId26">
            <anchor moveWithCells="1">
              <from>
                <xdr:col>10</xdr:col>
                <xdr:colOff>0</xdr:colOff>
                <xdr:row>3</xdr:row>
                <xdr:rowOff>0</xdr:rowOff>
              </from>
              <to>
                <xdr:col>11</xdr:col>
                <xdr:colOff>152400</xdr:colOff>
                <xdr:row>3</xdr:row>
                <xdr:rowOff>5443</xdr:rowOff>
              </to>
            </anchor>
          </controlPr>
        </control>
      </mc:Choice>
      <mc:Fallback>
        <control shapeId="9225" r:id="rId25" name="ConnectionDescriptorsInfoHCtb1"/>
      </mc:Fallback>
    </mc:AlternateContent>
    <mc:AlternateContent xmlns:mc="http://schemas.openxmlformats.org/markup-compatibility/2006">
      <mc:Choice Requires="x14">
        <control shapeId="9224" r:id="rId27" name="ReportSubmitControl_1tb1">
          <controlPr defaultSize="0" autoLine="0" autoPict="0" r:id="rId28">
            <anchor moveWithCells="1" sizeWithCells="1">
              <from>
                <xdr:col>0</xdr:col>
                <xdr:colOff>0</xdr:colOff>
                <xdr:row>0</xdr:row>
                <xdr:rowOff>0</xdr:rowOff>
              </from>
              <to>
                <xdr:col>6</xdr:col>
                <xdr:colOff>97971</xdr:colOff>
                <xdr:row>0</xdr:row>
                <xdr:rowOff>0</xdr:rowOff>
              </to>
            </anchor>
          </controlPr>
        </control>
      </mc:Choice>
      <mc:Fallback>
        <control shapeId="9224" r:id="rId27" name="ReportSubmitControl_1tb1"/>
      </mc:Fallback>
    </mc:AlternateContent>
    <mc:AlternateContent xmlns:mc="http://schemas.openxmlformats.org/markup-compatibility/2006">
      <mc:Choice Requires="x14">
        <control shapeId="9223" r:id="rId29" name="ReportSubmitManagerControltb1">
          <controlPr defaultSize="0" autoLine="0" autoPict="0" r:id="rId30">
            <anchor moveWithCells="1" sizeWithCells="1">
              <from>
                <xdr:col>0</xdr:col>
                <xdr:colOff>0</xdr:colOff>
                <xdr:row>0</xdr:row>
                <xdr:rowOff>0</xdr:rowOff>
              </from>
              <to>
                <xdr:col>6</xdr:col>
                <xdr:colOff>97971</xdr:colOff>
                <xdr:row>0</xdr:row>
                <xdr:rowOff>0</xdr:rowOff>
              </to>
            </anchor>
          </controlPr>
        </control>
      </mc:Choice>
      <mc:Fallback>
        <control shapeId="9223" r:id="rId29" name="ReportSubmitManagerControltb1"/>
      </mc:Fallback>
    </mc:AlternateContent>
    <mc:AlternateContent xmlns:mc="http://schemas.openxmlformats.org/markup-compatibility/2006">
      <mc:Choice Requires="x14">
        <control shapeId="9222" r:id="rId31" name="MultipleReportManagerInfotb1">
          <controlPr defaultSize="0" autoLine="0" autoPict="0" r:id="rId32">
            <anchor moveWithCells="1" sizeWithCells="1">
              <from>
                <xdr:col>0</xdr:col>
                <xdr:colOff>0</xdr:colOff>
                <xdr:row>0</xdr:row>
                <xdr:rowOff>0</xdr:rowOff>
              </from>
              <to>
                <xdr:col>6</xdr:col>
                <xdr:colOff>97971</xdr:colOff>
                <xdr:row>0</xdr:row>
                <xdr:rowOff>0</xdr:rowOff>
              </to>
            </anchor>
          </controlPr>
        </control>
      </mc:Choice>
      <mc:Fallback>
        <control shapeId="9222" r:id="rId31" name="MultipleReportManagerInfotb1"/>
      </mc:Fallback>
    </mc:AlternateContent>
    <mc:AlternateContent xmlns:mc="http://schemas.openxmlformats.org/markup-compatibility/2006">
      <mc:Choice Requires="x14">
        <control shapeId="9221" r:id="rId33" name="ConnectionDescriptorsInfotb1">
          <controlPr defaultSize="0" autoLine="0" autoPict="0" r:id="rId34">
            <anchor moveWithCells="1" sizeWithCells="1">
              <from>
                <xdr:col>0</xdr:col>
                <xdr:colOff>0</xdr:colOff>
                <xdr:row>0</xdr:row>
                <xdr:rowOff>0</xdr:rowOff>
              </from>
              <to>
                <xdr:col>6</xdr:col>
                <xdr:colOff>97971</xdr:colOff>
                <xdr:row>0</xdr:row>
                <xdr:rowOff>0</xdr:rowOff>
              </to>
            </anchor>
          </controlPr>
        </control>
      </mc:Choice>
      <mc:Fallback>
        <control shapeId="9221" r:id="rId33" name="ConnectionDescriptorsInfotb1"/>
      </mc:Fallback>
    </mc:AlternateContent>
    <mc:AlternateContent xmlns:mc="http://schemas.openxmlformats.org/markup-compatibility/2006">
      <mc:Choice Requires="x14">
        <control shapeId="9220" r:id="rId35" name="AnalyzerDynReport000tb1">
          <controlPr defaultSize="0" autoLine="0" autoPict="0" r:id="rId36">
            <anchor moveWithCells="1" sizeWithCells="1">
              <from>
                <xdr:col>0</xdr:col>
                <xdr:colOff>0</xdr:colOff>
                <xdr:row>0</xdr:row>
                <xdr:rowOff>0</xdr:rowOff>
              </from>
              <to>
                <xdr:col>6</xdr:col>
                <xdr:colOff>97971</xdr:colOff>
                <xdr:row>0</xdr:row>
                <xdr:rowOff>0</xdr:rowOff>
              </to>
            </anchor>
          </controlPr>
        </control>
      </mc:Choice>
      <mc:Fallback>
        <control shapeId="9220" r:id="rId35" name="AnalyzerDynReport000tb1"/>
      </mc:Fallback>
    </mc:AlternateContent>
    <mc:AlternateContent xmlns:mc="http://schemas.openxmlformats.org/markup-compatibility/2006">
      <mc:Choice Requires="x14">
        <control shapeId="9219" r:id="rId37" name="TextBox2">
          <controlPr defaultSize="0" disabled="1" autoLine="0" r:id="rId38">
            <anchor>
              <from>
                <xdr:col>8</xdr:col>
                <xdr:colOff>631371</xdr:colOff>
                <xdr:row>2</xdr:row>
                <xdr:rowOff>152400</xdr:rowOff>
              </from>
              <to>
                <xdr:col>8</xdr:col>
                <xdr:colOff>636814</xdr:colOff>
                <xdr:row>2</xdr:row>
                <xdr:rowOff>157843</xdr:rowOff>
              </to>
            </anchor>
          </controlPr>
        </control>
      </mc:Choice>
      <mc:Fallback>
        <control shapeId="9219" r:id="rId37" name="TextBox2"/>
      </mc:Fallback>
    </mc:AlternateContent>
    <mc:AlternateContent xmlns:mc="http://schemas.openxmlformats.org/markup-compatibility/2006">
      <mc:Choice Requires="x14">
        <control shapeId="9218" r:id="rId39" name="TextBox1">
          <controlPr defaultSize="0" disabled="1" autoLine="0" r:id="rId40">
            <anchor>
              <from>
                <xdr:col>0</xdr:col>
                <xdr:colOff>38100</xdr:colOff>
                <xdr:row>2</xdr:row>
                <xdr:rowOff>152400</xdr:rowOff>
              </from>
              <to>
                <xdr:col>0</xdr:col>
                <xdr:colOff>43543</xdr:colOff>
                <xdr:row>2</xdr:row>
                <xdr:rowOff>157843</xdr:rowOff>
              </to>
            </anchor>
          </controlPr>
        </control>
      </mc:Choice>
      <mc:Fallback>
        <control shapeId="9218" r:id="rId39" name="TextBox1"/>
      </mc:Fallback>
    </mc:AlternateContent>
    <mc:AlternateContent xmlns:mc="http://schemas.openxmlformats.org/markup-compatibility/2006">
      <mc:Choice Requires="x14">
        <control shapeId="9217" r:id="rId41" name="FPMExcelClientSheetOptionstb1">
          <controlPr defaultSize="0" autoLine="0" r:id="rId42">
            <anchor moveWithCells="1" sizeWithCells="1">
              <from>
                <xdr:col>0</xdr:col>
                <xdr:colOff>0</xdr:colOff>
                <xdr:row>0</xdr:row>
                <xdr:rowOff>0</xdr:rowOff>
              </from>
              <to>
                <xdr:col>0</xdr:col>
                <xdr:colOff>0</xdr:colOff>
                <xdr:row>0</xdr:row>
                <xdr:rowOff>0</xdr:rowOff>
              </to>
            </anchor>
          </controlPr>
        </control>
      </mc:Choice>
      <mc:Fallback>
        <control shapeId="9217" r:id="rId41" name="FPMExcelClientSheetOptions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template xmlns="">0001 Balazs Refernce Template</template>
  <favorite xmlns="">Main and Details View</favorite>
  <bookSettings xmlns="">
    <scenarios>
      <value>__BASELINE</value>
    </scenarios>
    <simulations>
      <value>__PLAN</value>
    </simulations>
    <planningUnits>
      <planningVersion>__BASELINE</planningVersion>
      <planningScenario>__PLAN</planningScenario>
      <timeRelativeFromDays>0</timeRelativeFromDays>
      <timeRelativeToDays>51</timeRelativeToDays>
    </planningUnits>
    <dimsDispOptnId/>
    <dimsDispOptnBoth/>
    <dimsTmpltFltrMandatory/>
    <dimsTmpltFltrOptional/>
    <planningScopeSopV2/>
  </bookSettings>
  <report_Sheet2 xmlns="">
    <settings>
      <flexibleTime>
        <time>
          <dimension>PERIODID3</dimension>
          <rolling>0</rolling>
          <mode>0</mode>
          <totalName/>
          <realTime>false</realTime>
          <fromAbsolute>70637</fromAbsolute>
          <toAbsolute>70648</toAbsolute>
          <fromRelative>-30</fromRelative>
          <toRelative>29</toRelative>
          <fromTimeAbsolute>0001-01-01T00:00:00</fromTimeAbsolute>
          <toTimeAbsolute>0001-01-01T00:00:00</toTimeAbsolute>
          <fromTimeRelativeInDays>-30</fromTimeRelativeInDays>
          <toTimeRelativeInDays>29</toTimeRelativeInDays>
        </time>
      </flexibleTime>
      <planningLevels>
        <value>PRDID</value>
      </planningLevels>
      <keyFigures>
        <value>CONSENSUSDEMAND</value>
      </keyFigures>
      <conversions>
        <conversion>
          <dimension>CURRTOID</dimension>
          <member>EUR</member>
        </conversion>
        <conversion>
          <dimension>UOMTOID</dimension>
          <member>PC</member>
        </conversion>
      </conversions>
      <rowAxis>
        <value>PRDID</value>
        <value>KEY_FIGURES</value>
      </rowAxis>
      <columnAxis>
        <value>PERIODID3</value>
      </columnAxis>
      <alerts/>
      <dimsDispOptnId>
        <value>LOCID</value>
        <value>CUSTID</value>
      </dimsDispOptnId>
      <dimsDispOptnBoth/>
      <dimsTmpltFltrMandatory/>
      <dimsTmpltFltrOptional/>
      <attributeSortings>
        <attributeSorting>
          <sortOrder>
            <sortOrderItem>__AZ</sortOrderItem>
          </sortOrder>
          <sortByDimension/>
          <dimensionId>PRDID</dimensionId>
          <description>Ascending</description>
          <name>A-Z</name>
          <id>-11</id>
        </attributeSorting>
      </attributeSortings>
      <isWorkbookFilterExcluded>false</isWorkbookFilterExcluded>
    </settings>
    <filter>
      <name/>
      <id>0</id>
      <conditions>
        <condition>
          <dimension>CUSTID</dimension>
          <operator>EQ</operator>
          <values>
            <value>CA1000</value>
            <value>CA2000</value>
            <value>US9001</value>
            <value>US9002</value>
          </values>
          <relations/>
        </condition>
        <condition>
          <dimension>BRAND</dimension>
          <operator>EQ</operator>
          <values>
            <value>ConsumersChoice Kitchen Products</value>
            <value>ConsumersChoice Television</value>
          </values>
          <relations/>
        </condition>
      </conditions>
    </filter>
  </report_Sheet2>
  <report_Sheet5 xmlns="">
    <settings>
      <flexibleTime>
        <time>
          <dimension>PERIODID3</dimension>
          <rolling>0</rolling>
          <mode>0</mode>
          <totalName/>
          <realTime>false</realTime>
          <fromAbsolute>70637</fromAbsolute>
          <toAbsolute>70648</toAbsolute>
          <fromRelative>-30</fromRelative>
          <toRelative>29</toRelative>
          <fromTimeAbsolute>0001-01-01T00:00:00</fromTimeAbsolute>
          <toTimeAbsolute>0001-01-01T00:00:00</toTimeAbsolute>
          <fromTimeRelativeInDays>-30</fromTimeRelativeInDays>
          <toTimeRelativeInDays>29</toTimeRelativeInDays>
        </time>
      </flexibleTime>
      <planningLevels>
        <value>PRDID</value>
        <value>LOCID</value>
      </planningLevels>
      <keyFigures>
        <value>CONSENSUSDEMAND</value>
        <value>FINALCONSENSUSDEMAND</value>
        <value>DEMANDPLANNINGQTY</value>
        <value>ADJDELIVQTY</value>
        <value>ACTUALSPRICE</value>
        <value>ACTUALSREV</value>
        <value>RBCALCULATEDNEGATIV</value>
        <value>CONSENSUSDEMANDREV</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CUSTID</value>
        <value>LOCID</value>
      </dimsDispOptnId>
      <dimsDispOptnBoth>
        <value>CUSTID</value>
      </dimsDispOptnBoth>
      <dimsTmpltFltrMandatory/>
      <dimsTmpltFltrOptional>
        <value>PRDID</value>
      </dimsTmpltFltrOptional>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isWorkbookFilterExcluded>false</isWorkbookFilterExcluded>
    </settings>
    <filter>
      <name/>
      <id>0</id>
      <conditions>
        <condition>
          <dimension>PRDID</dimension>
          <operator>EQ</operator>
          <values>
            <value>HT_002</value>
          </values>
          <relations/>
        </condition>
      </conditions>
    </filter>
  </report_Sheet5>
</config>
</file>

<file path=customXml/itemProps1.xml><?xml version="1.0" encoding="utf-8"?>
<ds:datastoreItem xmlns:ds="http://schemas.openxmlformats.org/officeDocument/2006/customXml" ds:itemID="{5ACDE3BE-EADB-4F53-8E4D-3277B6463DD5}">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3</vt:i4>
      </vt:variant>
    </vt:vector>
  </HeadingPairs>
  <TitlesOfParts>
    <vt:vector size="3" baseType="lpstr">
      <vt:lpstr>IBPFormattingSheet</vt:lpstr>
      <vt:lpstr>Main</vt:lpstr>
      <vt:lpstr>Details</vt:lpstr>
    </vt:vector>
  </TitlesOfParts>
  <Manager/>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revision/>
  <dcterms:created xsi:type="dcterms:W3CDTF">2012-11-19T20:56:01Z</dcterms:created>
  <dcterms:modified xsi:type="dcterms:W3CDTF">2023-08-16T11:33:21Z</dcterms:modified>
  <cp:category/>
  <cp:contentStatus/>
</cp:coreProperties>
</file>