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ustomProperty5.bin" ContentType="application/vnd.openxmlformats-officedocument.spreadsheetml.customProperty"/>
  <Override PartName="/xl/customProperty6.bin" ContentType="application/vnd.openxmlformats-officedocument.spreadsheetml.customProperty"/>
  <Override PartName="/xl/drawings/drawing3.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1_Create Customized Navigation Patterns/"/>
    </mc:Choice>
  </mc:AlternateContent>
  <xr:revisionPtr revIDLastSave="54" documentId="6_{B1E048ED-C170-4865-8E94-44C0A1B59FCC}" xr6:coauthVersionLast="46" xr6:coauthVersionMax="47" xr10:uidLastSave="{AAD7055B-CE85-4D1D-ABEC-03658B18476F}"/>
  <bookViews>
    <workbookView xWindow="-103" yWindow="-103" windowWidth="22149" windowHeight="11949" tabRatio="374" firstSheet="1" activeTab="1" xr2:uid="{00000000-000D-0000-FFFF-FFFF00000000}"/>
  </bookViews>
  <sheets>
    <sheet name="IBPFormattingSheet" sheetId="7" state="hidden" r:id="rId1"/>
    <sheet name="Main" sheetId="5" r:id="rId2"/>
    <sheet name="Details" sheetId="9" r:id="rId3"/>
  </sheets>
  <definedNames>
    <definedName name="__FPMExcelClient_CellBasedFunctionStatus" localSheetId="2" hidden="1">"2_1_2_2_2_2"</definedName>
    <definedName name="__FPMExcelClient_CellBasedFunctionStatus" localSheetId="1" hidden="1">"2_1_2_2_2_2"</definedName>
    <definedName name="__FPMExcelClient_Connection" localSheetId="2">"{A63CB8EE-6674-452e-ACA5-65D5174D689E}_[https://pt6-001.wdf.sap.corp/sap/sop/sopfnd/services/addin/excel/]_[SOP]_[RBSAP6]_[]_[]_[false]_[True]\1"</definedName>
    <definedName name="__FPMExcelClient_Connection" localSheetId="1">"{A63CB8EE-6674-452e-ACA5-65D5174D689E}_[https://pt6-001.wdf.sap.corp/sap/sop/sopfnd/services/addin/excel/]_[SOP]_[RBSAP6]_[]_[]_[false]_[True]\1"</definedName>
    <definedName name="_xlnm._FilterDatabase" localSheetId="2" hidden="1">Details!$H$3:$V$3</definedName>
    <definedName name="_xlnm._FilterDatabase" localSheetId="1" hidden="1">Main!$H$3:$V$3</definedName>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IBPFormattingSheet!$D$61</definedName>
    <definedName name="AddMemberFirst_1" localSheetId="0" hidden="1">IBPFormattingSheet!$D$59</definedName>
    <definedName name="AddMemberSecond" localSheetId="0" hidden="1">IBPFormattingSheet!$D$40</definedName>
    <definedName name="DataFirst" localSheetId="0" hidden="1">IBPFormattingSheet!$E$43:$G$43</definedName>
    <definedName name="DataSecond" localSheetId="0" hidden="1">IBPFormattingSheet!$E$76:$G$76</definedName>
    <definedName name="DataUseFirst" localSheetId="0" hidden="1">IBPFormattingSheet!$H$43</definedName>
    <definedName name="DataUseSecond" localSheetId="0"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IBPFormattingSheet!$F$73</definedName>
    <definedName name="EvenDataSecond" localSheetId="0" hidden="1">IBPFormattingSheet!$F$81</definedName>
    <definedName name="EvenDataUseFirst" localSheetId="0" hidden="1">IBPFormattingSheet!$H$73</definedName>
    <definedName name="EvenDataUseSecond" localSheetId="0" hidden="1">IBPFormattingSheet!$H$81</definedName>
    <definedName name="EvenHeaderFirst" localSheetId="0" hidden="1">IBPFormattingSheet!$J$73</definedName>
    <definedName name="EvenHeaderSecond" localSheetId="0" hidden="1">IBPFormattingSheet!$J$81</definedName>
    <definedName name="EvenHeaderUseFirst" localSheetId="0" hidden="1">IBPFormattingSheet!$L$73</definedName>
    <definedName name="EvenHeaderUseSecond" localSheetId="0" hidden="1">IBPFormattingSheet!$L$81</definedName>
    <definedName name="HeaderFirst" localSheetId="0" hidden="1">IBPFormattingSheet!$I$43:$K$43</definedName>
    <definedName name="HeaderSecond" localSheetId="0" hidden="1">IBPFormattingSheet!$I$76:$K$76</definedName>
    <definedName name="HeaderSmallGrid" localSheetId="0" hidden="1">IBPFormattingSheet!$A$1</definedName>
    <definedName name="HeaderUseFirst" localSheetId="0" hidden="1">IBPFormattingSheet!$L$43</definedName>
    <definedName name="HeaderUseSecond" localSheetId="0" hidden="1">IBPFormattingSheet!$L$76</definedName>
    <definedName name="HeaderUseSmallGrid" localSheetId="0" hidden="1">IBPFormattingSheet!$A$1</definedName>
    <definedName name="IBP_Migrated" localSheetId="0">TRUE</definedName>
    <definedName name="IBPClientFormattingSheet" localSheetId="0" hidden="1">"3_2"</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IBPFormattingSheet!$B$63</definedName>
    <definedName name="MemberFirstBlock" localSheetId="0" hidden="1">IBPFormattingSheet!$B$42:$B$62</definedName>
    <definedName name="MemberFirstDataCalculated" localSheetId="0" hidden="1">IBPFormattingSheet!$F$45</definedName>
    <definedName name="MemberFirstDataChanged" localSheetId="0" hidden="1">IBPFormattingSheet!$F$54</definedName>
    <definedName name="MemberFirstDataCustom" localSheetId="0" hidden="1">IBPFormattingSheet!#REF!</definedName>
    <definedName name="MemberFirstDataInputable" localSheetId="0" hidden="1">IBPFormattingSheet!$F$48</definedName>
    <definedName name="MemberFirstDataItem_1" localSheetId="0" hidden="1">IBPFormattingSheet!$F$59</definedName>
    <definedName name="MemberFirstDataLocal" localSheetId="0" hidden="1">IBPFormattingSheet!$F$51</definedName>
    <definedName name="MemberFirstDataUseCalculated" localSheetId="0" hidden="1">IBPFormattingSheet!$H$45</definedName>
    <definedName name="MemberFirstDataUseChanged" localSheetId="0" hidden="1">IBPFormattingSheet!$H$54</definedName>
    <definedName name="MemberFirstDataUseCustom" localSheetId="0" hidden="1">IBPFormattingSheet!#REF!</definedName>
    <definedName name="MemberFirstDataUseInputable" localSheetId="0" hidden="1">IBPFormattingSheet!$H$48</definedName>
    <definedName name="MemberFirstDataUseItem_1" localSheetId="0" hidden="1">IBPFormattingSheet!$H$59</definedName>
    <definedName name="MemberFirstDataUseLocal" localSheetId="0" hidden="1">IBPFormattingSheet!$H$51</definedName>
    <definedName name="MemberFirstHeaderCalculated" localSheetId="0" hidden="1">IBPFormattingSheet!$J$45</definedName>
    <definedName name="MemberFirstHeaderChanged" localSheetId="0" hidden="1">IBPFormattingSheet!$J$54</definedName>
    <definedName name="MemberFirstHeaderCustom" localSheetId="0" hidden="1">IBPFormattingSheet!#REF!</definedName>
    <definedName name="MemberFirstHeaderInputable" localSheetId="0" hidden="1">IBPFormattingSheet!$J$48</definedName>
    <definedName name="MemberFirstHeaderItem_1" localSheetId="0" hidden="1">IBPFormattingSheet!$J$59</definedName>
    <definedName name="MemberFirstHeaderLocal" localSheetId="0" hidden="1">IBPFormattingSheet!$J$51</definedName>
    <definedName name="MemberFirstHeaderUseCalculated" localSheetId="0" hidden="1">IBPFormattingSheet!$L$45</definedName>
    <definedName name="MemberFirstHeaderUseChanged" localSheetId="0" hidden="1">IBPFormattingSheet!$L$54</definedName>
    <definedName name="MemberFirstHeaderUseCustom" localSheetId="0" hidden="1">IBPFormattingSheet!#REF!</definedName>
    <definedName name="MemberFirstHeaderUseInputable" localSheetId="0" hidden="1">IBPFormattingSheet!$L$48</definedName>
    <definedName name="MemberFirstHeaderUseItem_1" localSheetId="0" hidden="1">IBPFormattingSheet!$L$59</definedName>
    <definedName name="MemberFirstHeaderUseLocal" localSheetId="0" hidden="1">IBPFormattingSheet!$L$51</definedName>
    <definedName name="MemberSecondBlock" localSheetId="0" hidden="1">IBPFormattingSheet!$B$24:$B$41</definedName>
    <definedName name="MemberSecondDataCalculated" localSheetId="0" hidden="1">IBPFormattingSheet!$F$27</definedName>
    <definedName name="MemberSecondDataChanged" localSheetId="0" hidden="1">IBPFormattingSheet!$F$36</definedName>
    <definedName name="MemberSecondDataCustom" localSheetId="0" hidden="1">IBPFormattingSheet!#REF!</definedName>
    <definedName name="MemberSecondDataInputable" localSheetId="0" hidden="1">IBPFormattingSheet!$F$30</definedName>
    <definedName name="MemberSecondDataLocal" localSheetId="0" hidden="1">IBPFormattingSheet!$F$33</definedName>
    <definedName name="MemberSecondDataUseCalculated" localSheetId="0" hidden="1">IBPFormattingSheet!$H$27</definedName>
    <definedName name="MemberSecondDataUseChanged" localSheetId="0" hidden="1">IBPFormattingSheet!$H$36</definedName>
    <definedName name="MemberSecondDataUseCustom" localSheetId="0" hidden="1">IBPFormattingSheet!#REF!</definedName>
    <definedName name="MemberSecondDataUseInputable" localSheetId="0" hidden="1">IBPFormattingSheet!$H$30</definedName>
    <definedName name="MemberSecondDataUseLocal" localSheetId="0" hidden="1">IBPFormattingSheet!$H$33</definedName>
    <definedName name="MemberSecondHeaderCalculated" localSheetId="0" hidden="1">IBPFormattingSheet!$J$27</definedName>
    <definedName name="MemberSecondHeaderChanged" localSheetId="0" hidden="1">IBPFormattingSheet!$J$36</definedName>
    <definedName name="MemberSecondHeaderCustom" localSheetId="0" hidden="1">IBPFormattingSheet!#REF!</definedName>
    <definedName name="MemberSecondHeaderInputable" localSheetId="0" hidden="1">IBPFormattingSheet!$J$30</definedName>
    <definedName name="MemberSecondHeaderLocal" localSheetId="0" hidden="1">IBPFormattingSheet!$J$33</definedName>
    <definedName name="MemberSecondHeaderUseCalculated" localSheetId="0" hidden="1">IBPFormattingSheet!$L$27</definedName>
    <definedName name="MemberSecondHeaderUseChanged" localSheetId="0" hidden="1">IBPFormattingSheet!$L$36</definedName>
    <definedName name="MemberSecondHeaderUseCustom" localSheetId="0" hidden="1">IBPFormattingSheet!#REF!</definedName>
    <definedName name="MemberSecondHeaderUseInputable" localSheetId="0" hidden="1">IBPFormattingSheet!$L$30</definedName>
    <definedName name="MemberSecondHeaderUseLocal" localSheetId="0" hidden="1">IBPFormattingSheet!$L$33</definedName>
    <definedName name="OddDataFirst" localSheetId="0" hidden="1">IBPFormattingSheet!$F$70</definedName>
    <definedName name="OddDataSecond" localSheetId="0" hidden="1">IBPFormattingSheet!$F$78</definedName>
    <definedName name="OddDataUseFirst" localSheetId="0" hidden="1">IBPFormattingSheet!$H$70</definedName>
    <definedName name="OddDataUseSecond" localSheetId="0" hidden="1">IBPFormattingSheet!$H$78</definedName>
    <definedName name="OddEvenEndBlock" localSheetId="0" hidden="1">IBPFormattingSheet!$B$83</definedName>
    <definedName name="OddEvenFirstBlock" localSheetId="0" hidden="1">IBPFormattingSheet!$B$67:$B$74</definedName>
    <definedName name="OddEvenSecondBlock" localSheetId="0" hidden="1">IBPFormattingSheet!$B$75:$B$82</definedName>
    <definedName name="OddHeaderFirst" localSheetId="0" hidden="1">IBPFormattingSheet!$J$70</definedName>
    <definedName name="OddHeaderSecond" localSheetId="0" hidden="1">IBPFormattingSheet!$J$78</definedName>
    <definedName name="OddHeaderUseFirst" localSheetId="0" hidden="1">IBPFormattingSheet!$L$70</definedName>
    <definedName name="OddHeaderUseSecond" localSheetId="0" hidden="1">IBPFormattingSheet!$L$78</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"SID"</definedName>
    <definedName name="SOP_CurrencyToID" localSheetId="2">"EUR"</definedName>
    <definedName name="SOP_CurrencyToID" localSheetId="1">"EUR"</definedName>
    <definedName name="SOP_CURRTOID" localSheetId="2">"EUR"</definedName>
    <definedName name="SOP_CURRTOID" localSheetId="1">"EUR"</definedName>
    <definedName name="SOP_Favorite_Name">"Main and Details View"</definedName>
    <definedName name="SOP_Filter" localSheetId="2">{" "}</definedName>
    <definedName name="SOP_Filter" localSheetId="1">{" "}</definedName>
    <definedName name="SOP_Filter">{" "}</definedName>
    <definedName name="SOP_Filter_Criteria_Count" localSheetId="2">0</definedName>
    <definedName name="SOP_Filter_Criteria_Count" localSheetId="1">0</definedName>
    <definedName name="SOP_Filter_Name" localSheetId="2">"(None)"</definedName>
    <definedName name="SOP_Filter_Name" localSheetId="1">"(None)"</definedName>
    <definedName name="SOP_Heading1" localSheetId="2">"Key Figure"</definedName>
    <definedName name="SOP_Heading1" localSheetId="1">"Key Figure"</definedName>
    <definedName name="SOP_Heading10" localSheetId="2">" "</definedName>
    <definedName name="SOP_Heading10" localSheetId="1">" "</definedName>
    <definedName name="SOP_Heading11" localSheetId="2">" "</definedName>
    <definedName name="SOP_Heading11" localSheetId="1">" "</definedName>
    <definedName name="SOP_Heading12" localSheetId="2">" "</definedName>
    <definedName name="SOP_Heading12" localSheetId="1">" "</definedName>
    <definedName name="SOP_Heading13" localSheetId="2">" "</definedName>
    <definedName name="SOP_Heading13" localSheetId="1">" "</definedName>
    <definedName name="SOP_Heading14" localSheetId="2">" "</definedName>
    <definedName name="SOP_Heading14" localSheetId="1">" "</definedName>
    <definedName name="SOP_Heading15" localSheetId="2">" "</definedName>
    <definedName name="SOP_Heading15" localSheetId="1">" "</definedName>
    <definedName name="SOP_Heading2" localSheetId="2">"Location ID"</definedName>
    <definedName name="SOP_Heading2" localSheetId="1">"Product ID"</definedName>
    <definedName name="SOP_Heading3" localSheetId="2">"Product ID"</definedName>
    <definedName name="SOP_Heading3" localSheetId="1">" "</definedName>
    <definedName name="SOP_Heading4" localSheetId="2">" "</definedName>
    <definedName name="SOP_Heading4" localSheetId="1">" "</definedName>
    <definedName name="SOP_Heading5" localSheetId="2">" "</definedName>
    <definedName name="SOP_Heading5" localSheetId="1">" "</definedName>
    <definedName name="SOP_Heading6" localSheetId="2">" "</definedName>
    <definedName name="SOP_Heading6" localSheetId="1">" "</definedName>
    <definedName name="SOP_Heading7" localSheetId="2">" "</definedName>
    <definedName name="SOP_Heading7" localSheetId="1">" "</definedName>
    <definedName name="SOP_Heading8" localSheetId="2">" "</definedName>
    <definedName name="SOP_Heading8" localSheetId="1">" "</definedName>
    <definedName name="SOP_Heading9" localSheetId="2">" "</definedName>
    <definedName name="SOP_Heading9" localSheetId="1">" "</definedName>
    <definedName name="SOP_Planning_Area">"SAP6"</definedName>
    <definedName name="SOP_Planning_Scope">"No selection: The system will plan the entire data set. | 17.02.2022 - 09.04.2022 | Baseline | Base Version"</definedName>
    <definedName name="SOP_Refresh_Timestamp">44592.4050925926</definedName>
    <definedName name="SOP_TargetCurrency" localSheetId="2">"EUR"</definedName>
    <definedName name="SOP_TargetCurrency" localSheetId="1">"EUR"</definedName>
    <definedName name="SOP_TargetUoM" localSheetId="2">"PC"</definedName>
    <definedName name="SOP_TargetUoM" localSheetId="1">"PC"</definedName>
    <definedName name="SOP_Template_Name">"template name"</definedName>
    <definedName name="SOP_UOMToID" localSheetId="2">"PC"</definedName>
    <definedName name="SOP_UOMToID" localSheetId="1">"PC"</definedName>
    <definedName name="SOP_Value_Based_Filter" localSheetId="2">{" "}</definedName>
    <definedName name="SOP_Value_Based_Filter" localSheetId="1">{" "}</definedName>
    <definedName name="SOP_Value_Based_Filter_Name" localSheetId="2">"(None)"</definedName>
    <definedName name="SOP_Value_Based_Filter_Name" localSheetId="1">"(None)"</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9" l="1"/>
  <c r="H3" i="9"/>
  <c r="I3" i="9"/>
  <c r="A3" i="9"/>
  <c r="B3" i="9"/>
  <c r="C3" i="9"/>
  <c r="D3" i="9"/>
  <c r="E3" i="9"/>
  <c r="F3" i="9"/>
  <c r="G3" i="9"/>
  <c r="A2" i="9"/>
  <c r="K2" i="9"/>
  <c r="K1" i="9"/>
  <c r="J3" i="5"/>
  <c r="H3" i="5"/>
  <c r="I3" i="5"/>
  <c r="A3" i="5"/>
  <c r="B3" i="5"/>
  <c r="C3" i="5"/>
  <c r="D3" i="5"/>
  <c r="E3" i="5"/>
  <c r="F3" i="5"/>
  <c r="G3" i="5"/>
  <c r="A2" i="5"/>
  <c r="K2" i="5"/>
  <c r="K1" i="5"/>
  <c r="L3" i="9"/>
  <c r="J17" i="9"/>
  <c r="J20" i="9"/>
  <c r="J27" i="9"/>
  <c r="U3" i="9"/>
  <c r="J32" i="9"/>
  <c r="J10" i="9"/>
  <c r="J26" i="9"/>
  <c r="O3" i="9"/>
  <c r="H4" i="9"/>
  <c r="K3" i="9"/>
  <c r="J22" i="9"/>
  <c r="J31" i="9"/>
  <c r="J33" i="9"/>
  <c r="J7" i="9"/>
  <c r="J11" i="9"/>
  <c r="J25" i="9"/>
  <c r="I28" i="9"/>
  <c r="J28" i="9"/>
  <c r="J14" i="9"/>
  <c r="J29" i="9"/>
  <c r="J24" i="9"/>
  <c r="J9" i="9"/>
  <c r="J18" i="9"/>
  <c r="P3" i="9"/>
  <c r="J13" i="9"/>
  <c r="J15" i="9"/>
  <c r="R3" i="9"/>
  <c r="J19" i="9"/>
  <c r="J8" i="9"/>
  <c r="J35" i="9"/>
  <c r="N3" i="9"/>
  <c r="J16" i="9"/>
  <c r="J30" i="9"/>
  <c r="M3" i="9"/>
  <c r="S3" i="9"/>
  <c r="J6" i="9"/>
  <c r="J23" i="9"/>
  <c r="J12" i="9"/>
  <c r="V3" i="9"/>
  <c r="T3" i="9"/>
  <c r="Q3" i="9"/>
  <c r="I20" i="9"/>
  <c r="I12" i="9"/>
  <c r="I4" i="9"/>
  <c r="J34" i="9"/>
  <c r="J21" i="9"/>
  <c r="J5" i="9"/>
  <c r="J4" i="9"/>
  <c r="U3" i="5"/>
  <c r="J9" i="5"/>
  <c r="I9" i="5"/>
  <c r="J8" i="5"/>
  <c r="K3" i="5"/>
  <c r="N3" i="5"/>
  <c r="J4" i="5"/>
  <c r="I7" i="5"/>
  <c r="L3" i="5"/>
  <c r="I8" i="5"/>
  <c r="J7" i="5"/>
  <c r="S3" i="5"/>
  <c r="V3" i="5"/>
  <c r="J5" i="5"/>
  <c r="I10" i="5"/>
  <c r="R3" i="5"/>
  <c r="J6" i="5"/>
  <c r="J10" i="5"/>
  <c r="M3" i="5"/>
  <c r="T3" i="5"/>
  <c r="P3" i="5"/>
  <c r="I6" i="5"/>
  <c r="I5" i="5"/>
  <c r="O3" i="5"/>
  <c r="I4" i="5"/>
  <c r="Q3" i="5"/>
  <c r="Q1" i="9"/>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sharedStrings.xml><?xml version="1.0" encoding="utf-8"?>
<sst xmlns="http://schemas.openxmlformats.org/spreadsheetml/2006/main" count="105" uniqueCount="32">
  <si>
    <t>Balazs EPM Formatting Sheet Demo</t>
  </si>
  <si>
    <t>Version_1_1</t>
  </si>
  <si>
    <t>Note: The format settings in lower sections overrides the ones in upper section if there are conflicts.</t>
  </si>
  <si>
    <t>Default Formatting</t>
  </si>
  <si>
    <t>Help</t>
  </si>
  <si>
    <t>Formatting and "Use" Column:</t>
  </si>
  <si>
    <t>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</si>
  <si>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</si>
  <si>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Data</t>
  </si>
  <si>
    <t>Use</t>
  </si>
  <si>
    <t>Header</t>
  </si>
  <si>
    <t>Default Format</t>
  </si>
  <si>
    <t>All</t>
  </si>
  <si>
    <t>Label</t>
  </si>
  <si>
    <t>Row</t>
  </si>
  <si>
    <t>Priority to Row or Column</t>
  </si>
  <si>
    <t>Dimension Member/Property Formatting</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</si>
  <si>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</si>
  <si>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Default Format for Non-Editable Cells</t>
  </si>
  <si>
    <t>Default Format for Editable Cells</t>
  </si>
  <si>
    <t>Local Member Default Format</t>
  </si>
  <si>
    <t>Changed Member Default Format</t>
  </si>
  <si>
    <t>Formatting on Specific Member/Property:</t>
  </si>
  <si>
    <t>FontColorIndex | Pattern</t>
  </si>
  <si>
    <t>None</t>
  </si>
  <si>
    <t>Pattern</t>
  </si>
  <si>
    <t>Total Member</t>
  </si>
  <si>
    <t>FontBold</t>
  </si>
  <si>
    <t>Row and Column Banding</t>
  </si>
  <si>
    <t>Odd Formatting</t>
  </si>
  <si>
    <t>Even Formatting</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</si>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</sst>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sz val="8"/>
      <color rgb="FF000000"/>
      <name val="Tahoma"/>
      <family val="2"/>
    </font>
    <font>
      <sz val="11"/>
      <color rgb="FF000000"/>
      <name val="Calibri"/>
      <family val="2"/>
    </font>
  </fonts>
  <fills count="12">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3" fillId="7" borderId="0" applyNumberFormat="0" applyBorder="0" applyAlignment="0" applyProtection="0"/>
  </cellStyleXfs>
  <cellXfs count="83">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Alignment="1">
      <alignment horizontal="center"/>
    </xf>
    <xf numFmtId="0" fontId="1" fillId="0" borderId="0" xfId="0" applyFont="1" applyAlignment="1" applyProtection="1">
      <alignment horizontal="right" vertical="center"/>
      <protection locked="0"/>
    </xf>
    <xf numFmtId="0" fontId="1" fillId="0" borderId="0" xfId="0" applyFont="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Alignment="1" applyProtection="1">
      <alignment horizontal="left" vertical="center"/>
      <protection locked="0"/>
    </xf>
    <xf numFmtId="0" fontId="11" fillId="0" borderId="0" xfId="0" applyFont="1" applyAlignment="1" applyProtection="1">
      <alignment horizontal="left" vertical="center"/>
      <protection locked="0"/>
    </xf>
    <xf numFmtId="3" fontId="11" fillId="6" borderId="0" xfId="0" applyNumberFormat="1" applyFont="1" applyFill="1" applyAlignment="1" applyProtection="1">
      <alignment horizontal="right" vertical="center"/>
      <protection locked="0"/>
    </xf>
    <xf numFmtId="0" fontId="13" fillId="9" borderId="0" xfId="0" applyFont="1" applyFill="1"/>
    <xf numFmtId="0" fontId="0" fillId="10" borderId="0" xfId="0" applyFill="1"/>
    <xf numFmtId="3" fontId="11" fillId="8" borderId="0" xfId="0" applyNumberFormat="1" applyFont="1" applyFill="1" applyAlignment="1" applyProtection="1">
      <alignment horizontal="right" vertical="center"/>
      <protection locked="0"/>
    </xf>
    <xf numFmtId="3" fontId="12" fillId="0" borderId="0" xfId="0" applyNumberFormat="1" applyFont="1" applyAlignment="1" applyProtection="1">
      <alignment horizontal="right" vertical="center"/>
      <protection locked="0"/>
    </xf>
    <xf numFmtId="0" fontId="4" fillId="0" borderId="9" xfId="0" applyFont="1" applyBorder="1" applyAlignment="1">
      <alignment horizontal="left" vertical="center"/>
    </xf>
    <xf numFmtId="0" fontId="14" fillId="0" borderId="0" xfId="0" quotePrefix="1" applyFont="1" applyAlignment="1">
      <alignment horizontal="left" vertical="center"/>
    </xf>
    <xf numFmtId="0" fontId="10" fillId="10" borderId="0" xfId="0" applyFont="1" applyFill="1" applyAlignment="1" applyProtection="1">
      <alignment horizontal="right" vertical="center"/>
      <protection locked="0"/>
    </xf>
    <xf numFmtId="0" fontId="16" fillId="0" borderId="0" xfId="0" applyFont="1" applyAlignment="1">
      <alignment horizontal="center"/>
    </xf>
    <xf numFmtId="3" fontId="21" fillId="11" borderId="0" xfId="0" applyNumberFormat="1" applyFont="1" applyFill="1" applyAlignment="1" applyProtection="1">
      <alignment horizontal="right" vertical="center"/>
      <protection locked="0"/>
    </xf>
    <xf numFmtId="0" fontId="1" fillId="0" borderId="12" xfId="0" applyFont="1" applyBorder="1" applyAlignment="1">
      <alignment horizontal="center"/>
    </xf>
    <xf numFmtId="0" fontId="4" fillId="0" borderId="0" xfId="0" applyFont="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2" fillId="0" borderId="0" xfId="0" applyFont="1" applyAlignment="1" applyProtection="1">
      <alignment horizontal="right" vertical="center"/>
      <protection locked="0"/>
    </xf>
    <xf numFmtId="0" fontId="2" fillId="0" borderId="0" xfId="0" applyFont="1" applyAlignment="1" applyProtection="1">
      <alignment horizontal="left" vertical="center"/>
      <protection locked="0"/>
    </xf>
    <xf numFmtId="0" fontId="13" fillId="9" borderId="0" xfId="0" applyFont="1" applyFill="1" applyAlignment="1">
      <alignment horizontal="right" vertical="center"/>
    </xf>
    <xf numFmtId="0" fontId="10" fillId="9" borderId="0" xfId="0" applyFont="1" applyFill="1" applyAlignment="1">
      <alignment horizontal="left" vertical="center"/>
    </xf>
    <xf numFmtId="0" fontId="13" fillId="9" borderId="0" xfId="1" applyFill="1" applyBorder="1" applyAlignment="1" applyProtection="1"/>
    <xf numFmtId="0" fontId="10" fillId="10" borderId="0" xfId="0" applyFont="1" applyFill="1"/>
    <xf numFmtId="0" fontId="1" fillId="0" borderId="30"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9"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30"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28"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17" fillId="9" borderId="0" xfId="0" quotePrefix="1" applyFont="1" applyFill="1" applyAlignment="1">
      <alignment horizontal="left" vertical="top" wrapText="1" indent="5"/>
    </xf>
    <xf numFmtId="0" fontId="17" fillId="9" borderId="0" xfId="0" quotePrefix="1" applyFont="1" applyFill="1" applyAlignment="1">
      <alignment horizontal="left" vertical="top" indent="5"/>
    </xf>
    <xf numFmtId="0" fontId="18" fillId="9" borderId="0" xfId="0" applyFont="1" applyFill="1" applyAlignment="1">
      <alignment horizontal="left" vertical="center"/>
    </xf>
    <xf numFmtId="0" fontId="19" fillId="9" borderId="0" xfId="0" applyFont="1" applyFill="1" applyAlignment="1">
      <alignment horizontal="right" vertical="top" wrapText="1"/>
    </xf>
    <xf numFmtId="0" fontId="20" fillId="9" borderId="0" xfId="0" quotePrefix="1" applyFont="1" applyFill="1" applyAlignment="1">
      <alignment horizontal="left" vertical="top" wrapText="1" indent="5"/>
    </xf>
    <xf numFmtId="0" fontId="19" fillId="9" borderId="0" xfId="0" applyFont="1" applyFill="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8.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 Type="http://schemas.openxmlformats.org/officeDocument/2006/relationships/image" Target="../media/image7.emf"/><Relationship Id="rId16" Type="http://schemas.openxmlformats.org/officeDocument/2006/relationships/image" Target="../media/image21.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5" Type="http://schemas.openxmlformats.org/officeDocument/2006/relationships/image" Target="../media/image10.emf"/><Relationship Id="rId15" Type="http://schemas.openxmlformats.org/officeDocument/2006/relationships/image" Target="../media/image20.emf"/><Relationship Id="rId10" Type="http://schemas.openxmlformats.org/officeDocument/2006/relationships/image" Target="../media/image15.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18" Type="http://schemas.openxmlformats.org/officeDocument/2006/relationships/image" Target="../media/image42.emf"/><Relationship Id="rId3" Type="http://schemas.openxmlformats.org/officeDocument/2006/relationships/image" Target="../media/image8.emf"/><Relationship Id="rId7" Type="http://schemas.openxmlformats.org/officeDocument/2006/relationships/image" Target="../media/image31.emf"/><Relationship Id="rId12" Type="http://schemas.openxmlformats.org/officeDocument/2006/relationships/image" Target="../media/image36.emf"/><Relationship Id="rId17" Type="http://schemas.openxmlformats.org/officeDocument/2006/relationships/image" Target="../media/image41.emf"/><Relationship Id="rId2" Type="http://schemas.openxmlformats.org/officeDocument/2006/relationships/image" Target="../media/image27.emf"/><Relationship Id="rId16" Type="http://schemas.openxmlformats.org/officeDocument/2006/relationships/image" Target="../media/image40.emf"/><Relationship Id="rId1" Type="http://schemas.openxmlformats.org/officeDocument/2006/relationships/image" Target="../media/image26.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353786</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353786</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353786</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0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0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593271</xdr:colOff>
          <xdr:row>2</xdr:row>
          <xdr:rowOff>152400</xdr:rowOff>
        </xdr:from>
        <xdr:to>
          <xdr:col>8</xdr:col>
          <xdr:colOff>598714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1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1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1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1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1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1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85987"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9218" name="TextBox1"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9219" name="TextBox2"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0" name="AnalyzerDynReport000tb1"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1" name="ConnectionDescriptorsInfotb1"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2" name="MultipleReportManagerInfotb1"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3" name="ReportSubmitManagerControltb1"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4" name="ReportSubmitControl_1tb1"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5" name="ConnectionDescriptorsInfoHCtb1"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6" name="ConnectionDescriptorsInfoDCtb1" hidden="1">
              <a:extLst>
                <a:ext uri="{63B3BB69-23CF-44E3-9099-C40C66FF867C}">
                  <a14:compatExt spid="_x0000_s9226"/>
                </a:ext>
                <a:ext uri="{FF2B5EF4-FFF2-40B4-BE49-F238E27FC236}">
                  <a16:creationId xmlns:a16="http://schemas.microsoft.com/office/drawing/2014/main" id="{00000000-0008-0000-0200-00000A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7" name="MultipleReportManagerInfoHCtb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8" name="MultipleReportManagerInfoDCtb1"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29" name="ReportSubmitManagerControlHCtb1" hidden="1">
              <a:extLst>
                <a:ext uri="{63B3BB69-23CF-44E3-9099-C40C66FF867C}">
                  <a14:compatExt spid="_x0000_s9229"/>
                </a:ext>
                <a:ext uri="{FF2B5EF4-FFF2-40B4-BE49-F238E27FC236}">
                  <a16:creationId xmlns:a16="http://schemas.microsoft.com/office/drawing/2014/main" id="{00000000-0008-0000-0200-00000D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0" name="ReportSubmitManagerControlDCtb1"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1" name="ReportSubmitControl_1HCtb1"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2" name="ReportSubmitControl_1DCtb1"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3" name="AnalyzerDynReportHC000tb1"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9234" name="AnalyzerDynReportDC000tb1" hidden="1">
              <a:extLst>
                <a:ext uri="{63B3BB69-23CF-44E3-9099-C40C66FF867C}">
                  <a14:compatExt spid="_x0000_s9234"/>
                </a:ext>
                <a:ext uri="{FF2B5EF4-FFF2-40B4-BE49-F238E27FC236}">
                  <a16:creationId xmlns:a16="http://schemas.microsoft.com/office/drawing/2014/main" id="{00000000-0008-0000-0200-000012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1.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1.emf"/><Relationship Id="rId21" Type="http://schemas.openxmlformats.org/officeDocument/2006/relationships/image" Target="../media/image12.emf"/><Relationship Id="rId34" Type="http://schemas.openxmlformats.org/officeDocument/2006/relationships/control" Target="../activeX/activeX18.xml"/><Relationship Id="rId42" Type="http://schemas.openxmlformats.org/officeDocument/2006/relationships/control" Target="../activeX/activeX22.xml"/><Relationship Id="rId7" Type="http://schemas.openxmlformats.org/officeDocument/2006/relationships/image" Target="../media/image5.png"/><Relationship Id="rId2" Type="http://schemas.openxmlformats.org/officeDocument/2006/relationships/customProperty" Target="../customProperty2.bin"/><Relationship Id="rId16" Type="http://schemas.openxmlformats.org/officeDocument/2006/relationships/control" Target="../activeX/activeX9.xml"/><Relationship Id="rId20" Type="http://schemas.openxmlformats.org/officeDocument/2006/relationships/control" Target="../activeX/activeX11.xml"/><Relationship Id="rId29" Type="http://schemas.openxmlformats.org/officeDocument/2006/relationships/image" Target="../media/image16.emf"/><Relationship Id="rId41" Type="http://schemas.openxmlformats.org/officeDocument/2006/relationships/image" Target="../media/image22.emf"/><Relationship Id="rId1" Type="http://schemas.openxmlformats.org/officeDocument/2006/relationships/printerSettings" Target="../printerSettings/printerSettings2.bin"/><Relationship Id="rId6" Type="http://schemas.openxmlformats.org/officeDocument/2006/relationships/vmlDrawing" Target="../drawings/vmlDrawing2.vml"/><Relationship Id="rId11" Type="http://schemas.openxmlformats.org/officeDocument/2006/relationships/image" Target="../media/image7.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20.emf"/><Relationship Id="rId40" Type="http://schemas.openxmlformats.org/officeDocument/2006/relationships/control" Target="../activeX/activeX21.xml"/><Relationship Id="rId5" Type="http://schemas.openxmlformats.org/officeDocument/2006/relationships/drawing" Target="../drawings/drawing2.xml"/><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5.xml"/><Relationship Id="rId36" Type="http://schemas.openxmlformats.org/officeDocument/2006/relationships/control" Target="../activeX/activeX19.xml"/><Relationship Id="rId10" Type="http://schemas.openxmlformats.org/officeDocument/2006/relationships/control" Target="../activeX/activeX6.xml"/><Relationship Id="rId19" Type="http://schemas.openxmlformats.org/officeDocument/2006/relationships/image" Target="../media/image11.emf"/><Relationship Id="rId31" Type="http://schemas.openxmlformats.org/officeDocument/2006/relationships/image" Target="../media/image17.emf"/><Relationship Id="rId4" Type="http://schemas.openxmlformats.org/officeDocument/2006/relationships/customProperty" Target="../customProperty4.bin"/><Relationship Id="rId9" Type="http://schemas.openxmlformats.org/officeDocument/2006/relationships/image" Target="../media/image6.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5.emf"/><Relationship Id="rId30" Type="http://schemas.openxmlformats.org/officeDocument/2006/relationships/control" Target="../activeX/activeX16.xml"/><Relationship Id="rId35" Type="http://schemas.openxmlformats.org/officeDocument/2006/relationships/image" Target="../media/image19.emf"/><Relationship Id="rId43" Type="http://schemas.openxmlformats.org/officeDocument/2006/relationships/image" Target="../media/image23.emf"/><Relationship Id="rId8" Type="http://schemas.openxmlformats.org/officeDocument/2006/relationships/control" Target="../activeX/activeX5.xml"/><Relationship Id="rId3" Type="http://schemas.openxmlformats.org/officeDocument/2006/relationships/customProperty" Target="../customProperty3.bin"/><Relationship Id="rId12" Type="http://schemas.openxmlformats.org/officeDocument/2006/relationships/control" Target="../activeX/activeX7.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20.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26.xml"/><Relationship Id="rId18" Type="http://schemas.openxmlformats.org/officeDocument/2006/relationships/image" Target="../media/image30.emf"/><Relationship Id="rId26" Type="http://schemas.openxmlformats.org/officeDocument/2006/relationships/image" Target="../media/image34.emf"/><Relationship Id="rId39" Type="http://schemas.openxmlformats.org/officeDocument/2006/relationships/control" Target="../activeX/activeX39.xml"/><Relationship Id="rId21" Type="http://schemas.openxmlformats.org/officeDocument/2006/relationships/control" Target="../activeX/activeX30.xml"/><Relationship Id="rId34" Type="http://schemas.openxmlformats.org/officeDocument/2006/relationships/image" Target="../media/image38.emf"/><Relationship Id="rId42" Type="http://schemas.openxmlformats.org/officeDocument/2006/relationships/image" Target="../media/image42.emf"/><Relationship Id="rId7" Type="http://schemas.openxmlformats.org/officeDocument/2006/relationships/control" Target="../activeX/activeX23.xml"/><Relationship Id="rId2" Type="http://schemas.openxmlformats.org/officeDocument/2006/relationships/customProperty" Target="../customProperty5.bin"/><Relationship Id="rId16" Type="http://schemas.openxmlformats.org/officeDocument/2006/relationships/image" Target="../media/image29.emf"/><Relationship Id="rId20" Type="http://schemas.openxmlformats.org/officeDocument/2006/relationships/image" Target="../media/image31.emf"/><Relationship Id="rId29" Type="http://schemas.openxmlformats.org/officeDocument/2006/relationships/control" Target="../activeX/activeX34.xml"/><Relationship Id="rId41" Type="http://schemas.openxmlformats.org/officeDocument/2006/relationships/control" Target="../activeX/activeX40.xml"/><Relationship Id="rId1" Type="http://schemas.openxmlformats.org/officeDocument/2006/relationships/printerSettings" Target="../printerSettings/printerSettings3.bin"/><Relationship Id="rId6" Type="http://schemas.openxmlformats.org/officeDocument/2006/relationships/image" Target="../media/image25.png"/><Relationship Id="rId11" Type="http://schemas.openxmlformats.org/officeDocument/2006/relationships/control" Target="../activeX/activeX25.xml"/><Relationship Id="rId24" Type="http://schemas.openxmlformats.org/officeDocument/2006/relationships/image" Target="../media/image33.emf"/><Relationship Id="rId32" Type="http://schemas.openxmlformats.org/officeDocument/2006/relationships/image" Target="../media/image37.emf"/><Relationship Id="rId37" Type="http://schemas.openxmlformats.org/officeDocument/2006/relationships/control" Target="../activeX/activeX38.xml"/><Relationship Id="rId40" Type="http://schemas.openxmlformats.org/officeDocument/2006/relationships/image" Target="../media/image41.emf"/><Relationship Id="rId5" Type="http://schemas.openxmlformats.org/officeDocument/2006/relationships/vmlDrawing" Target="../drawings/vmlDrawing3.vml"/><Relationship Id="rId15" Type="http://schemas.openxmlformats.org/officeDocument/2006/relationships/control" Target="../activeX/activeX27.xml"/><Relationship Id="rId23" Type="http://schemas.openxmlformats.org/officeDocument/2006/relationships/control" Target="../activeX/activeX31.xml"/><Relationship Id="rId28" Type="http://schemas.openxmlformats.org/officeDocument/2006/relationships/image" Target="../media/image35.emf"/><Relationship Id="rId36" Type="http://schemas.openxmlformats.org/officeDocument/2006/relationships/image" Target="../media/image39.emf"/><Relationship Id="rId10" Type="http://schemas.openxmlformats.org/officeDocument/2006/relationships/image" Target="../media/image27.emf"/><Relationship Id="rId19" Type="http://schemas.openxmlformats.org/officeDocument/2006/relationships/control" Target="../activeX/activeX29.xml"/><Relationship Id="rId31" Type="http://schemas.openxmlformats.org/officeDocument/2006/relationships/control" Target="../activeX/activeX35.xml"/><Relationship Id="rId4" Type="http://schemas.openxmlformats.org/officeDocument/2006/relationships/drawing" Target="../drawings/drawing3.xml"/><Relationship Id="rId9" Type="http://schemas.openxmlformats.org/officeDocument/2006/relationships/control" Target="../activeX/activeX24.xml"/><Relationship Id="rId14" Type="http://schemas.openxmlformats.org/officeDocument/2006/relationships/image" Target="../media/image28.emf"/><Relationship Id="rId22" Type="http://schemas.openxmlformats.org/officeDocument/2006/relationships/image" Target="../media/image32.emf"/><Relationship Id="rId27" Type="http://schemas.openxmlformats.org/officeDocument/2006/relationships/control" Target="../activeX/activeX33.xml"/><Relationship Id="rId30" Type="http://schemas.openxmlformats.org/officeDocument/2006/relationships/image" Target="../media/image36.emf"/><Relationship Id="rId35" Type="http://schemas.openxmlformats.org/officeDocument/2006/relationships/control" Target="../activeX/activeX37.xml"/><Relationship Id="rId8" Type="http://schemas.openxmlformats.org/officeDocument/2006/relationships/image" Target="../media/image26.emf"/><Relationship Id="rId3" Type="http://schemas.openxmlformats.org/officeDocument/2006/relationships/customProperty" Target="../customProperty6.bin"/><Relationship Id="rId12" Type="http://schemas.openxmlformats.org/officeDocument/2006/relationships/image" Target="../media/image8.emf"/><Relationship Id="rId17" Type="http://schemas.openxmlformats.org/officeDocument/2006/relationships/control" Target="../activeX/activeX28.xml"/><Relationship Id="rId25" Type="http://schemas.openxmlformats.org/officeDocument/2006/relationships/control" Target="../activeX/activeX32.xml"/><Relationship Id="rId33" Type="http://schemas.openxmlformats.org/officeDocument/2006/relationships/control" Target="../activeX/activeX36.xml"/><Relationship Id="rId38" Type="http://schemas.openxmlformats.org/officeDocument/2006/relationships/image" Target="../media/image4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69" t="s">
        <v>0</v>
      </c>
      <c r="C1" s="69"/>
      <c r="D1" s="69"/>
      <c r="E1" s="69"/>
      <c r="F1" s="69"/>
      <c r="G1" s="69"/>
      <c r="H1" s="69"/>
      <c r="I1" s="69"/>
      <c r="J1" s="69"/>
      <c r="K1" s="69"/>
      <c r="L1" s="69"/>
    </row>
    <row r="2" spans="1:17" ht="15.75" customHeight="1" x14ac:dyDescent="0.35">
      <c r="A2" s="33" t="s">
        <v>1</v>
      </c>
      <c r="B2" s="2"/>
      <c r="C2" s="2"/>
      <c r="D2" s="2"/>
      <c r="E2" s="2"/>
      <c r="F2" s="2"/>
      <c r="G2" s="2"/>
      <c r="H2" s="2"/>
      <c r="I2" s="2"/>
      <c r="J2" s="2"/>
      <c r="K2" s="2"/>
      <c r="L2" s="2"/>
    </row>
    <row r="3" spans="1:17" ht="15.75" customHeight="1" x14ac:dyDescent="0.35">
      <c r="A3" s="2"/>
      <c r="B3" s="3" t="s">
        <v>2</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70" t="s">
        <v>3</v>
      </c>
      <c r="C5" s="71"/>
      <c r="D5" s="71"/>
      <c r="E5" s="71"/>
      <c r="F5" s="71"/>
      <c r="G5" s="71"/>
      <c r="H5" s="71"/>
      <c r="I5" s="71"/>
      <c r="J5" s="71"/>
      <c r="K5" s="71"/>
      <c r="L5" s="72"/>
      <c r="Q5" s="18" t="s">
        <v>4</v>
      </c>
    </row>
    <row r="6" spans="1:17" ht="28.4" customHeight="1" thickBot="1" x14ac:dyDescent="0.4">
      <c r="A6" s="2"/>
      <c r="B6" s="73"/>
      <c r="C6" s="74"/>
      <c r="D6" s="74"/>
      <c r="E6" s="74"/>
      <c r="F6" s="74"/>
      <c r="G6" s="74"/>
      <c r="H6" s="74"/>
      <c r="I6" s="74"/>
      <c r="J6" s="74"/>
      <c r="K6" s="74"/>
      <c r="L6" s="75"/>
      <c r="Q6" s="19" t="s">
        <v>5</v>
      </c>
    </row>
    <row r="7" spans="1:17" ht="22" customHeight="1" x14ac:dyDescent="0.35">
      <c r="A7" s="2"/>
      <c r="B7" s="76" t="s">
        <v>6</v>
      </c>
      <c r="C7" s="16"/>
      <c r="D7" s="16"/>
      <c r="E7" s="16"/>
      <c r="F7" s="16"/>
      <c r="G7" s="16"/>
      <c r="H7" s="16"/>
      <c r="I7" s="16"/>
      <c r="J7" s="16"/>
      <c r="K7" s="16"/>
      <c r="L7" s="17"/>
      <c r="Q7" s="68" t="s">
        <v>7</v>
      </c>
    </row>
    <row r="8" spans="1:17" ht="18" customHeight="1" x14ac:dyDescent="0.35">
      <c r="A8" s="2"/>
      <c r="B8" s="52"/>
      <c r="C8" s="2"/>
      <c r="D8" s="2"/>
      <c r="E8" s="2"/>
      <c r="F8" s="2"/>
      <c r="G8" s="2"/>
      <c r="H8" s="2"/>
      <c r="I8" s="2"/>
      <c r="J8" s="2"/>
      <c r="K8" s="2"/>
      <c r="L8" s="10"/>
      <c r="Q8" s="68"/>
    </row>
    <row r="9" spans="1:17" ht="17.149999999999999" customHeight="1" x14ac:dyDescent="0.35">
      <c r="A9" s="2"/>
      <c r="B9" s="52"/>
      <c r="C9" s="5"/>
      <c r="D9" s="6"/>
      <c r="E9" s="54" t="s">
        <v>8</v>
      </c>
      <c r="F9" s="55"/>
      <c r="G9" s="56"/>
      <c r="H9" s="4" t="s">
        <v>9</v>
      </c>
      <c r="I9" s="54" t="s">
        <v>10</v>
      </c>
      <c r="J9" s="55"/>
      <c r="K9" s="56"/>
      <c r="L9" s="11" t="s">
        <v>9</v>
      </c>
      <c r="Q9" s="68"/>
    </row>
    <row r="10" spans="1:17" ht="5.15" customHeight="1" x14ac:dyDescent="0.35">
      <c r="A10" s="2"/>
      <c r="B10" s="52"/>
      <c r="C10" s="57"/>
      <c r="D10" s="2"/>
      <c r="E10" s="12"/>
      <c r="F10" s="12"/>
      <c r="G10" s="12"/>
      <c r="H10" s="8"/>
      <c r="I10" s="12"/>
      <c r="J10" s="12"/>
      <c r="K10" s="12"/>
      <c r="L10" s="10"/>
      <c r="Q10" s="68"/>
    </row>
    <row r="11" spans="1:17" ht="16" customHeight="1" x14ac:dyDescent="0.35">
      <c r="A11" s="2"/>
      <c r="B11" s="52"/>
      <c r="C11" s="58"/>
      <c r="D11" s="36" t="s">
        <v>11</v>
      </c>
      <c r="E11" s="12"/>
      <c r="F11" s="29">
        <v>10000</v>
      </c>
      <c r="G11" s="12"/>
      <c r="H11" s="39" t="s">
        <v>12</v>
      </c>
      <c r="I11" s="12"/>
      <c r="J11" s="32" t="s">
        <v>13</v>
      </c>
      <c r="K11" s="12"/>
      <c r="L11" s="15" t="s">
        <v>12</v>
      </c>
      <c r="Q11" s="68"/>
    </row>
    <row r="12" spans="1:17" ht="5.15" customHeight="1" thickBot="1" x14ac:dyDescent="0.4">
      <c r="A12" s="2"/>
      <c r="B12" s="53"/>
      <c r="C12" s="60"/>
      <c r="D12" s="40"/>
      <c r="E12" s="41"/>
      <c r="F12" s="41"/>
      <c r="G12" s="41"/>
      <c r="H12" s="42"/>
      <c r="I12" s="41"/>
      <c r="J12" s="41"/>
      <c r="K12" s="41"/>
      <c r="L12" s="43"/>
      <c r="Q12" s="68"/>
    </row>
    <row r="13" spans="1:17" ht="22" customHeight="1" x14ac:dyDescent="0.35">
      <c r="A13" s="2"/>
      <c r="B13" s="52" t="s">
        <v>14</v>
      </c>
      <c r="C13" s="2"/>
      <c r="D13" s="2"/>
      <c r="E13" s="2"/>
      <c r="F13" s="2"/>
      <c r="G13" s="2"/>
      <c r="H13" s="2"/>
      <c r="I13" s="2"/>
      <c r="J13" s="2"/>
      <c r="K13" s="2"/>
      <c r="L13" s="10"/>
      <c r="Q13" s="68"/>
    </row>
    <row r="14" spans="1:17" ht="18" customHeight="1" x14ac:dyDescent="0.35">
      <c r="A14" s="2"/>
      <c r="B14" s="52"/>
      <c r="C14" s="2"/>
      <c r="D14" s="2"/>
      <c r="E14" s="2"/>
      <c r="F14" s="2"/>
      <c r="G14" s="2"/>
      <c r="H14" s="2"/>
      <c r="I14" s="2"/>
      <c r="J14" s="2"/>
      <c r="K14" s="2"/>
      <c r="L14" s="10"/>
      <c r="Q14" s="68"/>
    </row>
    <row r="15" spans="1:17" ht="17.149999999999999" customHeight="1" x14ac:dyDescent="0.35">
      <c r="A15" s="2"/>
      <c r="B15" s="52"/>
      <c r="C15" s="5"/>
      <c r="D15" s="6"/>
      <c r="E15" s="54" t="s">
        <v>8</v>
      </c>
      <c r="F15" s="55"/>
      <c r="G15" s="56"/>
      <c r="H15" s="4" t="s">
        <v>9</v>
      </c>
      <c r="I15" s="54" t="s">
        <v>10</v>
      </c>
      <c r="J15" s="55"/>
      <c r="K15" s="56"/>
      <c r="L15" s="11" t="s">
        <v>9</v>
      </c>
      <c r="Q15" s="68"/>
    </row>
    <row r="16" spans="1:17" ht="5.15" customHeight="1" x14ac:dyDescent="0.35">
      <c r="A16" s="2"/>
      <c r="B16" s="52"/>
      <c r="C16" s="57"/>
      <c r="D16" s="2"/>
      <c r="E16" s="12"/>
      <c r="F16" s="12"/>
      <c r="G16" s="12"/>
      <c r="H16" s="8"/>
      <c r="I16" s="12"/>
      <c r="J16" s="12"/>
      <c r="K16" s="12"/>
      <c r="L16" s="10"/>
      <c r="Q16" s="68"/>
    </row>
    <row r="17" spans="1:17" ht="16" customHeight="1" x14ac:dyDescent="0.35">
      <c r="A17" s="2"/>
      <c r="B17" s="52"/>
      <c r="C17" s="58"/>
      <c r="D17" s="36" t="s">
        <v>11</v>
      </c>
      <c r="E17" s="12"/>
      <c r="F17" s="29">
        <v>10000</v>
      </c>
      <c r="G17" s="12"/>
      <c r="H17" s="39" t="s">
        <v>12</v>
      </c>
      <c r="I17" s="12"/>
      <c r="J17" s="24" t="s">
        <v>13</v>
      </c>
      <c r="K17" s="12"/>
      <c r="L17" s="15" t="s">
        <v>12</v>
      </c>
      <c r="Q17" s="68"/>
    </row>
    <row r="18" spans="1:17" ht="5.15" customHeight="1" thickBot="1" x14ac:dyDescent="0.4">
      <c r="A18" s="2"/>
      <c r="B18" s="53"/>
      <c r="C18" s="60"/>
      <c r="D18" s="40"/>
      <c r="E18" s="41"/>
      <c r="F18" s="41"/>
      <c r="G18" s="41"/>
      <c r="H18" s="42"/>
      <c r="I18" s="41"/>
      <c r="J18" s="41"/>
      <c r="K18" s="41"/>
      <c r="L18" s="43"/>
      <c r="Q18" s="68"/>
    </row>
    <row r="19" spans="1:17" ht="9" customHeight="1" x14ac:dyDescent="0.35">
      <c r="A19" s="2"/>
      <c r="B19" s="2"/>
      <c r="C19" s="2"/>
      <c r="D19" s="2"/>
      <c r="E19" s="2"/>
      <c r="F19" s="2"/>
      <c r="G19" s="2"/>
      <c r="H19" s="2"/>
      <c r="I19" s="2"/>
      <c r="J19" s="2"/>
      <c r="K19" s="2"/>
      <c r="L19" s="2"/>
      <c r="Q19" s="68"/>
    </row>
    <row r="20" spans="1:17" ht="24.65" customHeight="1" x14ac:dyDescent="0.4">
      <c r="A20" s="2"/>
      <c r="B20" s="2"/>
      <c r="C20" s="2"/>
      <c r="D20" s="2"/>
      <c r="E20" s="2"/>
      <c r="F20" s="2"/>
      <c r="G20" s="2"/>
      <c r="H20" s="2"/>
      <c r="I20" s="2"/>
      <c r="J20" s="2"/>
      <c r="K20" s="2"/>
      <c r="L20" s="2"/>
      <c r="Q20" s="20"/>
    </row>
    <row r="21" spans="1:17" ht="15" customHeight="1" thickBot="1" x14ac:dyDescent="0.4">
      <c r="A21" s="2"/>
      <c r="B21" s="2"/>
      <c r="C21" s="2"/>
      <c r="D21" s="2"/>
      <c r="E21" s="2"/>
      <c r="F21" s="2"/>
      <c r="G21" s="2"/>
      <c r="H21" s="2"/>
      <c r="I21" s="2"/>
      <c r="J21" s="2"/>
      <c r="K21" s="2"/>
      <c r="L21" s="2"/>
      <c r="Q21" s="21" t="s">
        <v>15</v>
      </c>
    </row>
    <row r="22" spans="1:17" ht="28.4" customHeight="1" x14ac:dyDescent="0.35">
      <c r="A22" s="2"/>
      <c r="B22" s="61" t="s">
        <v>16</v>
      </c>
      <c r="C22" s="62"/>
      <c r="D22" s="62"/>
      <c r="E22" s="62"/>
      <c r="F22" s="62"/>
      <c r="G22" s="62"/>
      <c r="H22" s="62"/>
      <c r="I22" s="62"/>
      <c r="J22" s="62"/>
      <c r="K22" s="62"/>
      <c r="L22" s="63"/>
      <c r="Q22" s="68" t="s">
        <v>17</v>
      </c>
    </row>
    <row r="23" spans="1:17" ht="28.4" customHeight="1" thickBot="1" x14ac:dyDescent="0.4">
      <c r="A23" s="2"/>
      <c r="B23" s="64"/>
      <c r="C23" s="65"/>
      <c r="D23" s="65"/>
      <c r="E23" s="65"/>
      <c r="F23" s="65"/>
      <c r="G23" s="65"/>
      <c r="H23" s="65"/>
      <c r="I23" s="65"/>
      <c r="J23" s="65"/>
      <c r="K23" s="65"/>
      <c r="L23" s="66"/>
      <c r="Q23" s="68"/>
    </row>
    <row r="24" spans="1:17" ht="16" customHeight="1" x14ac:dyDescent="0.35">
      <c r="A24" s="2"/>
      <c r="B24" s="76" t="s">
        <v>6</v>
      </c>
      <c r="C24" s="16"/>
      <c r="D24" s="16"/>
      <c r="E24" s="16"/>
      <c r="F24" s="16"/>
      <c r="G24" s="16"/>
      <c r="H24" s="16"/>
      <c r="I24" s="16"/>
      <c r="J24" s="16"/>
      <c r="K24" s="16"/>
      <c r="L24" s="17"/>
      <c r="Q24" s="68"/>
    </row>
    <row r="25" spans="1:17" ht="18" customHeight="1" x14ac:dyDescent="0.35">
      <c r="A25" s="2"/>
      <c r="B25" s="52"/>
      <c r="C25" s="5"/>
      <c r="D25" s="6"/>
      <c r="E25" s="54" t="s">
        <v>8</v>
      </c>
      <c r="F25" s="55"/>
      <c r="G25" s="56"/>
      <c r="H25" s="4" t="s">
        <v>9</v>
      </c>
      <c r="I25" s="54" t="s">
        <v>10</v>
      </c>
      <c r="J25" s="55"/>
      <c r="K25" s="56"/>
      <c r="L25" s="11" t="s">
        <v>9</v>
      </c>
      <c r="Q25" s="68"/>
    </row>
    <row r="26" spans="1:17" ht="5.15" customHeight="1" x14ac:dyDescent="0.35">
      <c r="A26" s="2"/>
      <c r="B26" s="52"/>
      <c r="C26" s="58"/>
      <c r="D26" s="2"/>
      <c r="E26" s="12"/>
      <c r="F26" s="12"/>
      <c r="G26" s="12"/>
      <c r="H26" s="9"/>
      <c r="I26" s="12"/>
      <c r="J26" s="12"/>
      <c r="K26" s="12"/>
      <c r="L26" s="10"/>
      <c r="Q26" s="68"/>
    </row>
    <row r="27" spans="1:17" ht="16" customHeight="1" x14ac:dyDescent="0.35">
      <c r="A27" s="2"/>
      <c r="B27" s="52"/>
      <c r="C27" s="58"/>
      <c r="D27" s="36" t="s">
        <v>18</v>
      </c>
      <c r="E27" s="12"/>
      <c r="F27" s="13">
        <v>10000</v>
      </c>
      <c r="G27" s="12"/>
      <c r="H27" s="39" t="s">
        <v>12</v>
      </c>
      <c r="I27" s="12"/>
      <c r="J27" s="14" t="s">
        <v>13</v>
      </c>
      <c r="K27" s="12"/>
      <c r="L27" s="15" t="s">
        <v>12</v>
      </c>
      <c r="Q27" s="68"/>
    </row>
    <row r="28" spans="1:17" ht="5.15" customHeight="1" x14ac:dyDescent="0.35">
      <c r="A28" s="2"/>
      <c r="B28" s="52"/>
      <c r="C28" s="59"/>
      <c r="D28" s="37"/>
      <c r="E28" s="7"/>
      <c r="F28" s="7"/>
      <c r="G28" s="7"/>
      <c r="H28" s="6"/>
      <c r="I28" s="7"/>
      <c r="J28" s="7"/>
      <c r="K28" s="7"/>
      <c r="L28" s="38"/>
      <c r="Q28" s="68"/>
    </row>
    <row r="29" spans="1:17" ht="5.15" customHeight="1" x14ac:dyDescent="0.35">
      <c r="A29" s="2"/>
      <c r="B29" s="52"/>
      <c r="C29" s="58"/>
      <c r="D29" s="2"/>
      <c r="E29" s="12"/>
      <c r="F29" s="12"/>
      <c r="G29" s="12"/>
      <c r="H29" s="9"/>
      <c r="I29" s="12"/>
      <c r="J29" s="12"/>
      <c r="K29" s="12"/>
      <c r="L29" s="10"/>
      <c r="Q29" s="68"/>
    </row>
    <row r="30" spans="1:17" ht="16" customHeight="1" x14ac:dyDescent="0.4">
      <c r="A30" s="2"/>
      <c r="B30" s="52"/>
      <c r="C30" s="58"/>
      <c r="D30" s="36" t="s">
        <v>19</v>
      </c>
      <c r="E30" s="12"/>
      <c r="F30" s="13">
        <v>10000</v>
      </c>
      <c r="G30" s="12"/>
      <c r="H30" s="39" t="s">
        <v>12</v>
      </c>
      <c r="I30" s="12"/>
      <c r="J30" s="14" t="s">
        <v>13</v>
      </c>
      <c r="K30" s="12"/>
      <c r="L30" s="15" t="s">
        <v>12</v>
      </c>
      <c r="Q30" s="22"/>
    </row>
    <row r="31" spans="1:17" ht="5.15" customHeight="1" x14ac:dyDescent="0.35">
      <c r="A31" s="2"/>
      <c r="B31" s="52"/>
      <c r="C31" s="59"/>
      <c r="D31" s="37"/>
      <c r="E31" s="7"/>
      <c r="F31" s="7"/>
      <c r="G31" s="7"/>
      <c r="H31" s="6"/>
      <c r="I31" s="7"/>
      <c r="J31" s="7"/>
      <c r="K31" s="7"/>
      <c r="L31" s="38"/>
    </row>
    <row r="32" spans="1:17" ht="5.15" customHeight="1" x14ac:dyDescent="0.35">
      <c r="A32" s="2"/>
      <c r="B32" s="52"/>
      <c r="C32" s="58"/>
      <c r="D32" s="2"/>
      <c r="E32" s="12"/>
      <c r="F32" s="12"/>
      <c r="G32" s="12"/>
      <c r="H32" s="9"/>
      <c r="I32" s="12"/>
      <c r="J32" s="12"/>
      <c r="K32" s="12"/>
      <c r="L32" s="10"/>
    </row>
    <row r="33" spans="1:12" ht="16" customHeight="1" x14ac:dyDescent="0.35">
      <c r="A33" s="2"/>
      <c r="B33" s="52"/>
      <c r="C33" s="58"/>
      <c r="D33" s="36" t="s">
        <v>20</v>
      </c>
      <c r="E33" s="12"/>
      <c r="F33" s="13">
        <v>10000</v>
      </c>
      <c r="G33" s="12"/>
      <c r="H33" s="39" t="s">
        <v>12</v>
      </c>
      <c r="I33" s="12"/>
      <c r="J33" s="14" t="s">
        <v>13</v>
      </c>
      <c r="K33" s="12"/>
      <c r="L33" s="15" t="s">
        <v>12</v>
      </c>
    </row>
    <row r="34" spans="1:12" ht="5.15" customHeight="1" x14ac:dyDescent="0.35">
      <c r="A34" s="2"/>
      <c r="B34" s="52"/>
      <c r="C34" s="59"/>
      <c r="D34" s="37"/>
      <c r="E34" s="7"/>
      <c r="F34" s="7"/>
      <c r="G34" s="7"/>
      <c r="H34" s="6"/>
      <c r="I34" s="7"/>
      <c r="J34" s="7"/>
      <c r="K34" s="7"/>
      <c r="L34" s="38"/>
    </row>
    <row r="35" spans="1:12" ht="5.15" customHeight="1" x14ac:dyDescent="0.35">
      <c r="A35" s="2"/>
      <c r="B35" s="52"/>
      <c r="C35" s="58"/>
      <c r="D35" s="2"/>
      <c r="E35" s="12"/>
      <c r="F35" s="12"/>
      <c r="G35" s="12"/>
      <c r="H35" s="9"/>
      <c r="I35" s="12"/>
      <c r="J35" s="12"/>
      <c r="K35" s="12"/>
      <c r="L35" s="10"/>
    </row>
    <row r="36" spans="1:12" ht="16" customHeight="1" x14ac:dyDescent="0.35">
      <c r="A36" s="2"/>
      <c r="B36" s="52"/>
      <c r="C36" s="58"/>
      <c r="D36" s="36" t="s">
        <v>21</v>
      </c>
      <c r="E36" s="12"/>
      <c r="F36" s="13">
        <v>10000</v>
      </c>
      <c r="G36" s="12"/>
      <c r="H36" s="39" t="s">
        <v>12</v>
      </c>
      <c r="I36" s="12"/>
      <c r="J36" s="14" t="s">
        <v>13</v>
      </c>
      <c r="K36" s="12"/>
      <c r="L36" s="15" t="s">
        <v>12</v>
      </c>
    </row>
    <row r="37" spans="1:12" ht="5.15" customHeight="1" x14ac:dyDescent="0.35">
      <c r="A37" s="2"/>
      <c r="B37" s="52"/>
      <c r="C37" s="59"/>
      <c r="D37" s="37"/>
      <c r="E37" s="7"/>
      <c r="F37" s="7"/>
      <c r="G37" s="7"/>
      <c r="H37" s="6"/>
      <c r="I37" s="7"/>
      <c r="J37" s="7"/>
      <c r="K37" s="7"/>
      <c r="L37" s="38"/>
    </row>
    <row r="38" spans="1:12" ht="5.15" customHeight="1" x14ac:dyDescent="0.35">
      <c r="A38" s="2"/>
      <c r="B38" s="52"/>
      <c r="C38" s="58"/>
      <c r="D38" s="2"/>
      <c r="E38" s="12"/>
      <c r="F38" s="12"/>
      <c r="G38" s="12"/>
      <c r="H38" s="9"/>
      <c r="I38" s="12"/>
      <c r="J38" s="12"/>
      <c r="K38" s="12"/>
      <c r="L38" s="10"/>
    </row>
    <row r="39" spans="1:12" ht="16" customHeight="1" x14ac:dyDescent="0.35">
      <c r="A39" s="2"/>
      <c r="B39" s="52"/>
      <c r="C39" s="58"/>
      <c r="D39" s="36" t="s">
        <v>22</v>
      </c>
      <c r="E39" s="12"/>
      <c r="F39" s="12"/>
      <c r="G39" s="12"/>
      <c r="H39" s="9"/>
      <c r="I39" s="12"/>
      <c r="J39" s="12"/>
      <c r="K39" s="12"/>
      <c r="L39" s="10"/>
    </row>
    <row r="40" spans="1:12" ht="22" customHeight="1" x14ac:dyDescent="0.35">
      <c r="A40" s="2"/>
      <c r="B40" s="52"/>
      <c r="C40" s="35"/>
      <c r="D40" s="2"/>
      <c r="E40" s="2"/>
      <c r="F40" s="2"/>
      <c r="G40" s="2"/>
      <c r="H40" s="9"/>
      <c r="I40" s="2"/>
      <c r="J40" s="2"/>
      <c r="K40" s="2"/>
      <c r="L40" s="10"/>
    </row>
    <row r="41" spans="1:12" ht="5.15" customHeight="1" thickBot="1" x14ac:dyDescent="0.4">
      <c r="A41" s="2"/>
      <c r="B41" s="53"/>
      <c r="C41" s="50"/>
      <c r="D41" s="40"/>
      <c r="E41" s="40"/>
      <c r="F41" s="40"/>
      <c r="G41" s="40"/>
      <c r="H41" s="42"/>
      <c r="I41" s="40"/>
      <c r="J41" s="40"/>
      <c r="K41" s="40"/>
      <c r="L41" s="43"/>
    </row>
    <row r="42" spans="1:12" ht="18" customHeight="1" x14ac:dyDescent="0.35">
      <c r="A42" s="2"/>
      <c r="B42" s="51" t="s">
        <v>14</v>
      </c>
      <c r="C42" s="2"/>
      <c r="D42" s="2"/>
      <c r="E42" s="2"/>
      <c r="F42" s="2"/>
      <c r="G42" s="2"/>
      <c r="H42" s="2"/>
      <c r="I42" s="2"/>
      <c r="J42" s="2"/>
      <c r="K42" s="2"/>
      <c r="L42" s="10"/>
    </row>
    <row r="43" spans="1:12" ht="17.149999999999999" customHeight="1" x14ac:dyDescent="0.35">
      <c r="A43" s="2"/>
      <c r="B43" s="52"/>
      <c r="C43" s="5"/>
      <c r="D43" s="6"/>
      <c r="E43" s="54" t="s">
        <v>8</v>
      </c>
      <c r="F43" s="55"/>
      <c r="G43" s="56"/>
      <c r="H43" s="4" t="s">
        <v>9</v>
      </c>
      <c r="I43" s="54" t="s">
        <v>10</v>
      </c>
      <c r="J43" s="55"/>
      <c r="K43" s="56"/>
      <c r="L43" s="11" t="s">
        <v>9</v>
      </c>
    </row>
    <row r="44" spans="1:12" ht="5.15" customHeight="1" x14ac:dyDescent="0.35">
      <c r="A44" s="2"/>
      <c r="B44" s="52"/>
      <c r="C44" s="58"/>
      <c r="D44" s="2"/>
      <c r="E44" s="12"/>
      <c r="F44" s="12"/>
      <c r="G44" s="12"/>
      <c r="H44" s="9"/>
      <c r="I44" s="12"/>
      <c r="J44" s="12"/>
      <c r="K44" s="12"/>
      <c r="L44" s="10"/>
    </row>
    <row r="45" spans="1:12" ht="16" customHeight="1" x14ac:dyDescent="0.35">
      <c r="A45" s="2"/>
      <c r="B45" s="52"/>
      <c r="C45" s="58"/>
      <c r="D45" s="36" t="s">
        <v>18</v>
      </c>
      <c r="E45" s="12"/>
      <c r="F45" s="13">
        <v>10000</v>
      </c>
      <c r="G45" s="12"/>
      <c r="H45" s="39" t="s">
        <v>12</v>
      </c>
      <c r="I45" s="12"/>
      <c r="J45" s="14" t="s">
        <v>13</v>
      </c>
      <c r="K45" s="12"/>
      <c r="L45" s="15" t="s">
        <v>12</v>
      </c>
    </row>
    <row r="46" spans="1:12" ht="5.15" customHeight="1" x14ac:dyDescent="0.35">
      <c r="A46" s="2"/>
      <c r="B46" s="52"/>
      <c r="C46" s="59"/>
      <c r="D46" s="37"/>
      <c r="E46" s="7"/>
      <c r="F46" s="7"/>
      <c r="G46" s="7"/>
      <c r="H46" s="6"/>
      <c r="I46" s="7"/>
      <c r="J46" s="7"/>
      <c r="K46" s="7"/>
      <c r="L46" s="38"/>
    </row>
    <row r="47" spans="1:12" ht="5.15" customHeight="1" x14ac:dyDescent="0.35">
      <c r="A47" s="2"/>
      <c r="B47" s="52"/>
      <c r="C47" s="58"/>
      <c r="D47" s="2"/>
      <c r="E47" s="12"/>
      <c r="F47" s="12"/>
      <c r="G47" s="12"/>
      <c r="H47" s="9"/>
      <c r="I47" s="12"/>
      <c r="J47" s="12"/>
      <c r="K47" s="12"/>
      <c r="L47" s="10"/>
    </row>
    <row r="48" spans="1:12" ht="16" customHeight="1" x14ac:dyDescent="0.35">
      <c r="A48" s="2"/>
      <c r="B48" s="52"/>
      <c r="C48" s="58"/>
      <c r="D48" s="36" t="s">
        <v>19</v>
      </c>
      <c r="E48" s="12"/>
      <c r="F48" s="28">
        <v>10000</v>
      </c>
      <c r="G48" s="12"/>
      <c r="H48" s="39" t="s">
        <v>23</v>
      </c>
      <c r="I48" s="12"/>
      <c r="J48" s="23" t="s">
        <v>13</v>
      </c>
      <c r="K48" s="12"/>
      <c r="L48" s="15" t="s">
        <v>24</v>
      </c>
    </row>
    <row r="49" spans="1:12" ht="5.15" customHeight="1" x14ac:dyDescent="0.35">
      <c r="A49" s="2"/>
      <c r="B49" s="52"/>
      <c r="C49" s="59"/>
      <c r="D49" s="37"/>
      <c r="E49" s="7"/>
      <c r="F49" s="7"/>
      <c r="G49" s="7"/>
      <c r="H49" s="6"/>
      <c r="I49" s="7"/>
      <c r="J49" s="7"/>
      <c r="K49" s="7"/>
      <c r="L49" s="38"/>
    </row>
    <row r="50" spans="1:12" ht="5.15" customHeight="1" x14ac:dyDescent="0.35">
      <c r="A50" s="2"/>
      <c r="B50" s="52"/>
      <c r="C50" s="58"/>
      <c r="D50" s="2"/>
      <c r="E50" s="12"/>
      <c r="F50" s="12"/>
      <c r="G50" s="12"/>
      <c r="H50" s="9"/>
      <c r="I50" s="12"/>
      <c r="J50" s="12"/>
      <c r="K50" s="12"/>
      <c r="L50" s="10"/>
    </row>
    <row r="51" spans="1:12" ht="16" customHeight="1" x14ac:dyDescent="0.35">
      <c r="A51" s="2"/>
      <c r="B51" s="52"/>
      <c r="C51" s="58"/>
      <c r="D51" s="36" t="s">
        <v>20</v>
      </c>
      <c r="E51" s="12"/>
      <c r="F51" s="13">
        <v>10000</v>
      </c>
      <c r="G51" s="12"/>
      <c r="H51" s="39" t="s">
        <v>12</v>
      </c>
      <c r="I51" s="12"/>
      <c r="J51" s="14" t="s">
        <v>13</v>
      </c>
      <c r="K51" s="12"/>
      <c r="L51" s="15" t="s">
        <v>12</v>
      </c>
    </row>
    <row r="52" spans="1:12" ht="5.15" customHeight="1" x14ac:dyDescent="0.35">
      <c r="A52" s="2"/>
      <c r="B52" s="52"/>
      <c r="C52" s="59"/>
      <c r="D52" s="37"/>
      <c r="E52" s="7"/>
      <c r="F52" s="7"/>
      <c r="G52" s="7"/>
      <c r="H52" s="6"/>
      <c r="I52" s="7"/>
      <c r="J52" s="7"/>
      <c r="K52" s="7"/>
      <c r="L52" s="38"/>
    </row>
    <row r="53" spans="1:12" ht="5.15" customHeight="1" x14ac:dyDescent="0.35">
      <c r="A53" s="2"/>
      <c r="B53" s="52"/>
      <c r="C53" s="58"/>
      <c r="D53" s="2"/>
      <c r="E53" s="12"/>
      <c r="F53" s="12"/>
      <c r="G53" s="12"/>
      <c r="H53" s="9"/>
      <c r="I53" s="12"/>
      <c r="J53" s="12"/>
      <c r="K53" s="12"/>
      <c r="L53" s="10"/>
    </row>
    <row r="54" spans="1:12" ht="16" customHeight="1" x14ac:dyDescent="0.35">
      <c r="A54" s="2"/>
      <c r="B54" s="52"/>
      <c r="C54" s="58"/>
      <c r="D54" s="36" t="s">
        <v>21</v>
      </c>
      <c r="E54" s="12"/>
      <c r="F54" s="25">
        <v>10000</v>
      </c>
      <c r="G54" s="12"/>
      <c r="H54" s="39" t="s">
        <v>25</v>
      </c>
      <c r="I54" s="12"/>
      <c r="J54" s="14" t="s">
        <v>13</v>
      </c>
      <c r="K54" s="12"/>
      <c r="L54" s="15" t="s">
        <v>24</v>
      </c>
    </row>
    <row r="55" spans="1:12" ht="5.15" customHeight="1" x14ac:dyDescent="0.35">
      <c r="A55" s="2"/>
      <c r="B55" s="52"/>
      <c r="C55" s="59"/>
      <c r="D55" s="37"/>
      <c r="E55" s="7"/>
      <c r="F55" s="7"/>
      <c r="G55" s="7"/>
      <c r="H55" s="6"/>
      <c r="I55" s="7"/>
      <c r="J55" s="7"/>
      <c r="K55" s="7"/>
      <c r="L55" s="38"/>
    </row>
    <row r="56" spans="1:12" ht="5.15" customHeight="1" x14ac:dyDescent="0.35">
      <c r="A56" s="2"/>
      <c r="B56" s="52"/>
      <c r="C56" s="58"/>
      <c r="D56" s="2"/>
      <c r="E56" s="12"/>
      <c r="F56" s="12"/>
      <c r="G56" s="12"/>
      <c r="H56" s="9"/>
      <c r="I56" s="12"/>
      <c r="J56" s="12"/>
      <c r="K56" s="12"/>
      <c r="L56" s="10"/>
    </row>
    <row r="57" spans="1:12" ht="16" customHeight="1" x14ac:dyDescent="0.35">
      <c r="A57" s="2"/>
      <c r="B57" s="52"/>
      <c r="C57" s="58"/>
      <c r="D57" s="36" t="s">
        <v>22</v>
      </c>
      <c r="E57" s="12"/>
      <c r="F57" s="12"/>
      <c r="G57" s="12"/>
      <c r="H57" s="9"/>
      <c r="I57" s="12"/>
      <c r="J57" s="12"/>
      <c r="K57" s="12"/>
      <c r="L57" s="10"/>
    </row>
    <row r="58" spans="1:12" ht="4.95" customHeight="1" x14ac:dyDescent="0.35">
      <c r="A58" s="2"/>
      <c r="B58" s="52"/>
      <c r="C58" s="35"/>
      <c r="D58" s="36"/>
      <c r="E58" s="12"/>
      <c r="F58" s="12"/>
      <c r="G58" s="12"/>
      <c r="H58" s="9"/>
      <c r="I58" s="12"/>
      <c r="J58" s="12"/>
      <c r="K58" s="12"/>
      <c r="L58" s="10"/>
    </row>
    <row r="59" spans="1:12" x14ac:dyDescent="0.35">
      <c r="A59" s="2"/>
      <c r="B59" s="52"/>
      <c r="C59" s="35"/>
      <c r="D59" s="31" t="s">
        <v>26</v>
      </c>
      <c r="E59" s="12"/>
      <c r="F59" s="44">
        <v>10000</v>
      </c>
      <c r="G59" s="12"/>
      <c r="H59" s="39" t="s">
        <v>27</v>
      </c>
      <c r="I59" s="12"/>
      <c r="J59" s="45" t="s">
        <v>13</v>
      </c>
      <c r="K59" s="12"/>
      <c r="L59" s="15" t="s">
        <v>27</v>
      </c>
    </row>
    <row r="60" spans="1:12" ht="4.95" customHeight="1" x14ac:dyDescent="0.35">
      <c r="A60" s="2"/>
      <c r="B60" s="52"/>
      <c r="C60" s="35"/>
      <c r="D60" s="30"/>
      <c r="E60" s="7"/>
      <c r="F60" s="7"/>
      <c r="G60" s="7"/>
      <c r="H60" s="6"/>
      <c r="I60" s="7"/>
      <c r="J60" s="7"/>
      <c r="K60" s="7"/>
      <c r="L60" s="38"/>
    </row>
    <row r="61" spans="1:12" ht="22" customHeight="1" x14ac:dyDescent="0.35">
      <c r="A61" s="2"/>
      <c r="B61" s="52"/>
      <c r="C61" s="35"/>
      <c r="D61" s="2"/>
      <c r="E61" s="2"/>
      <c r="F61" s="2"/>
      <c r="G61" s="2"/>
      <c r="H61" s="9"/>
      <c r="I61" s="2"/>
      <c r="J61" s="2"/>
      <c r="K61" s="2"/>
      <c r="L61" s="10"/>
    </row>
    <row r="62" spans="1:12" ht="5.15" customHeight="1" thickBot="1" x14ac:dyDescent="0.4">
      <c r="A62" s="2"/>
      <c r="B62" s="53"/>
      <c r="C62" s="50"/>
      <c r="D62" s="40"/>
      <c r="E62" s="40"/>
      <c r="F62" s="40"/>
      <c r="G62" s="40"/>
      <c r="H62" s="42"/>
      <c r="I62" s="40"/>
      <c r="J62" s="40"/>
      <c r="K62" s="40"/>
      <c r="L62" s="43"/>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61" t="s">
        <v>28</v>
      </c>
      <c r="C65" s="62"/>
      <c r="D65" s="62"/>
      <c r="E65" s="62"/>
      <c r="F65" s="62"/>
      <c r="G65" s="62"/>
      <c r="H65" s="62"/>
      <c r="I65" s="62"/>
      <c r="J65" s="62"/>
      <c r="K65" s="62"/>
      <c r="L65" s="63"/>
    </row>
    <row r="66" spans="1:12" ht="28.4" customHeight="1" x14ac:dyDescent="0.35">
      <c r="A66" s="2"/>
      <c r="B66" s="64"/>
      <c r="C66" s="65"/>
      <c r="D66" s="65"/>
      <c r="E66" s="65"/>
      <c r="F66" s="65"/>
      <c r="G66" s="65"/>
      <c r="H66" s="65"/>
      <c r="I66" s="65"/>
      <c r="J66" s="65"/>
      <c r="K66" s="65"/>
      <c r="L66" s="66"/>
    </row>
    <row r="67" spans="1:12" ht="21.75" customHeight="1" x14ac:dyDescent="0.35">
      <c r="A67" s="2"/>
      <c r="B67" s="51" t="s">
        <v>14</v>
      </c>
      <c r="C67" s="2"/>
      <c r="D67" s="2"/>
      <c r="E67" s="2"/>
      <c r="F67" s="2"/>
      <c r="G67" s="2"/>
      <c r="H67" s="2"/>
      <c r="I67" s="2"/>
      <c r="J67" s="2"/>
      <c r="K67" s="2"/>
      <c r="L67" s="10"/>
    </row>
    <row r="68" spans="1:12" ht="18" customHeight="1" x14ac:dyDescent="0.35">
      <c r="A68" s="2"/>
      <c r="B68" s="52"/>
      <c r="C68" s="5"/>
      <c r="D68" s="6"/>
      <c r="E68" s="54" t="s">
        <v>8</v>
      </c>
      <c r="F68" s="55"/>
      <c r="G68" s="56"/>
      <c r="H68" s="4" t="s">
        <v>9</v>
      </c>
      <c r="I68" s="54" t="s">
        <v>10</v>
      </c>
      <c r="J68" s="55"/>
      <c r="K68" s="56"/>
      <c r="L68" s="11" t="s">
        <v>9</v>
      </c>
    </row>
    <row r="69" spans="1:12" ht="5.15" customHeight="1" x14ac:dyDescent="0.35">
      <c r="A69" s="2"/>
      <c r="B69" s="52"/>
      <c r="C69" s="57"/>
      <c r="D69" s="2"/>
      <c r="E69" s="12"/>
      <c r="F69" s="12"/>
      <c r="G69" s="12"/>
      <c r="H69" s="8"/>
      <c r="I69" s="12"/>
      <c r="J69" s="12"/>
      <c r="K69" s="12"/>
      <c r="L69" s="10"/>
    </row>
    <row r="70" spans="1:12" ht="15.75" customHeight="1" x14ac:dyDescent="0.35">
      <c r="A70" s="2"/>
      <c r="B70" s="52"/>
      <c r="C70" s="58"/>
      <c r="D70" s="36" t="s">
        <v>29</v>
      </c>
      <c r="E70" s="12"/>
      <c r="F70" s="13">
        <v>10000</v>
      </c>
      <c r="G70" s="12"/>
      <c r="H70" s="39" t="s">
        <v>12</v>
      </c>
      <c r="I70" s="12"/>
      <c r="J70" s="14" t="s">
        <v>13</v>
      </c>
      <c r="K70" s="12"/>
      <c r="L70" s="15" t="s">
        <v>12</v>
      </c>
    </row>
    <row r="71" spans="1:12" ht="5.15" customHeight="1" x14ac:dyDescent="0.35">
      <c r="A71" s="2"/>
      <c r="B71" s="52"/>
      <c r="C71" s="59"/>
      <c r="D71" s="37"/>
      <c r="E71" s="7"/>
      <c r="F71" s="7"/>
      <c r="G71" s="7"/>
      <c r="H71" s="6"/>
      <c r="I71" s="7"/>
      <c r="J71" s="7"/>
      <c r="K71" s="7"/>
      <c r="L71" s="38"/>
    </row>
    <row r="72" spans="1:12" ht="5.15" customHeight="1" x14ac:dyDescent="0.35">
      <c r="A72" s="2"/>
      <c r="B72" s="52"/>
      <c r="C72" s="58"/>
      <c r="D72" s="2"/>
      <c r="E72" s="12"/>
      <c r="F72" s="12"/>
      <c r="G72" s="12"/>
      <c r="H72" s="9"/>
      <c r="I72" s="12"/>
      <c r="J72" s="12"/>
      <c r="K72" s="12"/>
      <c r="L72" s="10"/>
    </row>
    <row r="73" spans="1:12" ht="15.75" customHeight="1" x14ac:dyDescent="0.35">
      <c r="A73" s="2"/>
      <c r="B73" s="52"/>
      <c r="C73" s="58"/>
      <c r="D73" s="36" t="s">
        <v>30</v>
      </c>
      <c r="E73" s="12"/>
      <c r="F73" s="13">
        <v>10000</v>
      </c>
      <c r="G73" s="12"/>
      <c r="H73" s="39" t="s">
        <v>12</v>
      </c>
      <c r="I73" s="12"/>
      <c r="J73" s="14" t="s">
        <v>13</v>
      </c>
      <c r="K73" s="12"/>
      <c r="L73" s="15" t="s">
        <v>12</v>
      </c>
    </row>
    <row r="74" spans="1:12" ht="5.15" customHeight="1" x14ac:dyDescent="0.35">
      <c r="A74" s="2"/>
      <c r="B74" s="67"/>
      <c r="C74" s="59"/>
      <c r="D74" s="37"/>
      <c r="E74" s="7"/>
      <c r="F74" s="7"/>
      <c r="G74" s="7"/>
      <c r="H74" s="6"/>
      <c r="I74" s="7"/>
      <c r="J74" s="7"/>
      <c r="K74" s="7"/>
      <c r="L74" s="38"/>
    </row>
    <row r="75" spans="1:12" ht="21.75" customHeight="1" x14ac:dyDescent="0.35">
      <c r="A75" s="2"/>
      <c r="B75" s="51" t="s">
        <v>6</v>
      </c>
      <c r="C75" s="2"/>
      <c r="D75" s="2"/>
      <c r="E75" s="2"/>
      <c r="F75" s="2"/>
      <c r="G75" s="2"/>
      <c r="H75" s="2"/>
      <c r="I75" s="2"/>
      <c r="J75" s="2"/>
      <c r="K75" s="2"/>
      <c r="L75" s="10"/>
    </row>
    <row r="76" spans="1:12" ht="18" customHeight="1" x14ac:dyDescent="0.35">
      <c r="A76" s="2"/>
      <c r="B76" s="52"/>
      <c r="C76" s="5"/>
      <c r="D76" s="6"/>
      <c r="E76" s="54" t="s">
        <v>8</v>
      </c>
      <c r="F76" s="55"/>
      <c r="G76" s="56"/>
      <c r="H76" s="4" t="s">
        <v>9</v>
      </c>
      <c r="I76" s="54" t="s">
        <v>10</v>
      </c>
      <c r="J76" s="55"/>
      <c r="K76" s="56"/>
      <c r="L76" s="11" t="s">
        <v>9</v>
      </c>
    </row>
    <row r="77" spans="1:12" ht="5.15" customHeight="1" x14ac:dyDescent="0.35">
      <c r="A77" s="2"/>
      <c r="B77" s="52"/>
      <c r="C77" s="57"/>
      <c r="D77" s="2"/>
      <c r="E77" s="12"/>
      <c r="F77" s="12"/>
      <c r="G77" s="12"/>
      <c r="H77" s="8"/>
      <c r="I77" s="12"/>
      <c r="J77" s="12"/>
      <c r="K77" s="12"/>
      <c r="L77" s="10"/>
    </row>
    <row r="78" spans="1:12" ht="15.75" customHeight="1" x14ac:dyDescent="0.35">
      <c r="A78" s="2"/>
      <c r="B78" s="52"/>
      <c r="C78" s="58"/>
      <c r="D78" s="36" t="s">
        <v>29</v>
      </c>
      <c r="E78" s="12"/>
      <c r="F78" s="13">
        <v>10000</v>
      </c>
      <c r="G78" s="12"/>
      <c r="H78" s="39" t="s">
        <v>12</v>
      </c>
      <c r="I78" s="12"/>
      <c r="J78" s="14" t="s">
        <v>13</v>
      </c>
      <c r="K78" s="12"/>
      <c r="L78" s="15" t="s">
        <v>12</v>
      </c>
    </row>
    <row r="79" spans="1:12" ht="5.15" customHeight="1" x14ac:dyDescent="0.35">
      <c r="A79" s="2"/>
      <c r="B79" s="52"/>
      <c r="C79" s="59"/>
      <c r="D79" s="37"/>
      <c r="E79" s="7"/>
      <c r="F79" s="7"/>
      <c r="G79" s="7"/>
      <c r="H79" s="6"/>
      <c r="I79" s="7"/>
      <c r="J79" s="7"/>
      <c r="K79" s="7"/>
      <c r="L79" s="38"/>
    </row>
    <row r="80" spans="1:12" ht="5.15" customHeight="1" x14ac:dyDescent="0.35">
      <c r="A80" s="2"/>
      <c r="B80" s="52"/>
      <c r="C80" s="58"/>
      <c r="D80" s="2"/>
      <c r="E80" s="12"/>
      <c r="F80" s="12"/>
      <c r="G80" s="12"/>
      <c r="H80" s="9"/>
      <c r="I80" s="12"/>
      <c r="J80" s="12"/>
      <c r="K80" s="12"/>
      <c r="L80" s="10"/>
    </row>
    <row r="81" spans="1:12" ht="15.75" customHeight="1" x14ac:dyDescent="0.35">
      <c r="A81" s="2"/>
      <c r="B81" s="52"/>
      <c r="C81" s="58"/>
      <c r="D81" s="36" t="s">
        <v>30</v>
      </c>
      <c r="E81" s="12"/>
      <c r="F81" s="13">
        <v>10000</v>
      </c>
      <c r="G81" s="12"/>
      <c r="H81" s="39" t="s">
        <v>12</v>
      </c>
      <c r="I81" s="12"/>
      <c r="J81" s="14" t="s">
        <v>13</v>
      </c>
      <c r="K81" s="12"/>
      <c r="L81" s="15" t="s">
        <v>12</v>
      </c>
    </row>
    <row r="82" spans="1:12" ht="5.15" customHeight="1" thickBot="1" x14ac:dyDescent="0.4">
      <c r="A82" s="2"/>
      <c r="B82" s="53"/>
      <c r="C82" s="60"/>
      <c r="D82" s="40"/>
      <c r="E82" s="41"/>
      <c r="F82" s="41"/>
      <c r="G82" s="41"/>
      <c r="H82" s="42"/>
      <c r="I82" s="41"/>
      <c r="J82" s="41"/>
      <c r="K82" s="41"/>
      <c r="L82" s="43"/>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mergeCells count="43">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 ref="E25:G25"/>
    <mergeCell ref="I25:K25"/>
    <mergeCell ref="C26:C28"/>
    <mergeCell ref="C29:C31"/>
    <mergeCell ref="C32:C34"/>
    <mergeCell ref="C35:C37"/>
    <mergeCell ref="C38:C39"/>
    <mergeCell ref="B42:B62"/>
    <mergeCell ref="E43:G43"/>
    <mergeCell ref="I43:K43"/>
    <mergeCell ref="C44:C46"/>
    <mergeCell ref="C47:C49"/>
    <mergeCell ref="C50:C52"/>
    <mergeCell ref="C53:C55"/>
    <mergeCell ref="C56:C57"/>
    <mergeCell ref="B65:L65"/>
    <mergeCell ref="B66:L66"/>
    <mergeCell ref="B67:B74"/>
    <mergeCell ref="E68:G68"/>
    <mergeCell ref="I68:K68"/>
    <mergeCell ref="C69:C71"/>
    <mergeCell ref="C72:C74"/>
    <mergeCell ref="B75:B82"/>
    <mergeCell ref="E76:G76"/>
    <mergeCell ref="I76:K76"/>
    <mergeCell ref="C77:C79"/>
    <mergeCell ref="C80:C82"/>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097" r:id="rId5" name="cbApplyLevelFormatting">
          <controlPr defaultSize="0" autoFill="0" autoLine="0" r:id="rId6">
            <anchor moveWithCells="1">
              <from>
                <xdr:col>7</xdr:col>
                <xdr:colOff>1485900</xdr:colOff>
                <xdr:row>4</xdr:row>
                <xdr:rowOff>65314</xdr:rowOff>
              </from>
              <to>
                <xdr:col>7</xdr:col>
                <xdr:colOff>1611086</xdr:colOff>
                <xdr:row>4</xdr:row>
                <xdr:rowOff>353786</xdr:rowOff>
              </to>
            </anchor>
          </controlPr>
        </control>
      </mc:Choice>
      <mc:Fallback>
        <control shapeId="4097" r:id="rId5" name="cbApplyLevelFormatting"/>
      </mc:Fallback>
    </mc:AlternateContent>
    <mc:AlternateContent xmlns:mc="http://schemas.openxmlformats.org/markup-compatibility/2006">
      <mc:Choice Requires="x14">
        <control shapeId="4123" r:id="rId7" name="cbApplyMemberFormatting">
          <controlPr defaultSize="0" autoFill="0" autoLine="0" r:id="rId8">
            <anchor moveWithCells="1">
              <from>
                <xdr:col>9</xdr:col>
                <xdr:colOff>478971</xdr:colOff>
                <xdr:row>21</xdr:row>
                <xdr:rowOff>65314</xdr:rowOff>
              </from>
              <to>
                <xdr:col>9</xdr:col>
                <xdr:colOff>604157</xdr:colOff>
                <xdr:row>21</xdr:row>
                <xdr:rowOff>353786</xdr:rowOff>
              </to>
            </anchor>
          </controlPr>
        </control>
      </mc:Choice>
      <mc:Fallback>
        <control shapeId="4123" r:id="rId7" name="cbApplyMemberFormatting"/>
      </mc:Fallback>
    </mc:AlternateContent>
    <mc:AlternateContent xmlns:mc="http://schemas.openxmlformats.org/markup-compatibility/2006">
      <mc:Choice Requires="x14">
        <control shapeId="4141" r:id="rId9" name="cbApplyOddEvenFormatting">
          <controlPr defaultSize="0" autoFill="0" autoLine="0" r:id="rId10">
            <anchor moveWithCells="1">
              <from>
                <xdr:col>7</xdr:col>
                <xdr:colOff>1676400</xdr:colOff>
                <xdr:row>64</xdr:row>
                <xdr:rowOff>65314</xdr:rowOff>
              </from>
              <to>
                <xdr:col>7</xdr:col>
                <xdr:colOff>1801586</xdr:colOff>
                <xdr:row>64</xdr:row>
                <xdr:rowOff>353786</xdr:rowOff>
              </to>
            </anchor>
          </controlPr>
        </control>
      </mc:Choice>
      <mc:Fallback>
        <control shapeId="4141" r:id="rId9" name="cbApplyOddEvenFormatting"/>
      </mc:Fallback>
    </mc:AlternateContent>
    <mc:AlternateContent xmlns:mc="http://schemas.openxmlformats.org/markup-compatibility/2006">
      <mc:Choice Requires="x14">
        <control shapeId="4149" r:id="rId11" name="cbApplyPageHeaderFormatting">
          <controlPr defaultSize="0" autoFill="0" autoLine="0" r:id="rId12">
            <anchor moveWithCells="1">
              <from>
                <xdr:col>7</xdr:col>
                <xdr:colOff>1524000</xdr:colOff>
                <xdr:row>83</xdr:row>
                <xdr:rowOff>0</xdr:rowOff>
              </from>
              <to>
                <xdr:col>7</xdr:col>
                <xdr:colOff>1649186</xdr:colOff>
                <xdr:row>84</xdr:row>
                <xdr:rowOff>108857</xdr:rowOff>
              </to>
            </anchor>
          </controlPr>
        </control>
      </mc:Choice>
      <mc:Fallback>
        <control shapeId="4149" r:id="rId11" name="cbApplyPageHeader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10"/>
  <sheetViews>
    <sheetView showGridLines="0" tabSelected="1" zoomScaleNormal="100" workbookViewId="0">
      <pane xSplit="10" ySplit="3" topLeftCell="K4" activePane="bottomRight" state="frozen"/>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2.3828125" bestFit="1" customWidth="1"/>
    <col min="9" max="9" width="11.84375" bestFit="1" customWidth="1"/>
    <col min="10" max="10" width="33.53515625" bestFit="1" customWidth="1"/>
    <col min="11" max="11" width="8.53515625" bestFit="1" customWidth="1"/>
    <col min="12" max="12" width="8.3828125" bestFit="1" customWidth="1"/>
    <col min="13" max="13" width="9.3828125" bestFit="1" customWidth="1"/>
    <col min="14" max="14" width="8.69140625" bestFit="1" customWidth="1"/>
    <col min="15" max="15" width="9.3828125" bestFit="1" customWidth="1"/>
    <col min="16" max="16" width="8.53515625" bestFit="1" customWidth="1"/>
    <col min="17" max="17" width="8.15234375" bestFit="1" customWidth="1"/>
    <col min="18" max="18" width="9.15234375" bestFit="1" customWidth="1"/>
    <col min="19" max="19" width="8.3046875" bestFit="1" customWidth="1"/>
    <col min="20" max="20" width="8.69140625" bestFit="1" customWidth="1"/>
    <col min="21" max="21" width="9.15234375" bestFit="1" customWidth="1"/>
    <col min="22" max="22" width="8.53515625" bestFit="1" customWidth="1"/>
    <col min="23" max="23" width="8.38281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6" customFormat="1" ht="28.3" x14ac:dyDescent="0.4">
      <c r="A1" s="77" t="s">
        <v>31</v>
      </c>
      <c r="B1" s="78"/>
      <c r="C1" s="78"/>
      <c r="D1" s="78"/>
      <c r="E1" s="78"/>
      <c r="F1" s="78"/>
      <c r="G1" s="78"/>
      <c r="H1" s="78"/>
      <c r="I1" s="78"/>
      <c r="J1" s="78"/>
      <c r="K1" s="79" t="str">
        <f>" "&amp;IFERROR(IF(SOP_Favorite_Name&lt;&gt;" ",SOP_Favorite_Name,IF(SOP_Template_Name&lt;&gt;" ",SOP_Template_Name,"Ad Hoc Planning View")),"Offline")</f>
        <v xml:space="preserve"> Main and Details View</v>
      </c>
      <c r="L1" s="79"/>
      <c r="M1" s="79"/>
      <c r="N1" s="79"/>
      <c r="O1" s="79"/>
      <c r="P1" s="79"/>
      <c r="Q1" s="80" t="str">
        <f>"User: "&amp;_xll.EPMUser()&amp;"   |    Planning Area: "&amp;IFERROR(SOP_Planning_Area,"Offline")&amp;"
"&amp;"Template: "&amp;IFERROR(SOP_Template_Name,"none")</f>
        <v>User: #Error, no current connection.   |    Planning Area: SAP6
Template: template name</v>
      </c>
      <c r="R1" s="80"/>
      <c r="S1" s="80"/>
      <c r="T1" s="80"/>
      <c r="U1" s="80"/>
      <c r="V1" s="80"/>
      <c r="W1" s="46"/>
      <c r="X1" s="47"/>
      <c r="Y1" s="47"/>
      <c r="Z1" s="47"/>
      <c r="AA1" s="47"/>
      <c r="AB1" s="47"/>
      <c r="AC1" s="47"/>
      <c r="AD1" s="47"/>
      <c r="BR1" s="48"/>
      <c r="BS1" s="48"/>
      <c r="BT1" s="48"/>
      <c r="BU1" s="48"/>
      <c r="BV1" s="48"/>
      <c r="BW1" s="48"/>
      <c r="BX1" s="48"/>
      <c r="BY1" s="48"/>
      <c r="BZ1" s="48"/>
      <c r="CA1" s="48"/>
      <c r="CB1" s="48"/>
      <c r="CC1" s="48"/>
      <c r="CD1" s="48"/>
    </row>
    <row r="2" spans="1:82" s="26" customFormat="1" ht="60" customHeight="1" x14ac:dyDescent="0.4">
      <c r="A2" s="81"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81"/>
      <c r="C2" s="81"/>
      <c r="D2" s="81"/>
      <c r="E2" s="81"/>
      <c r="F2" s="81"/>
      <c r="G2" s="81"/>
      <c r="H2" s="81"/>
      <c r="I2" s="81"/>
      <c r="J2" s="81"/>
      <c r="K2" s="82" t="str">
        <f>"  Last Refresh: "&amp;IFERROR(YEAR(SOP_Refresh_Timestamp)&amp;"-"&amp;TEXT(SOP_Refresh_Timestamp,"MMM")&amp;"-"&amp;DAY(SOP_Refresh_Timestamp)&amp;"   "&amp;TEXT(SOP_Refresh_Timestamp,"HH:MM:SS"),"Offline")</f>
        <v xml:space="preserve">  Last Refresh: 2022-Jan-31   09:43:20</v>
      </c>
      <c r="L2" s="82"/>
      <c r="M2" s="82"/>
      <c r="N2" s="82"/>
      <c r="O2" s="82"/>
      <c r="P2" s="82"/>
      <c r="Q2" s="82"/>
      <c r="R2" s="82"/>
      <c r="S2" s="82"/>
      <c r="T2" s="82"/>
      <c r="U2" s="82"/>
      <c r="V2" s="82"/>
      <c r="W2" s="46"/>
      <c r="X2" s="47"/>
      <c r="Y2" s="47"/>
      <c r="Z2" s="47"/>
      <c r="AA2" s="47"/>
      <c r="AB2" s="47"/>
      <c r="AC2" s="47"/>
      <c r="AD2" s="47"/>
      <c r="BR2" s="48"/>
      <c r="BS2" s="48"/>
      <c r="BT2" s="48"/>
      <c r="BU2" s="48"/>
      <c r="BV2" s="48"/>
      <c r="BW2" s="48"/>
      <c r="BX2" s="48"/>
      <c r="BY2" s="48"/>
      <c r="BZ2" s="48"/>
      <c r="CA2" s="48"/>
      <c r="CB2" s="48"/>
      <c r="CC2" s="48"/>
      <c r="CD2" s="48"/>
    </row>
    <row r="3" spans="1:82" s="27" customFormat="1" x14ac:dyDescent="0.4">
      <c r="A3" s="49" t="str">
        <f>SOP_Heading10</f>
        <v xml:space="preserve"> </v>
      </c>
      <c r="B3" s="49" t="str">
        <f>SOP_Heading9</f>
        <v xml:space="preserve"> </v>
      </c>
      <c r="C3" s="49" t="str">
        <f>SOP_Heading8</f>
        <v xml:space="preserve"> </v>
      </c>
      <c r="D3" s="49" t="str">
        <f>SOP_Heading7</f>
        <v xml:space="preserve"> </v>
      </c>
      <c r="E3" s="49" t="str">
        <f>SOP_Heading6</f>
        <v xml:space="preserve"> </v>
      </c>
      <c r="F3" s="49" t="str">
        <f>SOP_Heading5</f>
        <v xml:space="preserve"> </v>
      </c>
      <c r="G3" s="49" t="str">
        <f>SOP_Heading4</f>
        <v xml:space="preserve"> </v>
      </c>
      <c r="H3" s="49" t="str">
        <f>SOP_Heading3</f>
        <v xml:space="preserve"> </v>
      </c>
      <c r="I3" s="49" t="str">
        <f>SOP_Heading2</f>
        <v>Product ID</v>
      </c>
      <c r="J3" s="49" t="str">
        <f>SOP_Heading1</f>
        <v>Key Figure</v>
      </c>
      <c r="K3" s="32" t="str">
        <f xml:space="preserve"> _xll.EPMOlapMemberO("[PERIODID3].[].[70613]","","JAN 2021","","000")</f>
        <v>JAN 2021</v>
      </c>
      <c r="L3" s="32" t="str">
        <f xml:space="preserve"> _xll.EPMOlapMemberO("[PERIODID3].[].[70614]","","FEB 2021","","000")</f>
        <v>FEB 2021</v>
      </c>
      <c r="M3" s="32" t="str">
        <f xml:space="preserve"> _xll.EPMOlapMemberO("[PERIODID3].[].[70615]","","MAR 2021","","000")</f>
        <v>MAR 2021</v>
      </c>
      <c r="N3" s="32" t="str">
        <f xml:space="preserve"> _xll.EPMOlapMemberO("[PERIODID3].[].[70616]","","APR 2021","","000")</f>
        <v>APR 2021</v>
      </c>
      <c r="O3" s="32" t="str">
        <f xml:space="preserve"> _xll.EPMOlapMemberO("[PERIODID3].[].[70617]","","MAY 2021","","000")</f>
        <v>MAY 2021</v>
      </c>
      <c r="P3" s="32" t="str">
        <f xml:space="preserve"> _xll.EPMOlapMemberO("[PERIODID3].[].[70618]","","JUN 2021","","000")</f>
        <v>JUN 2021</v>
      </c>
      <c r="Q3" s="32" t="str">
        <f xml:space="preserve"> _xll.EPMOlapMemberO("[PERIODID3].[].[70619]","","JUL 2021","","000")</f>
        <v>JUL 2021</v>
      </c>
      <c r="R3" s="32" t="str">
        <f xml:space="preserve"> _xll.EPMOlapMemberO("[PERIODID3].[].[70620]","","AUG 2021","","000")</f>
        <v>AUG 2021</v>
      </c>
      <c r="S3" s="32" t="str">
        <f xml:space="preserve"> _xll.EPMOlapMemberO("[PERIODID3].[].[70621]","","SEP 2021","","000")</f>
        <v>SEP 2021</v>
      </c>
      <c r="T3" s="32" t="str">
        <f xml:space="preserve"> _xll.EPMOlapMemberO("[PERIODID3].[].[70622]","","OCT 2021","","000")</f>
        <v>OCT 2021</v>
      </c>
      <c r="U3" s="32" t="str">
        <f xml:space="preserve"> _xll.EPMOlapMemberO("[PERIODID3].[].[70623]","","NOV 2021","","000")</f>
        <v>NOV 2021</v>
      </c>
      <c r="V3" s="32" t="str">
        <f xml:space="preserve"> _xll.EPMOlapMemberO("[PERIODID3].[].[70624]","","DEC 2021","","000")</f>
        <v>DEC 2021</v>
      </c>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row>
    <row r="4" spans="1:82" x14ac:dyDescent="0.4">
      <c r="I4" s="24" t="str">
        <f xml:space="preserve"> _xll.EPMOlapMemberO("[PRDID].[].[HT_003]","","HT_003","","000")</f>
        <v>HT_003</v>
      </c>
      <c r="J4" s="24" t="str">
        <f xml:space="preserve"> _xll.EPMOlapMemberO("[KEY_FIGURES].[].[CONSENSUSDEMAND]","","Consensus Demand without Promotion","","000")</f>
        <v>Consensus Demand without Promotion</v>
      </c>
      <c r="K4" s="34"/>
      <c r="L4" s="34"/>
      <c r="M4" s="34"/>
      <c r="N4" s="34"/>
      <c r="O4" s="34"/>
      <c r="P4" s="34"/>
      <c r="Q4" s="34"/>
      <c r="R4" s="34"/>
      <c r="S4" s="34"/>
      <c r="T4" s="34"/>
      <c r="U4" s="34"/>
      <c r="V4" s="34"/>
    </row>
    <row r="5" spans="1:82" x14ac:dyDescent="0.4">
      <c r="I5" s="24" t="str">
        <f xml:space="preserve"> _xll.EPMOlapMemberO("[PRDID].[].[HT_004]","","HT_004","","000")</f>
        <v>HT_004</v>
      </c>
      <c r="J5" s="24" t="str">
        <f xml:space="preserve"> _xll.EPMOlapMemberO("[KEY_FIGURES].[].[CONSENSUSDEMAND]","","Consensus Demand without Promotion","","000")</f>
        <v>Consensus Demand without Promotion</v>
      </c>
      <c r="K5" s="34"/>
      <c r="L5" s="34"/>
      <c r="M5" s="34"/>
      <c r="N5" s="34"/>
      <c r="O5" s="34"/>
      <c r="P5" s="34"/>
      <c r="Q5" s="34"/>
      <c r="R5" s="34"/>
      <c r="S5" s="34"/>
      <c r="T5" s="34"/>
      <c r="U5" s="34"/>
      <c r="V5" s="34"/>
    </row>
    <row r="6" spans="1:82" x14ac:dyDescent="0.4">
      <c r="I6" s="24" t="str">
        <f xml:space="preserve"> _xll.EPMOlapMemberO("[PRDID].[].[HT_009]","","HT_009","","000")</f>
        <v>HT_009</v>
      </c>
      <c r="J6" s="24" t="str">
        <f xml:space="preserve"> _xll.EPMOlapMemberO("[KEY_FIGURES].[].[CONSENSUSDEMAND]","","Consensus Demand without Promotion","","000")</f>
        <v>Consensus Demand without Promotion</v>
      </c>
      <c r="K6" s="34"/>
      <c r="L6" s="34"/>
      <c r="M6" s="34"/>
      <c r="N6" s="34"/>
      <c r="O6" s="34"/>
      <c r="P6" s="34"/>
      <c r="Q6" s="34"/>
      <c r="R6" s="34"/>
      <c r="S6" s="34"/>
      <c r="T6" s="34"/>
      <c r="U6" s="34"/>
      <c r="V6" s="34"/>
    </row>
    <row r="7" spans="1:82" x14ac:dyDescent="0.4">
      <c r="I7" s="24" t="str">
        <f xml:space="preserve"> _xll.EPMOlapMemberO("[PRDID].[].[HT_010]","","HT_010","","000")</f>
        <v>HT_010</v>
      </c>
      <c r="J7" s="24" t="str">
        <f xml:space="preserve"> _xll.EPMOlapMemberO("[KEY_FIGURES].[].[CONSENSUSDEMAND]","","Consensus Demand without Promotion","","000")</f>
        <v>Consensus Demand without Promotion</v>
      </c>
      <c r="K7" s="34"/>
      <c r="L7" s="34"/>
      <c r="M7" s="34"/>
      <c r="N7" s="34"/>
      <c r="O7" s="34"/>
      <c r="P7" s="34"/>
      <c r="Q7" s="34"/>
      <c r="R7" s="34"/>
      <c r="S7" s="34"/>
      <c r="T7" s="34"/>
      <c r="U7" s="34"/>
      <c r="V7" s="34"/>
    </row>
    <row r="8" spans="1:82" x14ac:dyDescent="0.4">
      <c r="I8" s="24" t="str">
        <f xml:space="preserve"> _xll.EPMOlapMemberO("[PRDID].[].[HT_011]","","HT_011","","000")</f>
        <v>HT_011</v>
      </c>
      <c r="J8" s="24" t="str">
        <f xml:space="preserve"> _xll.EPMOlapMemberO("[KEY_FIGURES].[].[CONSENSUSDEMAND]","","Consensus Demand without Promotion","","000")</f>
        <v>Consensus Demand without Promotion</v>
      </c>
      <c r="K8" s="34"/>
      <c r="L8" s="34"/>
      <c r="M8" s="34"/>
      <c r="N8" s="34"/>
      <c r="O8" s="34"/>
      <c r="P8" s="34"/>
      <c r="Q8" s="34"/>
      <c r="R8" s="34"/>
      <c r="S8" s="34"/>
      <c r="T8" s="34"/>
      <c r="U8" s="34"/>
      <c r="V8" s="34"/>
    </row>
    <row r="9" spans="1:82" x14ac:dyDescent="0.4">
      <c r="I9" s="24" t="str">
        <f xml:space="preserve"> _xll.EPMOlapMemberO("[PRDID].[].[HT_013]","","HT_013","","000")</f>
        <v>HT_013</v>
      </c>
      <c r="J9" s="24" t="str">
        <f xml:space="preserve"> _xll.EPMOlapMemberO("[KEY_FIGURES].[].[CONSENSUSDEMAND]","","Consensus Demand without Promotion","","000")</f>
        <v>Consensus Demand without Promotion</v>
      </c>
      <c r="K9" s="34"/>
      <c r="L9" s="34"/>
      <c r="M9" s="34"/>
      <c r="N9" s="34"/>
      <c r="O9" s="34"/>
      <c r="P9" s="34"/>
      <c r="Q9" s="34"/>
      <c r="R9" s="34"/>
      <c r="S9" s="34"/>
      <c r="T9" s="34"/>
      <c r="U9" s="34"/>
      <c r="V9" s="34"/>
    </row>
    <row r="10" spans="1:82" x14ac:dyDescent="0.4">
      <c r="I10" s="24" t="str">
        <f xml:space="preserve"> _xll.EPMOlapMemberO("[PRDID].[].[HT_014]","","HT_014","","000")</f>
        <v>HT_014</v>
      </c>
      <c r="J10" s="24" t="str">
        <f xml:space="preserve"> _xll.EPMOlapMemberO("[KEY_FIGURES].[].[CONSENSUSDEMAND]","","Consensus Demand without Promotion","","000")</f>
        <v>Consensus Demand without Promotion</v>
      </c>
      <c r="K10" s="34"/>
      <c r="L10" s="34"/>
      <c r="M10" s="34"/>
      <c r="N10" s="34"/>
      <c r="O10" s="34"/>
      <c r="P10" s="34"/>
      <c r="Q10" s="34"/>
      <c r="R10" s="34"/>
      <c r="S10" s="34"/>
      <c r="T10" s="34"/>
      <c r="U10" s="34"/>
      <c r="V10" s="34"/>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093" r:id="rId8" name="FPMExcelClientSheetOptionstb1">
          <controlPr defaultSize="0" autoLine="0" r:id="rId9">
            <anchor moveWithCells="1" sizeWithCells="1">
              <from>
                <xdr:col>0</xdr:col>
                <xdr:colOff>0</xdr:colOff>
                <xdr:row>0</xdr:row>
                <xdr:rowOff>0</xdr:rowOff>
              </from>
              <to>
                <xdr:col>0</xdr:col>
                <xdr:colOff>0</xdr:colOff>
                <xdr:row>0</xdr:row>
                <xdr:rowOff>0</xdr:rowOff>
              </to>
            </anchor>
          </controlPr>
        </control>
      </mc:Choice>
      <mc:Fallback>
        <control shapeId="3093" r:id="rId8" name="FPMExcelClientSheetOptionstb1"/>
      </mc:Fallback>
    </mc:AlternateContent>
    <mc:AlternateContent xmlns:mc="http://schemas.openxmlformats.org/markup-compatibility/2006">
      <mc:Choice Requires="x14">
        <control shapeId="3115" r:id="rId10" name="TextBox1">
          <controlPr defaultSize="0" disabled="1" autoLine="0" r:id="rId11">
            <anchor>
              <from>
                <xdr:col>0</xdr:col>
                <xdr:colOff>38100</xdr:colOff>
                <xdr:row>2</xdr:row>
                <xdr:rowOff>152400</xdr:rowOff>
              </from>
              <to>
                <xdr:col>0</xdr:col>
                <xdr:colOff>43543</xdr:colOff>
                <xdr:row>2</xdr:row>
                <xdr:rowOff>157843</xdr:rowOff>
              </to>
            </anchor>
          </controlPr>
        </control>
      </mc:Choice>
      <mc:Fallback>
        <control shapeId="3115" r:id="rId10" name="TextBox1"/>
      </mc:Fallback>
    </mc:AlternateContent>
    <mc:AlternateContent xmlns:mc="http://schemas.openxmlformats.org/markup-compatibility/2006">
      <mc:Choice Requires="x14">
        <control shapeId="3119" r:id="rId12" name="TextBox2">
          <controlPr defaultSize="0" disabled="1" autoLine="0" r:id="rId13">
            <anchor>
              <from>
                <xdr:col>8</xdr:col>
                <xdr:colOff>593271</xdr:colOff>
                <xdr:row>2</xdr:row>
                <xdr:rowOff>152400</xdr:rowOff>
              </from>
              <to>
                <xdr:col>8</xdr:col>
                <xdr:colOff>598714</xdr:colOff>
                <xdr:row>2</xdr:row>
                <xdr:rowOff>157843</xdr:rowOff>
              </to>
            </anchor>
          </controlPr>
        </control>
      </mc:Choice>
      <mc:Fallback>
        <control shapeId="3119" r:id="rId12" name="TextBox2"/>
      </mc:Fallback>
    </mc:AlternateContent>
    <mc:AlternateContent xmlns:mc="http://schemas.openxmlformats.org/markup-compatibility/2006">
      <mc:Choice Requires="x14">
        <control shapeId="3130" r:id="rId14" name="AnalyzerDynReport000tb1">
          <controlPr defaultSize="0" autoLine="0" autoPict="0" r:id="rId15">
            <anchor moveWithCells="1" sizeWithCells="1">
              <from>
                <xdr:col>0</xdr:col>
                <xdr:colOff>0</xdr:colOff>
                <xdr:row>0</xdr:row>
                <xdr:rowOff>0</xdr:rowOff>
              </from>
              <to>
                <xdr:col>6</xdr:col>
                <xdr:colOff>97971</xdr:colOff>
                <xdr:row>0</xdr:row>
                <xdr:rowOff>0</xdr:rowOff>
              </to>
            </anchor>
          </controlPr>
        </control>
      </mc:Choice>
      <mc:Fallback>
        <control shapeId="3130" r:id="rId14" name="AnalyzerDynReport000tb1"/>
      </mc:Fallback>
    </mc:AlternateContent>
    <mc:AlternateContent xmlns:mc="http://schemas.openxmlformats.org/markup-compatibility/2006">
      <mc:Choice Requires="x14">
        <control shapeId="3131" r:id="rId16" name="ConnectionDescriptorsInfotb1">
          <controlPr defaultSize="0" autoLine="0" autoPict="0" r:id="rId17">
            <anchor moveWithCells="1" sizeWithCells="1">
              <from>
                <xdr:col>0</xdr:col>
                <xdr:colOff>0</xdr:colOff>
                <xdr:row>0</xdr:row>
                <xdr:rowOff>0</xdr:rowOff>
              </from>
              <to>
                <xdr:col>6</xdr:col>
                <xdr:colOff>97971</xdr:colOff>
                <xdr:row>0</xdr:row>
                <xdr:rowOff>0</xdr:rowOff>
              </to>
            </anchor>
          </controlPr>
        </control>
      </mc:Choice>
      <mc:Fallback>
        <control shapeId="3131" r:id="rId16" name="ConnectionDescriptorsInfotb1"/>
      </mc:Fallback>
    </mc:AlternateContent>
    <mc:AlternateContent xmlns:mc="http://schemas.openxmlformats.org/markup-compatibility/2006">
      <mc:Choice Requires="x14">
        <control shapeId="3132" r:id="rId18" name="MultipleReportManagerInfotb1">
          <controlPr defaultSize="0" autoLine="0" autoPict="0" r:id="rId19">
            <anchor moveWithCells="1" sizeWithCells="1">
              <from>
                <xdr:col>0</xdr:col>
                <xdr:colOff>0</xdr:colOff>
                <xdr:row>0</xdr:row>
                <xdr:rowOff>0</xdr:rowOff>
              </from>
              <to>
                <xdr:col>6</xdr:col>
                <xdr:colOff>97971</xdr:colOff>
                <xdr:row>0</xdr:row>
                <xdr:rowOff>0</xdr:rowOff>
              </to>
            </anchor>
          </controlPr>
        </control>
      </mc:Choice>
      <mc:Fallback>
        <control shapeId="3132" r:id="rId18" name="MultipleReportManagerInfotb1"/>
      </mc:Fallback>
    </mc:AlternateContent>
    <mc:AlternateContent xmlns:mc="http://schemas.openxmlformats.org/markup-compatibility/2006">
      <mc:Choice Requires="x14">
        <control shapeId="3133" r:id="rId20" name="ReportSubmitManagerControltb1">
          <controlPr defaultSize="0" autoLine="0" autoPict="0" r:id="rId21">
            <anchor moveWithCells="1" sizeWithCells="1">
              <from>
                <xdr:col>0</xdr:col>
                <xdr:colOff>0</xdr:colOff>
                <xdr:row>0</xdr:row>
                <xdr:rowOff>0</xdr:rowOff>
              </from>
              <to>
                <xdr:col>6</xdr:col>
                <xdr:colOff>97971</xdr:colOff>
                <xdr:row>0</xdr:row>
                <xdr:rowOff>0</xdr:rowOff>
              </to>
            </anchor>
          </controlPr>
        </control>
      </mc:Choice>
      <mc:Fallback>
        <control shapeId="3133" r:id="rId20" name="ReportSubmitManagerControltb1"/>
      </mc:Fallback>
    </mc:AlternateContent>
    <mc:AlternateContent xmlns:mc="http://schemas.openxmlformats.org/markup-compatibility/2006">
      <mc:Choice Requires="x14">
        <control shapeId="3134" r:id="rId22" name="ReportSubmitControl_1tb1">
          <controlPr defaultSize="0" autoLine="0" autoPict="0" r:id="rId23">
            <anchor moveWithCells="1" sizeWithCells="1">
              <from>
                <xdr:col>0</xdr:col>
                <xdr:colOff>0</xdr:colOff>
                <xdr:row>0</xdr:row>
                <xdr:rowOff>0</xdr:rowOff>
              </from>
              <to>
                <xdr:col>6</xdr:col>
                <xdr:colOff>97971</xdr:colOff>
                <xdr:row>0</xdr:row>
                <xdr:rowOff>0</xdr:rowOff>
              </to>
            </anchor>
          </controlPr>
        </control>
      </mc:Choice>
      <mc:Fallback>
        <control shapeId="3134" r:id="rId22" name="ReportSubmitControl_1tb1"/>
      </mc:Fallback>
    </mc:AlternateContent>
    <mc:AlternateContent xmlns:mc="http://schemas.openxmlformats.org/markup-compatibility/2006">
      <mc:Choice Requires="x14">
        <control shapeId="3135" r:id="rId24" name="ConnectionDescriptorsInfoHCtb1">
          <controlPr defaultSize="0" autoLine="0" r:id="rId25">
            <anchor moveWithCells="1">
              <from>
                <xdr:col>10</xdr:col>
                <xdr:colOff>0</xdr:colOff>
                <xdr:row>3</xdr:row>
                <xdr:rowOff>0</xdr:rowOff>
              </from>
              <to>
                <xdr:col>11</xdr:col>
                <xdr:colOff>310243</xdr:colOff>
                <xdr:row>3</xdr:row>
                <xdr:rowOff>5443</xdr:rowOff>
              </to>
            </anchor>
          </controlPr>
        </control>
      </mc:Choice>
      <mc:Fallback>
        <control shapeId="3135" r:id="rId24" name="ConnectionDescriptorsInfoHCtb1"/>
      </mc:Fallback>
    </mc:AlternateContent>
    <mc:AlternateContent xmlns:mc="http://schemas.openxmlformats.org/markup-compatibility/2006">
      <mc:Choice Requires="x14">
        <control shapeId="3136" r:id="rId26" name="ConnectionDescriptorsInfoDCtb1">
          <controlPr defaultSize="0" autoLine="0" r:id="rId27">
            <anchor moveWithCells="1">
              <from>
                <xdr:col>10</xdr:col>
                <xdr:colOff>0</xdr:colOff>
                <xdr:row>3</xdr:row>
                <xdr:rowOff>0</xdr:rowOff>
              </from>
              <to>
                <xdr:col>11</xdr:col>
                <xdr:colOff>310243</xdr:colOff>
                <xdr:row>3</xdr:row>
                <xdr:rowOff>5443</xdr:rowOff>
              </to>
            </anchor>
          </controlPr>
        </control>
      </mc:Choice>
      <mc:Fallback>
        <control shapeId="3136" r:id="rId26" name="ConnectionDescriptorsInfoDCtb1"/>
      </mc:Fallback>
    </mc:AlternateContent>
    <mc:AlternateContent xmlns:mc="http://schemas.openxmlformats.org/markup-compatibility/2006">
      <mc:Choice Requires="x14">
        <control shapeId="3137" r:id="rId28" name="MultipleReportManagerInfoHCtb1">
          <controlPr defaultSize="0" autoLine="0" r:id="rId29">
            <anchor moveWithCells="1">
              <from>
                <xdr:col>10</xdr:col>
                <xdr:colOff>0</xdr:colOff>
                <xdr:row>3</xdr:row>
                <xdr:rowOff>0</xdr:rowOff>
              </from>
              <to>
                <xdr:col>11</xdr:col>
                <xdr:colOff>310243</xdr:colOff>
                <xdr:row>3</xdr:row>
                <xdr:rowOff>5443</xdr:rowOff>
              </to>
            </anchor>
          </controlPr>
        </control>
      </mc:Choice>
      <mc:Fallback>
        <control shapeId="3137" r:id="rId28" name="MultipleReportManagerInfoHCtb1"/>
      </mc:Fallback>
    </mc:AlternateContent>
    <mc:AlternateContent xmlns:mc="http://schemas.openxmlformats.org/markup-compatibility/2006">
      <mc:Choice Requires="x14">
        <control shapeId="3138" r:id="rId30" name="MultipleReportManagerInfoDCtb1">
          <controlPr defaultSize="0" autoLine="0" r:id="rId31">
            <anchor moveWithCells="1">
              <from>
                <xdr:col>10</xdr:col>
                <xdr:colOff>0</xdr:colOff>
                <xdr:row>3</xdr:row>
                <xdr:rowOff>0</xdr:rowOff>
              </from>
              <to>
                <xdr:col>11</xdr:col>
                <xdr:colOff>310243</xdr:colOff>
                <xdr:row>3</xdr:row>
                <xdr:rowOff>5443</xdr:rowOff>
              </to>
            </anchor>
          </controlPr>
        </control>
      </mc:Choice>
      <mc:Fallback>
        <control shapeId="3138" r:id="rId30" name="MultipleReportManagerInfoDCtb1"/>
      </mc:Fallback>
    </mc:AlternateContent>
    <mc:AlternateContent xmlns:mc="http://schemas.openxmlformats.org/markup-compatibility/2006">
      <mc:Choice Requires="x14">
        <control shapeId="3139" r:id="rId32" name="ReportSubmitManagerControlHCtb1">
          <controlPr defaultSize="0" autoLine="0" r:id="rId33">
            <anchor moveWithCells="1">
              <from>
                <xdr:col>10</xdr:col>
                <xdr:colOff>0</xdr:colOff>
                <xdr:row>3</xdr:row>
                <xdr:rowOff>0</xdr:rowOff>
              </from>
              <to>
                <xdr:col>11</xdr:col>
                <xdr:colOff>310243</xdr:colOff>
                <xdr:row>3</xdr:row>
                <xdr:rowOff>5443</xdr:rowOff>
              </to>
            </anchor>
          </controlPr>
        </control>
      </mc:Choice>
      <mc:Fallback>
        <control shapeId="3139" r:id="rId32" name="ReportSubmitManagerControlHCtb1"/>
      </mc:Fallback>
    </mc:AlternateContent>
    <mc:AlternateContent xmlns:mc="http://schemas.openxmlformats.org/markup-compatibility/2006">
      <mc:Choice Requires="x14">
        <control shapeId="3140" r:id="rId34" name="ReportSubmitManagerControlDCtb1">
          <controlPr defaultSize="0" autoLine="0" r:id="rId35">
            <anchor moveWithCells="1">
              <from>
                <xdr:col>10</xdr:col>
                <xdr:colOff>0</xdr:colOff>
                <xdr:row>3</xdr:row>
                <xdr:rowOff>0</xdr:rowOff>
              </from>
              <to>
                <xdr:col>11</xdr:col>
                <xdr:colOff>310243</xdr:colOff>
                <xdr:row>3</xdr:row>
                <xdr:rowOff>5443</xdr:rowOff>
              </to>
            </anchor>
          </controlPr>
        </control>
      </mc:Choice>
      <mc:Fallback>
        <control shapeId="3140" r:id="rId34" name="ReportSubmitManagerControlDCtb1"/>
      </mc:Fallback>
    </mc:AlternateContent>
    <mc:AlternateContent xmlns:mc="http://schemas.openxmlformats.org/markup-compatibility/2006">
      <mc:Choice Requires="x14">
        <control shapeId="3141" r:id="rId36" name="ReportSubmitControl_1HCtb1">
          <controlPr defaultSize="0" autoLine="0" r:id="rId37">
            <anchor moveWithCells="1">
              <from>
                <xdr:col>10</xdr:col>
                <xdr:colOff>0</xdr:colOff>
                <xdr:row>3</xdr:row>
                <xdr:rowOff>0</xdr:rowOff>
              </from>
              <to>
                <xdr:col>11</xdr:col>
                <xdr:colOff>310243</xdr:colOff>
                <xdr:row>3</xdr:row>
                <xdr:rowOff>5443</xdr:rowOff>
              </to>
            </anchor>
          </controlPr>
        </control>
      </mc:Choice>
      <mc:Fallback>
        <control shapeId="3141" r:id="rId36" name="ReportSubmitControl_1HCtb1"/>
      </mc:Fallback>
    </mc:AlternateContent>
    <mc:AlternateContent xmlns:mc="http://schemas.openxmlformats.org/markup-compatibility/2006">
      <mc:Choice Requires="x14">
        <control shapeId="3142" r:id="rId38" name="ReportSubmitControl_1DCtb1">
          <controlPr defaultSize="0" autoLine="0" r:id="rId39">
            <anchor moveWithCells="1">
              <from>
                <xdr:col>10</xdr:col>
                <xdr:colOff>0</xdr:colOff>
                <xdr:row>3</xdr:row>
                <xdr:rowOff>0</xdr:rowOff>
              </from>
              <to>
                <xdr:col>11</xdr:col>
                <xdr:colOff>310243</xdr:colOff>
                <xdr:row>3</xdr:row>
                <xdr:rowOff>5443</xdr:rowOff>
              </to>
            </anchor>
          </controlPr>
        </control>
      </mc:Choice>
      <mc:Fallback>
        <control shapeId="3142" r:id="rId38" name="ReportSubmitControl_1DCtb1"/>
      </mc:Fallback>
    </mc:AlternateContent>
    <mc:AlternateContent xmlns:mc="http://schemas.openxmlformats.org/markup-compatibility/2006">
      <mc:Choice Requires="x14">
        <control shapeId="3146" r:id="rId40" name="AnalyzerDynReportHC000tb1">
          <controlPr defaultSize="0" autoLine="0" r:id="rId41">
            <anchor moveWithCells="1">
              <from>
                <xdr:col>10</xdr:col>
                <xdr:colOff>0</xdr:colOff>
                <xdr:row>3</xdr:row>
                <xdr:rowOff>0</xdr:rowOff>
              </from>
              <to>
                <xdr:col>11</xdr:col>
                <xdr:colOff>310243</xdr:colOff>
                <xdr:row>3</xdr:row>
                <xdr:rowOff>5443</xdr:rowOff>
              </to>
            </anchor>
          </controlPr>
        </control>
      </mc:Choice>
      <mc:Fallback>
        <control shapeId="3146" r:id="rId40" name="AnalyzerDynReportHC000tb1"/>
      </mc:Fallback>
    </mc:AlternateContent>
    <mc:AlternateContent xmlns:mc="http://schemas.openxmlformats.org/markup-compatibility/2006">
      <mc:Choice Requires="x14">
        <control shapeId="3147" r:id="rId42" name="AnalyzerDynReportDC000tb1">
          <controlPr defaultSize="0" autoLine="0" r:id="rId43">
            <anchor moveWithCells="1">
              <from>
                <xdr:col>10</xdr:col>
                <xdr:colOff>0</xdr:colOff>
                <xdr:row>3</xdr:row>
                <xdr:rowOff>0</xdr:rowOff>
              </from>
              <to>
                <xdr:col>11</xdr:col>
                <xdr:colOff>310243</xdr:colOff>
                <xdr:row>3</xdr:row>
                <xdr:rowOff>5443</xdr:rowOff>
              </to>
            </anchor>
          </controlPr>
        </control>
      </mc:Choice>
      <mc:Fallback>
        <control shapeId="3147" r:id="rId42" name="AnalyzerDynReportDC000tb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4910-40E4-40DD-BFE6-D1B52E878A9D}">
  <sheetPr codeName="Sheet5"/>
  <dimension ref="A1:CD35"/>
  <sheetViews>
    <sheetView showGridLines="0" zoomScaleNormal="100" workbookViewId="0">
      <pane xSplit="10" ySplit="3" topLeftCell="K4" activePane="bottomRight" state="frozen"/>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1.84375" bestFit="1" customWidth="1"/>
    <col min="9" max="9" width="12.53515625" bestFit="1" customWidth="1"/>
    <col min="10" max="10" width="33.53515625" bestFit="1" customWidth="1"/>
    <col min="11" max="11" width="8.53515625" bestFit="1" customWidth="1"/>
    <col min="12" max="12" width="8.3828125" bestFit="1" customWidth="1"/>
    <col min="13" max="13" width="9.3828125" bestFit="1" customWidth="1"/>
    <col min="14" max="14" width="8.69140625" bestFit="1" customWidth="1"/>
    <col min="15" max="15" width="9.3828125" bestFit="1" customWidth="1"/>
    <col min="16" max="16" width="8.53515625" bestFit="1" customWidth="1"/>
    <col min="17" max="17" width="8.15234375" bestFit="1" customWidth="1"/>
    <col min="18" max="18" width="9.15234375" bestFit="1" customWidth="1"/>
    <col min="19" max="19" width="8.3046875" bestFit="1" customWidth="1"/>
    <col min="20" max="20" width="8.69140625" bestFit="1" customWidth="1"/>
    <col min="21" max="21" width="9.15234375" bestFit="1" customWidth="1"/>
    <col min="22" max="23" width="8.535156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6" customFormat="1" ht="28.3" x14ac:dyDescent="0.4">
      <c r="A1" s="77" t="s">
        <v>31</v>
      </c>
      <c r="B1" s="78"/>
      <c r="C1" s="78"/>
      <c r="D1" s="78"/>
      <c r="E1" s="78"/>
      <c r="F1" s="78"/>
      <c r="G1" s="78"/>
      <c r="H1" s="78"/>
      <c r="I1" s="78"/>
      <c r="J1" s="78"/>
      <c r="K1" s="79" t="str">
        <f>" "&amp;IFERROR(IF(SOP_Favorite_Name&lt;&gt;" ",SOP_Favorite_Name,IF(SOP_Template_Name&lt;&gt;" ",SOP_Template_Name,"Ad Hoc Planning View")),"Offline")</f>
        <v xml:space="preserve"> Main and Details View</v>
      </c>
      <c r="L1" s="79"/>
      <c r="M1" s="79"/>
      <c r="N1" s="79"/>
      <c r="O1" s="79"/>
      <c r="P1" s="79"/>
      <c r="Q1" s="80" t="str">
        <f>"User: "&amp;_xll.EPMUser()&amp;"   |    Planning Area: "&amp;IFERROR(SOP_Planning_Area,"Offline")&amp;"
"&amp;"Template: "&amp;IFERROR(SOP_Template_Name,"none")</f>
        <v>User: #Error, no current connection.   |    Planning Area: SAP6
Template: template name</v>
      </c>
      <c r="R1" s="80"/>
      <c r="S1" s="80"/>
      <c r="T1" s="80"/>
      <c r="U1" s="80"/>
      <c r="V1" s="80"/>
      <c r="W1" s="46"/>
      <c r="X1" s="47"/>
      <c r="Y1" s="47"/>
      <c r="Z1" s="47"/>
      <c r="AA1" s="47"/>
      <c r="AB1" s="47"/>
      <c r="AC1" s="47"/>
      <c r="AD1" s="47"/>
      <c r="BR1" s="48"/>
      <c r="BS1" s="48"/>
      <c r="BT1" s="48"/>
      <c r="BU1" s="48"/>
      <c r="BV1" s="48"/>
      <c r="BW1" s="48"/>
      <c r="BX1" s="48"/>
      <c r="BY1" s="48"/>
      <c r="BZ1" s="48"/>
      <c r="CA1" s="48"/>
      <c r="CB1" s="48"/>
      <c r="CC1" s="48"/>
      <c r="CD1" s="48"/>
    </row>
    <row r="2" spans="1:82" s="26" customFormat="1" ht="60" customHeight="1" x14ac:dyDescent="0.4">
      <c r="A2" s="81"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81"/>
      <c r="C2" s="81"/>
      <c r="D2" s="81"/>
      <c r="E2" s="81"/>
      <c r="F2" s="81"/>
      <c r="G2" s="81"/>
      <c r="H2" s="81"/>
      <c r="I2" s="81"/>
      <c r="J2" s="81"/>
      <c r="K2" s="82" t="str">
        <f>"  Last Refresh: "&amp;IFERROR(YEAR(SOP_Refresh_Timestamp)&amp;"-"&amp;TEXT(SOP_Refresh_Timestamp,"MMM")&amp;"-"&amp;DAY(SOP_Refresh_Timestamp)&amp;"   "&amp;TEXT(SOP_Refresh_Timestamp,"HH:MM:SS"),"Offline")</f>
        <v xml:space="preserve">  Last Refresh: 2022-Jan-31   09:43:20</v>
      </c>
      <c r="L2" s="82"/>
      <c r="M2" s="82"/>
      <c r="N2" s="82"/>
      <c r="O2" s="82"/>
      <c r="P2" s="82"/>
      <c r="Q2" s="82"/>
      <c r="R2" s="82"/>
      <c r="S2" s="82"/>
      <c r="T2" s="82"/>
      <c r="U2" s="82"/>
      <c r="V2" s="82"/>
      <c r="W2" s="46"/>
      <c r="X2" s="47"/>
      <c r="Y2" s="47"/>
      <c r="Z2" s="47"/>
      <c r="AA2" s="47"/>
      <c r="AB2" s="47"/>
      <c r="AC2" s="47"/>
      <c r="AD2" s="47"/>
      <c r="BR2" s="48"/>
      <c r="BS2" s="48"/>
      <c r="BT2" s="48"/>
      <c r="BU2" s="48"/>
      <c r="BV2" s="48"/>
      <c r="BW2" s="48"/>
      <c r="BX2" s="48"/>
      <c r="BY2" s="48"/>
      <c r="BZ2" s="48"/>
      <c r="CA2" s="48"/>
      <c r="CB2" s="48"/>
      <c r="CC2" s="48"/>
      <c r="CD2" s="48"/>
    </row>
    <row r="3" spans="1:82" s="27" customFormat="1" x14ac:dyDescent="0.4">
      <c r="A3" s="49" t="str">
        <f>SOP_Heading10</f>
        <v xml:space="preserve"> </v>
      </c>
      <c r="B3" s="49" t="str">
        <f>SOP_Heading9</f>
        <v xml:space="preserve"> </v>
      </c>
      <c r="C3" s="49" t="str">
        <f>SOP_Heading8</f>
        <v xml:space="preserve"> </v>
      </c>
      <c r="D3" s="49" t="str">
        <f>SOP_Heading7</f>
        <v xml:space="preserve"> </v>
      </c>
      <c r="E3" s="49" t="str">
        <f>SOP_Heading6</f>
        <v xml:space="preserve"> </v>
      </c>
      <c r="F3" s="49" t="str">
        <f>SOP_Heading5</f>
        <v xml:space="preserve"> </v>
      </c>
      <c r="G3" s="49" t="str">
        <f>SOP_Heading4</f>
        <v xml:space="preserve"> </v>
      </c>
      <c r="H3" s="49" t="str">
        <f>SOP_Heading3</f>
        <v>Product ID</v>
      </c>
      <c r="I3" s="49" t="str">
        <f>SOP_Heading2</f>
        <v>Location ID</v>
      </c>
      <c r="J3" s="49" t="str">
        <f>SOP_Heading1</f>
        <v>Key Figure</v>
      </c>
      <c r="K3" s="32" t="str">
        <f xml:space="preserve"> _xll.EPMOlapMemberO("[PERIODID3].[].[70613]","","JAN 2021","","000")</f>
        <v>JAN 2021</v>
      </c>
      <c r="L3" s="32" t="str">
        <f xml:space="preserve"> _xll.EPMOlapMemberO("[PERIODID3].[].[70614]","","FEB 2021","","000")</f>
        <v>FEB 2021</v>
      </c>
      <c r="M3" s="32" t="str">
        <f xml:space="preserve"> _xll.EPMOlapMemberO("[PERIODID3].[].[70615]","","MAR 2021","","000")</f>
        <v>MAR 2021</v>
      </c>
      <c r="N3" s="32" t="str">
        <f xml:space="preserve"> _xll.EPMOlapMemberO("[PERIODID3].[].[70616]","","APR 2021","","000")</f>
        <v>APR 2021</v>
      </c>
      <c r="O3" s="32" t="str">
        <f xml:space="preserve"> _xll.EPMOlapMemberO("[PERIODID3].[].[70617]","","MAY 2021","","000")</f>
        <v>MAY 2021</v>
      </c>
      <c r="P3" s="32" t="str">
        <f xml:space="preserve"> _xll.EPMOlapMemberO("[PERIODID3].[].[70618]","","JUN 2021","","000")</f>
        <v>JUN 2021</v>
      </c>
      <c r="Q3" s="32" t="str">
        <f xml:space="preserve"> _xll.EPMOlapMemberO("[PERIODID3].[].[70619]","","JUL 2021","","000")</f>
        <v>JUL 2021</v>
      </c>
      <c r="R3" s="32" t="str">
        <f xml:space="preserve"> _xll.EPMOlapMemberO("[PERIODID3].[].[70620]","","AUG 2021","","000")</f>
        <v>AUG 2021</v>
      </c>
      <c r="S3" s="32" t="str">
        <f xml:space="preserve"> _xll.EPMOlapMemberO("[PERIODID3].[].[70621]","","SEP 2021","","000")</f>
        <v>SEP 2021</v>
      </c>
      <c r="T3" s="32" t="str">
        <f xml:space="preserve"> _xll.EPMOlapMemberO("[PERIODID3].[].[70622]","","OCT 2021","","000")</f>
        <v>OCT 2021</v>
      </c>
      <c r="U3" s="32" t="str">
        <f xml:space="preserve"> _xll.EPMOlapMemberO("[PERIODID3].[].[70623]","","NOV 2021","","000")</f>
        <v>NOV 2021</v>
      </c>
      <c r="V3" s="32" t="str">
        <f xml:space="preserve"> _xll.EPMOlapMemberO("[PERIODID3].[].[70624]","","DEC 2021","","000")</f>
        <v>DEC 2021</v>
      </c>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row>
    <row r="4" spans="1:82" x14ac:dyDescent="0.4">
      <c r="H4" s="24" t="str">
        <f xml:space="preserve"> _xll.EPMOlapMemberO("[PRDID].[].[HT_003]","","HT_003","","000")</f>
        <v>HT_003</v>
      </c>
      <c r="I4" s="24" t="str">
        <f xml:space="preserve"> _xll.EPMOlapMemberO("[LOCID].[].[HD_DC_CA_E]","","HD_DC_CA_E","","000")</f>
        <v>HD_DC_CA_E</v>
      </c>
      <c r="J4" s="24" t="str">
        <f xml:space="preserve"> _xll.EPMOlapMemberO("[KEY_FIGURES].[].[CONSENSUSDEMAND]","","Consensus Demand without Promotion","","000")</f>
        <v>Consensus Demand without Promotion</v>
      </c>
      <c r="K4" s="34"/>
      <c r="L4" s="34"/>
      <c r="M4" s="34"/>
      <c r="N4" s="34"/>
      <c r="O4" s="34"/>
      <c r="P4" s="34"/>
      <c r="Q4" s="34"/>
      <c r="R4" s="34"/>
      <c r="S4" s="34"/>
      <c r="T4" s="34"/>
      <c r="U4" s="34"/>
      <c r="V4" s="34"/>
    </row>
    <row r="5" spans="1:82" x14ac:dyDescent="0.4">
      <c r="H5" s="24"/>
      <c r="I5" s="24"/>
      <c r="J5" s="24" t="str">
        <f xml:space="preserve"> _xll.EPMOlapMemberO("[KEY_FIGURES].[].[FINALCONSENSUSDEMAND]","","Consensus Demand","","000")</f>
        <v>Consensus Demand</v>
      </c>
      <c r="K5" s="29">
        <v>0</v>
      </c>
      <c r="L5" s="29">
        <v>0</v>
      </c>
      <c r="M5" s="29">
        <v>0</v>
      </c>
      <c r="N5" s="29">
        <v>0</v>
      </c>
      <c r="O5" s="29">
        <v>0</v>
      </c>
      <c r="P5" s="29"/>
      <c r="Q5" s="29"/>
      <c r="R5" s="29"/>
      <c r="S5" s="29"/>
      <c r="T5" s="29"/>
      <c r="U5" s="29"/>
      <c r="V5" s="29"/>
    </row>
    <row r="6" spans="1:82" x14ac:dyDescent="0.4">
      <c r="H6" s="24"/>
      <c r="I6" s="24"/>
      <c r="J6" s="24" t="str">
        <f xml:space="preserve"> _xll.EPMOlapMemberO("[KEY_FIGURES].[].[DEMANDPLANNINGQTY]","","Demand Planning Qty","","000")</f>
        <v>Demand Planning Qty</v>
      </c>
      <c r="K6" s="29">
        <v>0</v>
      </c>
      <c r="L6" s="29">
        <v>0</v>
      </c>
      <c r="M6" s="29">
        <v>0</v>
      </c>
      <c r="N6" s="29">
        <v>0</v>
      </c>
      <c r="O6" s="29">
        <v>0</v>
      </c>
      <c r="P6" s="29"/>
      <c r="Q6" s="29"/>
      <c r="R6" s="29"/>
      <c r="S6" s="29"/>
      <c r="T6" s="29"/>
      <c r="U6" s="29"/>
      <c r="V6" s="29"/>
    </row>
    <row r="7" spans="1:82" x14ac:dyDescent="0.4">
      <c r="H7" s="24"/>
      <c r="I7" s="24"/>
      <c r="J7" s="24" t="str">
        <f xml:space="preserve"> _xll.EPMOlapMemberO("[KEY_FIGURES].[].[ADJDELIVQTY]","","Delivered Qty Adjusted","","000")</f>
        <v>Delivered Qty Adjusted</v>
      </c>
      <c r="K7" s="34"/>
      <c r="L7" s="34"/>
      <c r="M7" s="34"/>
      <c r="N7" s="34"/>
      <c r="O7" s="34"/>
      <c r="P7" s="34"/>
      <c r="Q7" s="34"/>
      <c r="R7" s="34"/>
      <c r="S7" s="34"/>
      <c r="T7" s="34"/>
      <c r="U7" s="34"/>
      <c r="V7" s="34"/>
    </row>
    <row r="8" spans="1:82" x14ac:dyDescent="0.4">
      <c r="H8" s="24"/>
      <c r="I8" s="24"/>
      <c r="J8" s="24" t="str">
        <f xml:space="preserve"> _xll.EPMOlapMemberO("[KEY_FIGURES].[].[ACTUALSPRICE]","","Actuals Price","","000")</f>
        <v>Actuals Price</v>
      </c>
      <c r="K8" s="29"/>
      <c r="L8" s="29"/>
      <c r="M8" s="29"/>
      <c r="N8" s="29"/>
      <c r="O8" s="29"/>
      <c r="P8" s="29"/>
      <c r="Q8" s="29"/>
      <c r="R8" s="29"/>
      <c r="S8" s="29"/>
      <c r="T8" s="29"/>
      <c r="U8" s="29"/>
      <c r="V8" s="29"/>
    </row>
    <row r="9" spans="1:82" x14ac:dyDescent="0.4">
      <c r="H9" s="24"/>
      <c r="I9" s="24"/>
      <c r="J9" s="24" t="str">
        <f xml:space="preserve"> _xll.EPMOlapMemberO("[KEY_FIGURES].[].[ACTUALSREV]","","Actuals Revenue","","000")</f>
        <v>Actuals Revenue</v>
      </c>
      <c r="K9" s="34"/>
      <c r="L9" s="34"/>
      <c r="M9" s="34"/>
      <c r="N9" s="34"/>
      <c r="O9" s="34"/>
      <c r="P9" s="34"/>
      <c r="Q9" s="34"/>
      <c r="R9" s="34"/>
      <c r="S9" s="34"/>
      <c r="T9" s="34"/>
      <c r="U9" s="34"/>
      <c r="V9" s="34"/>
    </row>
    <row r="10" spans="1:82" x14ac:dyDescent="0.4">
      <c r="H10" s="24"/>
      <c r="I10" s="24"/>
      <c r="J10" s="24" t="str">
        <f xml:space="preserve"> _xll.EPMOlapMemberO("[KEY_FIGURES].[].[RBCALCULATEDNEGATIV]","","Calculated Stored Negativ","","000")</f>
        <v>Calculated Stored Negativ</v>
      </c>
      <c r="K10" s="34"/>
      <c r="L10" s="34"/>
      <c r="M10" s="34"/>
      <c r="N10" s="34"/>
      <c r="O10" s="34"/>
      <c r="P10" s="34"/>
      <c r="Q10" s="34"/>
      <c r="R10" s="34"/>
      <c r="S10" s="34"/>
      <c r="T10" s="34"/>
      <c r="U10" s="34"/>
      <c r="V10" s="34"/>
    </row>
    <row r="11" spans="1:82" x14ac:dyDescent="0.4">
      <c r="H11" s="24"/>
      <c r="I11" s="24"/>
      <c r="J11" s="24" t="str">
        <f xml:space="preserve"> _xll.EPMOlapMemberO("[KEY_FIGURES].[].[CONSENSUSDEMANDREV]","","Consensus Demand Plan Revenue","","000")</f>
        <v>Consensus Demand Plan Revenue</v>
      </c>
      <c r="K11" s="29"/>
      <c r="L11" s="29"/>
      <c r="M11" s="29"/>
      <c r="N11" s="29"/>
      <c r="O11" s="29"/>
      <c r="P11" s="29"/>
      <c r="Q11" s="29"/>
      <c r="R11" s="29"/>
      <c r="S11" s="29"/>
      <c r="T11" s="29"/>
      <c r="U11" s="29"/>
      <c r="V11" s="29"/>
    </row>
    <row r="12" spans="1:82" x14ac:dyDescent="0.4">
      <c r="H12" s="24"/>
      <c r="I12" s="24" t="str">
        <f xml:space="preserve"> _xll.EPMOlapMemberO("[LOCID].[].[HD_DC_FR]","","HD_DC_FR","","000")</f>
        <v>HD_DC_FR</v>
      </c>
      <c r="J12" s="24" t="str">
        <f xml:space="preserve"> _xll.EPMOlapMemberO("[KEY_FIGURES].[].[CONSENSUSDEMAND]","","Consensus Demand without Promotion","","000")</f>
        <v>Consensus Demand without Promotion</v>
      </c>
      <c r="K12" s="34"/>
      <c r="L12" s="34"/>
      <c r="M12" s="34"/>
      <c r="N12" s="34"/>
      <c r="O12" s="34"/>
      <c r="P12" s="34"/>
      <c r="Q12" s="34"/>
      <c r="R12" s="34"/>
      <c r="S12" s="34"/>
      <c r="T12" s="34"/>
      <c r="U12" s="34"/>
      <c r="V12" s="34"/>
    </row>
    <row r="13" spans="1:82" x14ac:dyDescent="0.4">
      <c r="H13" s="24"/>
      <c r="I13" s="24"/>
      <c r="J13" s="24" t="str">
        <f xml:space="preserve"> _xll.EPMOlapMemberO("[KEY_FIGURES].[].[FINALCONSENSUSDEMAND]","","Consensus Demand","","000")</f>
        <v>Consensus Demand</v>
      </c>
      <c r="K13" s="29">
        <v>0</v>
      </c>
      <c r="L13" s="29">
        <v>0</v>
      </c>
      <c r="M13" s="29">
        <v>0</v>
      </c>
      <c r="N13" s="29">
        <v>0</v>
      </c>
      <c r="O13" s="29">
        <v>0</v>
      </c>
      <c r="P13" s="29"/>
      <c r="Q13" s="29"/>
      <c r="R13" s="29"/>
      <c r="S13" s="29"/>
      <c r="T13" s="29"/>
      <c r="U13" s="29"/>
      <c r="V13" s="29"/>
    </row>
    <row r="14" spans="1:82" x14ac:dyDescent="0.4">
      <c r="H14" s="24"/>
      <c r="I14" s="24"/>
      <c r="J14" s="24" t="str">
        <f xml:space="preserve"> _xll.EPMOlapMemberO("[KEY_FIGURES].[].[DEMANDPLANNINGQTY]","","Demand Planning Qty","","000")</f>
        <v>Demand Planning Qty</v>
      </c>
      <c r="K14" s="29">
        <v>0</v>
      </c>
      <c r="L14" s="29">
        <v>0</v>
      </c>
      <c r="M14" s="29">
        <v>0</v>
      </c>
      <c r="N14" s="29">
        <v>0</v>
      </c>
      <c r="O14" s="29">
        <v>0</v>
      </c>
      <c r="P14" s="29"/>
      <c r="Q14" s="29"/>
      <c r="R14" s="29"/>
      <c r="S14" s="29"/>
      <c r="T14" s="29"/>
      <c r="U14" s="29"/>
      <c r="V14" s="29"/>
    </row>
    <row r="15" spans="1:82" x14ac:dyDescent="0.4">
      <c r="H15" s="24"/>
      <c r="I15" s="24"/>
      <c r="J15" s="24" t="str">
        <f xml:space="preserve"> _xll.EPMOlapMemberO("[KEY_FIGURES].[].[ADJDELIVQTY]","","Delivered Qty Adjusted","","000")</f>
        <v>Delivered Qty Adjusted</v>
      </c>
      <c r="K15" s="34"/>
      <c r="L15" s="34"/>
      <c r="M15" s="34"/>
      <c r="N15" s="34"/>
      <c r="O15" s="34"/>
      <c r="P15" s="34"/>
      <c r="Q15" s="34"/>
      <c r="R15" s="34"/>
      <c r="S15" s="34"/>
      <c r="T15" s="34"/>
      <c r="U15" s="34"/>
      <c r="V15" s="34"/>
    </row>
    <row r="16" spans="1:82" x14ac:dyDescent="0.4">
      <c r="H16" s="24"/>
      <c r="I16" s="24"/>
      <c r="J16" s="24" t="str">
        <f xml:space="preserve"> _xll.EPMOlapMemberO("[KEY_FIGURES].[].[ACTUALSPRICE]","","Actuals Price","","000")</f>
        <v>Actuals Price</v>
      </c>
      <c r="K16" s="29"/>
      <c r="L16" s="29"/>
      <c r="M16" s="29"/>
      <c r="N16" s="29"/>
      <c r="O16" s="29"/>
      <c r="P16" s="29"/>
      <c r="Q16" s="29"/>
      <c r="R16" s="29"/>
      <c r="S16" s="29"/>
      <c r="T16" s="29"/>
      <c r="U16" s="29"/>
      <c r="V16" s="29"/>
    </row>
    <row r="17" spans="8:22" x14ac:dyDescent="0.4">
      <c r="H17" s="24"/>
      <c r="I17" s="24"/>
      <c r="J17" s="24" t="str">
        <f xml:space="preserve"> _xll.EPMOlapMemberO("[KEY_FIGURES].[].[ACTUALSREV]","","Actuals Revenue","","000")</f>
        <v>Actuals Revenue</v>
      </c>
      <c r="K17" s="34"/>
      <c r="L17" s="34"/>
      <c r="M17" s="34"/>
      <c r="N17" s="34"/>
      <c r="O17" s="34"/>
      <c r="P17" s="34"/>
      <c r="Q17" s="34"/>
      <c r="R17" s="34"/>
      <c r="S17" s="34"/>
      <c r="T17" s="34"/>
      <c r="U17" s="34"/>
      <c r="V17" s="34"/>
    </row>
    <row r="18" spans="8:22" x14ac:dyDescent="0.4">
      <c r="H18" s="24"/>
      <c r="I18" s="24"/>
      <c r="J18" s="24" t="str">
        <f xml:space="preserve"> _xll.EPMOlapMemberO("[KEY_FIGURES].[].[RBCALCULATEDNEGATIV]","","Calculated Stored Negativ","","000")</f>
        <v>Calculated Stored Negativ</v>
      </c>
      <c r="K18" s="34"/>
      <c r="L18" s="34"/>
      <c r="M18" s="34"/>
      <c r="N18" s="34"/>
      <c r="O18" s="34"/>
      <c r="P18" s="34"/>
      <c r="Q18" s="34"/>
      <c r="R18" s="34"/>
      <c r="S18" s="34"/>
      <c r="T18" s="34"/>
      <c r="U18" s="34"/>
      <c r="V18" s="34"/>
    </row>
    <row r="19" spans="8:22" x14ac:dyDescent="0.4">
      <c r="H19" s="24"/>
      <c r="I19" s="24"/>
      <c r="J19" s="24" t="str">
        <f xml:space="preserve"> _xll.EPMOlapMemberO("[KEY_FIGURES].[].[CONSENSUSDEMANDREV]","","Consensus Demand Plan Revenue","","000")</f>
        <v>Consensus Demand Plan Revenue</v>
      </c>
      <c r="K19" s="29"/>
      <c r="L19" s="29"/>
      <c r="M19" s="29"/>
      <c r="N19" s="29"/>
      <c r="O19" s="29"/>
      <c r="P19" s="29"/>
      <c r="Q19" s="29"/>
      <c r="R19" s="29"/>
      <c r="S19" s="29"/>
      <c r="T19" s="29"/>
      <c r="U19" s="29"/>
      <c r="V19" s="29"/>
    </row>
    <row r="20" spans="8:22" x14ac:dyDescent="0.4">
      <c r="H20" s="24"/>
      <c r="I20" s="24" t="str">
        <f xml:space="preserve"> _xll.EPMOlapMemberO("[LOCID].[].[HD_DC_US_E]","","HD_DC_US_E","","000")</f>
        <v>HD_DC_US_E</v>
      </c>
      <c r="J20" s="24" t="str">
        <f xml:space="preserve"> _xll.EPMOlapMemberO("[KEY_FIGURES].[].[CONSENSUSDEMAND]","","Consensus Demand without Promotion","","000")</f>
        <v>Consensus Demand without Promotion</v>
      </c>
      <c r="K20" s="34"/>
      <c r="L20" s="34"/>
      <c r="M20" s="34"/>
      <c r="N20" s="34"/>
      <c r="O20" s="34"/>
      <c r="P20" s="34"/>
      <c r="Q20" s="34"/>
      <c r="R20" s="34"/>
      <c r="S20" s="34"/>
      <c r="T20" s="34"/>
      <c r="U20" s="34"/>
      <c r="V20" s="34"/>
    </row>
    <row r="21" spans="8:22" x14ac:dyDescent="0.4">
      <c r="H21" s="24"/>
      <c r="I21" s="24"/>
      <c r="J21" s="24" t="str">
        <f xml:space="preserve"> _xll.EPMOlapMemberO("[KEY_FIGURES].[].[FINALCONSENSUSDEMAND]","","Consensus Demand","","000")</f>
        <v>Consensus Demand</v>
      </c>
      <c r="K21" s="29">
        <v>0</v>
      </c>
      <c r="L21" s="29">
        <v>0</v>
      </c>
      <c r="M21" s="29">
        <v>0</v>
      </c>
      <c r="N21" s="29">
        <v>0</v>
      </c>
      <c r="O21" s="29">
        <v>0</v>
      </c>
      <c r="P21" s="29"/>
      <c r="Q21" s="29"/>
      <c r="R21" s="29"/>
      <c r="S21" s="29"/>
      <c r="T21" s="29"/>
      <c r="U21" s="29"/>
      <c r="V21" s="29"/>
    </row>
    <row r="22" spans="8:22" x14ac:dyDescent="0.4">
      <c r="H22" s="24"/>
      <c r="I22" s="24"/>
      <c r="J22" s="24" t="str">
        <f xml:space="preserve"> _xll.EPMOlapMemberO("[KEY_FIGURES].[].[DEMANDPLANNINGQTY]","","Demand Planning Qty","","000")</f>
        <v>Demand Planning Qty</v>
      </c>
      <c r="K22" s="29">
        <v>0</v>
      </c>
      <c r="L22" s="29">
        <v>0</v>
      </c>
      <c r="M22" s="29">
        <v>0</v>
      </c>
      <c r="N22" s="29">
        <v>0</v>
      </c>
      <c r="O22" s="29">
        <v>0</v>
      </c>
      <c r="P22" s="29"/>
      <c r="Q22" s="29"/>
      <c r="R22" s="29"/>
      <c r="S22" s="29"/>
      <c r="T22" s="29"/>
      <c r="U22" s="29"/>
      <c r="V22" s="29"/>
    </row>
    <row r="23" spans="8:22" x14ac:dyDescent="0.4">
      <c r="H23" s="24"/>
      <c r="I23" s="24"/>
      <c r="J23" s="24" t="str">
        <f xml:space="preserve"> _xll.EPMOlapMemberO("[KEY_FIGURES].[].[ADJDELIVQTY]","","Delivered Qty Adjusted","","000")</f>
        <v>Delivered Qty Adjusted</v>
      </c>
      <c r="K23" s="34"/>
      <c r="L23" s="34"/>
      <c r="M23" s="34"/>
      <c r="N23" s="34"/>
      <c r="O23" s="34"/>
      <c r="P23" s="34"/>
      <c r="Q23" s="34"/>
      <c r="R23" s="34"/>
      <c r="S23" s="34"/>
      <c r="T23" s="34"/>
      <c r="U23" s="34"/>
      <c r="V23" s="34"/>
    </row>
    <row r="24" spans="8:22" x14ac:dyDescent="0.4">
      <c r="H24" s="24"/>
      <c r="I24" s="24"/>
      <c r="J24" s="24" t="str">
        <f xml:space="preserve"> _xll.EPMOlapMemberO("[KEY_FIGURES].[].[ACTUALSPRICE]","","Actuals Price","","000")</f>
        <v>Actuals Price</v>
      </c>
      <c r="K24" s="29"/>
      <c r="L24" s="29"/>
      <c r="M24" s="29"/>
      <c r="N24" s="29"/>
      <c r="O24" s="29"/>
      <c r="P24" s="29"/>
      <c r="Q24" s="29"/>
      <c r="R24" s="29"/>
      <c r="S24" s="29"/>
      <c r="T24" s="29"/>
      <c r="U24" s="29"/>
      <c r="V24" s="29"/>
    </row>
    <row r="25" spans="8:22" x14ac:dyDescent="0.4">
      <c r="H25" s="24"/>
      <c r="I25" s="24"/>
      <c r="J25" s="24" t="str">
        <f xml:space="preserve"> _xll.EPMOlapMemberO("[KEY_FIGURES].[].[ACTUALSREV]","","Actuals Revenue","","000")</f>
        <v>Actuals Revenue</v>
      </c>
      <c r="K25" s="34"/>
      <c r="L25" s="34"/>
      <c r="M25" s="34"/>
      <c r="N25" s="34"/>
      <c r="O25" s="34"/>
      <c r="P25" s="34"/>
      <c r="Q25" s="34"/>
      <c r="R25" s="34"/>
      <c r="S25" s="34"/>
      <c r="T25" s="34"/>
      <c r="U25" s="34"/>
      <c r="V25" s="34"/>
    </row>
    <row r="26" spans="8:22" x14ac:dyDescent="0.4">
      <c r="H26" s="24"/>
      <c r="I26" s="24"/>
      <c r="J26" s="24" t="str">
        <f xml:space="preserve"> _xll.EPMOlapMemberO("[KEY_FIGURES].[].[RBCALCULATEDNEGATIV]","","Calculated Stored Negativ","","000")</f>
        <v>Calculated Stored Negativ</v>
      </c>
      <c r="K26" s="34"/>
      <c r="L26" s="34"/>
      <c r="M26" s="34"/>
      <c r="N26" s="34"/>
      <c r="O26" s="34"/>
      <c r="P26" s="34"/>
      <c r="Q26" s="34"/>
      <c r="R26" s="34"/>
      <c r="S26" s="34"/>
      <c r="T26" s="34"/>
      <c r="U26" s="34"/>
      <c r="V26" s="34"/>
    </row>
    <row r="27" spans="8:22" x14ac:dyDescent="0.4">
      <c r="H27" s="24"/>
      <c r="I27" s="24"/>
      <c r="J27" s="24" t="str">
        <f xml:space="preserve"> _xll.EPMOlapMemberO("[KEY_FIGURES].[].[CONSENSUSDEMANDREV]","","Consensus Demand Plan Revenue","","000")</f>
        <v>Consensus Demand Plan Revenue</v>
      </c>
      <c r="K27" s="29"/>
      <c r="L27" s="29"/>
      <c r="M27" s="29"/>
      <c r="N27" s="29"/>
      <c r="O27" s="29"/>
      <c r="P27" s="29"/>
      <c r="Q27" s="29"/>
      <c r="R27" s="29"/>
      <c r="S27" s="29"/>
      <c r="T27" s="29"/>
      <c r="U27" s="29"/>
      <c r="V27" s="29"/>
    </row>
    <row r="28" spans="8:22" x14ac:dyDescent="0.4">
      <c r="H28" s="24"/>
      <c r="I28" s="24" t="str">
        <f xml:space="preserve"> _xll.EPMOlapMemberO("[LOCID].[].[HD_DC_US_W]","","HD_DC_US_W","","000")</f>
        <v>HD_DC_US_W</v>
      </c>
      <c r="J28" s="24" t="str">
        <f xml:space="preserve"> _xll.EPMOlapMemberO("[KEY_FIGURES].[].[CONSENSUSDEMAND]","","Consensus Demand without Promotion","","000")</f>
        <v>Consensus Demand without Promotion</v>
      </c>
      <c r="K28" s="34"/>
      <c r="L28" s="34"/>
      <c r="M28" s="34"/>
      <c r="N28" s="34"/>
      <c r="O28" s="34"/>
      <c r="P28" s="34"/>
      <c r="Q28" s="34"/>
      <c r="R28" s="34"/>
      <c r="S28" s="34"/>
      <c r="T28" s="34"/>
      <c r="U28" s="34"/>
      <c r="V28" s="34"/>
    </row>
    <row r="29" spans="8:22" x14ac:dyDescent="0.4">
      <c r="H29" s="24"/>
      <c r="I29" s="24"/>
      <c r="J29" s="24" t="str">
        <f xml:space="preserve"> _xll.EPMOlapMemberO("[KEY_FIGURES].[].[FINALCONSENSUSDEMAND]","","Consensus Demand","","000")</f>
        <v>Consensus Demand</v>
      </c>
      <c r="K29" s="29">
        <v>0</v>
      </c>
      <c r="L29" s="29">
        <v>0</v>
      </c>
      <c r="M29" s="29">
        <v>0</v>
      </c>
      <c r="N29" s="29">
        <v>0</v>
      </c>
      <c r="O29" s="29">
        <v>0</v>
      </c>
      <c r="P29" s="29"/>
      <c r="Q29" s="29"/>
      <c r="R29" s="29"/>
      <c r="S29" s="29"/>
      <c r="T29" s="29"/>
      <c r="U29" s="29"/>
      <c r="V29" s="29"/>
    </row>
    <row r="30" spans="8:22" x14ac:dyDescent="0.4">
      <c r="H30" s="24"/>
      <c r="I30" s="24"/>
      <c r="J30" s="24" t="str">
        <f xml:space="preserve"> _xll.EPMOlapMemberO("[KEY_FIGURES].[].[DEMANDPLANNINGQTY]","","Demand Planning Qty","","000")</f>
        <v>Demand Planning Qty</v>
      </c>
      <c r="K30" s="29">
        <v>0</v>
      </c>
      <c r="L30" s="29">
        <v>0</v>
      </c>
      <c r="M30" s="29">
        <v>0</v>
      </c>
      <c r="N30" s="29">
        <v>0</v>
      </c>
      <c r="O30" s="29">
        <v>0</v>
      </c>
      <c r="P30" s="29"/>
      <c r="Q30" s="29"/>
      <c r="R30" s="29"/>
      <c r="S30" s="29"/>
      <c r="T30" s="29"/>
      <c r="U30" s="29"/>
      <c r="V30" s="29"/>
    </row>
    <row r="31" spans="8:22" x14ac:dyDescent="0.4">
      <c r="H31" s="24"/>
      <c r="I31" s="24"/>
      <c r="J31" s="24" t="str">
        <f xml:space="preserve"> _xll.EPMOlapMemberO("[KEY_FIGURES].[].[ADJDELIVQTY]","","Delivered Qty Adjusted","","000")</f>
        <v>Delivered Qty Adjusted</v>
      </c>
      <c r="K31" s="34"/>
      <c r="L31" s="34"/>
      <c r="M31" s="34"/>
      <c r="N31" s="34"/>
      <c r="O31" s="34"/>
      <c r="P31" s="34"/>
      <c r="Q31" s="34"/>
      <c r="R31" s="34"/>
      <c r="S31" s="34"/>
      <c r="T31" s="34"/>
      <c r="U31" s="34"/>
      <c r="V31" s="34"/>
    </row>
    <row r="32" spans="8:22" x14ac:dyDescent="0.4">
      <c r="H32" s="24"/>
      <c r="I32" s="24"/>
      <c r="J32" s="24" t="str">
        <f xml:space="preserve"> _xll.EPMOlapMemberO("[KEY_FIGURES].[].[ACTUALSPRICE]","","Actuals Price","","000")</f>
        <v>Actuals Price</v>
      </c>
      <c r="K32" s="29"/>
      <c r="L32" s="29"/>
      <c r="M32" s="29"/>
      <c r="N32" s="29"/>
      <c r="O32" s="29"/>
      <c r="P32" s="29"/>
      <c r="Q32" s="29"/>
      <c r="R32" s="29"/>
      <c r="S32" s="29"/>
      <c r="T32" s="29"/>
      <c r="U32" s="29"/>
      <c r="V32" s="29"/>
    </row>
    <row r="33" spans="8:22" x14ac:dyDescent="0.4">
      <c r="H33" s="24"/>
      <c r="I33" s="24"/>
      <c r="J33" s="24" t="str">
        <f xml:space="preserve"> _xll.EPMOlapMemberO("[KEY_FIGURES].[].[ACTUALSREV]","","Actuals Revenue","","000")</f>
        <v>Actuals Revenue</v>
      </c>
      <c r="K33" s="34"/>
      <c r="L33" s="34"/>
      <c r="M33" s="34"/>
      <c r="N33" s="34"/>
      <c r="O33" s="34"/>
      <c r="P33" s="34"/>
      <c r="Q33" s="34"/>
      <c r="R33" s="34"/>
      <c r="S33" s="34"/>
      <c r="T33" s="34"/>
      <c r="U33" s="34"/>
      <c r="V33" s="34"/>
    </row>
    <row r="34" spans="8:22" x14ac:dyDescent="0.4">
      <c r="H34" s="24"/>
      <c r="I34" s="24"/>
      <c r="J34" s="24" t="str">
        <f xml:space="preserve"> _xll.EPMOlapMemberO("[KEY_FIGURES].[].[RBCALCULATEDNEGATIV]","","Calculated Stored Negativ","","000")</f>
        <v>Calculated Stored Negativ</v>
      </c>
      <c r="K34" s="34"/>
      <c r="L34" s="34"/>
      <c r="M34" s="34"/>
      <c r="N34" s="34"/>
      <c r="O34" s="34"/>
      <c r="P34" s="34"/>
      <c r="Q34" s="34"/>
      <c r="R34" s="34"/>
      <c r="S34" s="34"/>
      <c r="T34" s="34"/>
      <c r="U34" s="34"/>
      <c r="V34" s="34"/>
    </row>
    <row r="35" spans="8:22" x14ac:dyDescent="0.4">
      <c r="H35" s="24"/>
      <c r="I35" s="24"/>
      <c r="J35" s="24" t="str">
        <f xml:space="preserve"> _xll.EPMOlapMemberO("[KEY_FIGURES].[].[CONSENSUSDEMANDREV]","","Consensus Demand Plan Revenue","","000")</f>
        <v>Consensus Demand Plan Revenue</v>
      </c>
      <c r="K35" s="29"/>
      <c r="L35" s="29"/>
      <c r="M35" s="29"/>
      <c r="N35" s="29"/>
      <c r="O35" s="29"/>
      <c r="P35" s="29"/>
      <c r="Q35" s="29"/>
      <c r="R35" s="29"/>
      <c r="S35" s="29"/>
      <c r="T35" s="29"/>
      <c r="U35" s="29"/>
      <c r="V35" s="29"/>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FPMExcelClientRefreshTime" r:id="rId2"/>
    <customPr name="IbpWorksheetKeyString_GUID" r:id="rId3"/>
  </customProperties>
  <drawing r:id="rId4"/>
  <legacyDrawing r:id="rId5"/>
  <picture r:id="rId6"/>
  <controls>
    <mc:AlternateContent xmlns:mc="http://schemas.openxmlformats.org/markup-compatibility/2006">
      <mc:Choice Requires="x14">
        <control shapeId="9217"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9217" r:id="rId7" name="FPMExcelClientSheetOptionstb1"/>
      </mc:Fallback>
    </mc:AlternateContent>
    <mc:AlternateContent xmlns:mc="http://schemas.openxmlformats.org/markup-compatibility/2006">
      <mc:Choice Requires="x14">
        <control shapeId="9218" r:id="rId9" name="TextBox1">
          <controlPr defaultSize="0" disabled="1" autoLine="0" r:id="rId10">
            <anchor>
              <from>
                <xdr:col>0</xdr:col>
                <xdr:colOff>38100</xdr:colOff>
                <xdr:row>2</xdr:row>
                <xdr:rowOff>152400</xdr:rowOff>
              </from>
              <to>
                <xdr:col>0</xdr:col>
                <xdr:colOff>43543</xdr:colOff>
                <xdr:row>2</xdr:row>
                <xdr:rowOff>157843</xdr:rowOff>
              </to>
            </anchor>
          </controlPr>
        </control>
      </mc:Choice>
      <mc:Fallback>
        <control shapeId="9218" r:id="rId9" name="TextBox1"/>
      </mc:Fallback>
    </mc:AlternateContent>
    <mc:AlternateContent xmlns:mc="http://schemas.openxmlformats.org/markup-compatibility/2006">
      <mc:Choice Requires="x14">
        <control shapeId="9219" r:id="rId11" name="TextBox2">
          <controlPr defaultSize="0" disabled="1" autoLine="0" r:id="rId12">
            <anchor>
              <from>
                <xdr:col>8</xdr:col>
                <xdr:colOff>631371</xdr:colOff>
                <xdr:row>2</xdr:row>
                <xdr:rowOff>152400</xdr:rowOff>
              </from>
              <to>
                <xdr:col>8</xdr:col>
                <xdr:colOff>636814</xdr:colOff>
                <xdr:row>2</xdr:row>
                <xdr:rowOff>157843</xdr:rowOff>
              </to>
            </anchor>
          </controlPr>
        </control>
      </mc:Choice>
      <mc:Fallback>
        <control shapeId="9219" r:id="rId11" name="TextBox2"/>
      </mc:Fallback>
    </mc:AlternateContent>
    <mc:AlternateContent xmlns:mc="http://schemas.openxmlformats.org/markup-compatibility/2006">
      <mc:Choice Requires="x14">
        <control shapeId="9220" r:id="rId13" name="AnalyzerDynReport000tb1">
          <controlPr defaultSize="0" autoLine="0" autoPict="0" r:id="rId14">
            <anchor moveWithCells="1" sizeWithCells="1">
              <from>
                <xdr:col>0</xdr:col>
                <xdr:colOff>0</xdr:colOff>
                <xdr:row>0</xdr:row>
                <xdr:rowOff>0</xdr:rowOff>
              </from>
              <to>
                <xdr:col>6</xdr:col>
                <xdr:colOff>97971</xdr:colOff>
                <xdr:row>0</xdr:row>
                <xdr:rowOff>0</xdr:rowOff>
              </to>
            </anchor>
          </controlPr>
        </control>
      </mc:Choice>
      <mc:Fallback>
        <control shapeId="9220" r:id="rId13" name="AnalyzerDynReport000tb1"/>
      </mc:Fallback>
    </mc:AlternateContent>
    <mc:AlternateContent xmlns:mc="http://schemas.openxmlformats.org/markup-compatibility/2006">
      <mc:Choice Requires="x14">
        <control shapeId="9221" r:id="rId15" name="ConnectionDescriptorsInfotb1">
          <controlPr defaultSize="0" autoLine="0" autoPict="0" r:id="rId16">
            <anchor moveWithCells="1" sizeWithCells="1">
              <from>
                <xdr:col>0</xdr:col>
                <xdr:colOff>0</xdr:colOff>
                <xdr:row>0</xdr:row>
                <xdr:rowOff>0</xdr:rowOff>
              </from>
              <to>
                <xdr:col>6</xdr:col>
                <xdr:colOff>97971</xdr:colOff>
                <xdr:row>0</xdr:row>
                <xdr:rowOff>0</xdr:rowOff>
              </to>
            </anchor>
          </controlPr>
        </control>
      </mc:Choice>
      <mc:Fallback>
        <control shapeId="9221" r:id="rId15" name="ConnectionDescriptorsInfotb1"/>
      </mc:Fallback>
    </mc:AlternateContent>
    <mc:AlternateContent xmlns:mc="http://schemas.openxmlformats.org/markup-compatibility/2006">
      <mc:Choice Requires="x14">
        <control shapeId="9222" r:id="rId17" name="MultipleReportManagerInfotb1">
          <controlPr defaultSize="0" autoLine="0" autoPict="0" r:id="rId18">
            <anchor moveWithCells="1" sizeWithCells="1">
              <from>
                <xdr:col>0</xdr:col>
                <xdr:colOff>0</xdr:colOff>
                <xdr:row>0</xdr:row>
                <xdr:rowOff>0</xdr:rowOff>
              </from>
              <to>
                <xdr:col>6</xdr:col>
                <xdr:colOff>97971</xdr:colOff>
                <xdr:row>0</xdr:row>
                <xdr:rowOff>0</xdr:rowOff>
              </to>
            </anchor>
          </controlPr>
        </control>
      </mc:Choice>
      <mc:Fallback>
        <control shapeId="9222" r:id="rId17" name="MultipleReportManagerInfotb1"/>
      </mc:Fallback>
    </mc:AlternateContent>
    <mc:AlternateContent xmlns:mc="http://schemas.openxmlformats.org/markup-compatibility/2006">
      <mc:Choice Requires="x14">
        <control shapeId="9223" r:id="rId19" name="ReportSubmitManagerControltb1">
          <controlPr defaultSize="0" autoLine="0" autoPict="0" r:id="rId20">
            <anchor moveWithCells="1" sizeWithCells="1">
              <from>
                <xdr:col>0</xdr:col>
                <xdr:colOff>0</xdr:colOff>
                <xdr:row>0</xdr:row>
                <xdr:rowOff>0</xdr:rowOff>
              </from>
              <to>
                <xdr:col>6</xdr:col>
                <xdr:colOff>97971</xdr:colOff>
                <xdr:row>0</xdr:row>
                <xdr:rowOff>0</xdr:rowOff>
              </to>
            </anchor>
          </controlPr>
        </control>
      </mc:Choice>
      <mc:Fallback>
        <control shapeId="9223" r:id="rId19" name="ReportSubmitManagerControltb1"/>
      </mc:Fallback>
    </mc:AlternateContent>
    <mc:AlternateContent xmlns:mc="http://schemas.openxmlformats.org/markup-compatibility/2006">
      <mc:Choice Requires="x14">
        <control shapeId="9224" r:id="rId21" name="ReportSubmitControl_1tb1">
          <controlPr defaultSize="0" autoLine="0" autoPict="0" r:id="rId22">
            <anchor moveWithCells="1" sizeWithCells="1">
              <from>
                <xdr:col>0</xdr:col>
                <xdr:colOff>0</xdr:colOff>
                <xdr:row>0</xdr:row>
                <xdr:rowOff>0</xdr:rowOff>
              </from>
              <to>
                <xdr:col>6</xdr:col>
                <xdr:colOff>97971</xdr:colOff>
                <xdr:row>0</xdr:row>
                <xdr:rowOff>0</xdr:rowOff>
              </to>
            </anchor>
          </controlPr>
        </control>
      </mc:Choice>
      <mc:Fallback>
        <control shapeId="9224" r:id="rId21" name="ReportSubmitControl_1tb1"/>
      </mc:Fallback>
    </mc:AlternateContent>
    <mc:AlternateContent xmlns:mc="http://schemas.openxmlformats.org/markup-compatibility/2006">
      <mc:Choice Requires="x14">
        <control shapeId="9225" r:id="rId23" name="ConnectionDescriptorsInfoHCtb1">
          <controlPr defaultSize="0" autoLine="0" r:id="rId24">
            <anchor moveWithCells="1">
              <from>
                <xdr:col>10</xdr:col>
                <xdr:colOff>0</xdr:colOff>
                <xdr:row>3</xdr:row>
                <xdr:rowOff>0</xdr:rowOff>
              </from>
              <to>
                <xdr:col>11</xdr:col>
                <xdr:colOff>310243</xdr:colOff>
                <xdr:row>3</xdr:row>
                <xdr:rowOff>5443</xdr:rowOff>
              </to>
            </anchor>
          </controlPr>
        </control>
      </mc:Choice>
      <mc:Fallback>
        <control shapeId="9225" r:id="rId23" name="ConnectionDescriptorsInfoHCtb1"/>
      </mc:Fallback>
    </mc:AlternateContent>
    <mc:AlternateContent xmlns:mc="http://schemas.openxmlformats.org/markup-compatibility/2006">
      <mc:Choice Requires="x14">
        <control shapeId="9226" r:id="rId25" name="ConnectionDescriptorsInfoDCtb1">
          <controlPr defaultSize="0" autoLine="0" r:id="rId26">
            <anchor moveWithCells="1">
              <from>
                <xdr:col>10</xdr:col>
                <xdr:colOff>0</xdr:colOff>
                <xdr:row>3</xdr:row>
                <xdr:rowOff>0</xdr:rowOff>
              </from>
              <to>
                <xdr:col>11</xdr:col>
                <xdr:colOff>310243</xdr:colOff>
                <xdr:row>3</xdr:row>
                <xdr:rowOff>5443</xdr:rowOff>
              </to>
            </anchor>
          </controlPr>
        </control>
      </mc:Choice>
      <mc:Fallback>
        <control shapeId="9226" r:id="rId25" name="ConnectionDescriptorsInfoDCtb1"/>
      </mc:Fallback>
    </mc:AlternateContent>
    <mc:AlternateContent xmlns:mc="http://schemas.openxmlformats.org/markup-compatibility/2006">
      <mc:Choice Requires="x14">
        <control shapeId="9227" r:id="rId27" name="MultipleReportManagerInfoHCtb1">
          <controlPr defaultSize="0" autoLine="0" r:id="rId28">
            <anchor moveWithCells="1">
              <from>
                <xdr:col>10</xdr:col>
                <xdr:colOff>0</xdr:colOff>
                <xdr:row>3</xdr:row>
                <xdr:rowOff>0</xdr:rowOff>
              </from>
              <to>
                <xdr:col>11</xdr:col>
                <xdr:colOff>310243</xdr:colOff>
                <xdr:row>3</xdr:row>
                <xdr:rowOff>5443</xdr:rowOff>
              </to>
            </anchor>
          </controlPr>
        </control>
      </mc:Choice>
      <mc:Fallback>
        <control shapeId="9227" r:id="rId27" name="MultipleReportManagerInfoHCtb1"/>
      </mc:Fallback>
    </mc:AlternateContent>
    <mc:AlternateContent xmlns:mc="http://schemas.openxmlformats.org/markup-compatibility/2006">
      <mc:Choice Requires="x14">
        <control shapeId="9228" r:id="rId29" name="MultipleReportManagerInfoDCtb1">
          <controlPr defaultSize="0" autoLine="0" r:id="rId30">
            <anchor moveWithCells="1">
              <from>
                <xdr:col>10</xdr:col>
                <xdr:colOff>0</xdr:colOff>
                <xdr:row>3</xdr:row>
                <xdr:rowOff>0</xdr:rowOff>
              </from>
              <to>
                <xdr:col>11</xdr:col>
                <xdr:colOff>310243</xdr:colOff>
                <xdr:row>3</xdr:row>
                <xdr:rowOff>5443</xdr:rowOff>
              </to>
            </anchor>
          </controlPr>
        </control>
      </mc:Choice>
      <mc:Fallback>
        <control shapeId="9228" r:id="rId29" name="MultipleReportManagerInfoDCtb1"/>
      </mc:Fallback>
    </mc:AlternateContent>
    <mc:AlternateContent xmlns:mc="http://schemas.openxmlformats.org/markup-compatibility/2006">
      <mc:Choice Requires="x14">
        <control shapeId="9229" r:id="rId31" name="ReportSubmitManagerControlHCtb1">
          <controlPr defaultSize="0" autoLine="0" r:id="rId32">
            <anchor moveWithCells="1">
              <from>
                <xdr:col>10</xdr:col>
                <xdr:colOff>0</xdr:colOff>
                <xdr:row>3</xdr:row>
                <xdr:rowOff>0</xdr:rowOff>
              </from>
              <to>
                <xdr:col>11</xdr:col>
                <xdr:colOff>310243</xdr:colOff>
                <xdr:row>3</xdr:row>
                <xdr:rowOff>5443</xdr:rowOff>
              </to>
            </anchor>
          </controlPr>
        </control>
      </mc:Choice>
      <mc:Fallback>
        <control shapeId="9229" r:id="rId31" name="ReportSubmitManagerControlHCtb1"/>
      </mc:Fallback>
    </mc:AlternateContent>
    <mc:AlternateContent xmlns:mc="http://schemas.openxmlformats.org/markup-compatibility/2006">
      <mc:Choice Requires="x14">
        <control shapeId="9230" r:id="rId33" name="ReportSubmitManagerControlDCtb1">
          <controlPr defaultSize="0" autoLine="0" r:id="rId34">
            <anchor moveWithCells="1">
              <from>
                <xdr:col>10</xdr:col>
                <xdr:colOff>0</xdr:colOff>
                <xdr:row>3</xdr:row>
                <xdr:rowOff>0</xdr:rowOff>
              </from>
              <to>
                <xdr:col>11</xdr:col>
                <xdr:colOff>310243</xdr:colOff>
                <xdr:row>3</xdr:row>
                <xdr:rowOff>5443</xdr:rowOff>
              </to>
            </anchor>
          </controlPr>
        </control>
      </mc:Choice>
      <mc:Fallback>
        <control shapeId="9230" r:id="rId33" name="ReportSubmitManagerControlDCtb1"/>
      </mc:Fallback>
    </mc:AlternateContent>
    <mc:AlternateContent xmlns:mc="http://schemas.openxmlformats.org/markup-compatibility/2006">
      <mc:Choice Requires="x14">
        <control shapeId="9231" r:id="rId35" name="ReportSubmitControl_1HCtb1">
          <controlPr defaultSize="0" autoLine="0" r:id="rId36">
            <anchor moveWithCells="1">
              <from>
                <xdr:col>10</xdr:col>
                <xdr:colOff>0</xdr:colOff>
                <xdr:row>3</xdr:row>
                <xdr:rowOff>0</xdr:rowOff>
              </from>
              <to>
                <xdr:col>11</xdr:col>
                <xdr:colOff>310243</xdr:colOff>
                <xdr:row>3</xdr:row>
                <xdr:rowOff>5443</xdr:rowOff>
              </to>
            </anchor>
          </controlPr>
        </control>
      </mc:Choice>
      <mc:Fallback>
        <control shapeId="9231" r:id="rId35" name="ReportSubmitControl_1HCtb1"/>
      </mc:Fallback>
    </mc:AlternateContent>
    <mc:AlternateContent xmlns:mc="http://schemas.openxmlformats.org/markup-compatibility/2006">
      <mc:Choice Requires="x14">
        <control shapeId="9232" r:id="rId37" name="ReportSubmitControl_1DCtb1">
          <controlPr defaultSize="0" autoLine="0" r:id="rId38">
            <anchor moveWithCells="1">
              <from>
                <xdr:col>10</xdr:col>
                <xdr:colOff>0</xdr:colOff>
                <xdr:row>3</xdr:row>
                <xdr:rowOff>0</xdr:rowOff>
              </from>
              <to>
                <xdr:col>11</xdr:col>
                <xdr:colOff>310243</xdr:colOff>
                <xdr:row>3</xdr:row>
                <xdr:rowOff>5443</xdr:rowOff>
              </to>
            </anchor>
          </controlPr>
        </control>
      </mc:Choice>
      <mc:Fallback>
        <control shapeId="9232" r:id="rId37" name="ReportSubmitControl_1DCtb1"/>
      </mc:Fallback>
    </mc:AlternateContent>
    <mc:AlternateContent xmlns:mc="http://schemas.openxmlformats.org/markup-compatibility/2006">
      <mc:Choice Requires="x14">
        <control shapeId="9233" r:id="rId39" name="AnalyzerDynReportHC000tb1">
          <controlPr defaultSize="0" autoLine="0" r:id="rId40">
            <anchor moveWithCells="1">
              <from>
                <xdr:col>10</xdr:col>
                <xdr:colOff>0</xdr:colOff>
                <xdr:row>3</xdr:row>
                <xdr:rowOff>0</xdr:rowOff>
              </from>
              <to>
                <xdr:col>11</xdr:col>
                <xdr:colOff>310243</xdr:colOff>
                <xdr:row>3</xdr:row>
                <xdr:rowOff>5443</xdr:rowOff>
              </to>
            </anchor>
          </controlPr>
        </control>
      </mc:Choice>
      <mc:Fallback>
        <control shapeId="9233" r:id="rId39" name="AnalyzerDynReportHC000tb1"/>
      </mc:Fallback>
    </mc:AlternateContent>
    <mc:AlternateContent xmlns:mc="http://schemas.openxmlformats.org/markup-compatibility/2006">
      <mc:Choice Requires="x14">
        <control shapeId="9234" r:id="rId41" name="AnalyzerDynReportDC000tb1">
          <controlPr defaultSize="0" autoLine="0" r:id="rId42">
            <anchor moveWithCells="1">
              <from>
                <xdr:col>10</xdr:col>
                <xdr:colOff>0</xdr:colOff>
                <xdr:row>3</xdr:row>
                <xdr:rowOff>0</xdr:rowOff>
              </from>
              <to>
                <xdr:col>11</xdr:col>
                <xdr:colOff>310243</xdr:colOff>
                <xdr:row>3</xdr:row>
                <xdr:rowOff>5443</xdr:rowOff>
              </to>
            </anchor>
          </controlPr>
        </control>
      </mc:Choice>
      <mc:Fallback>
        <control shapeId="9234" r:id="rId41"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Main and Details View</favorite>
  <bookSettings xmlns="">
    <scenarios>
      <value>__BASELINE</value>
    </scenarios>
    <simulations>
      <value>__PLAN</value>
    </simulations>
    <planningUnits>
      <planningVersion>__BASELINE</planningVersion>
      <planningScenario>__PLAN</planningScenario>
      <timeRelativeFromDays>0</timeRelativeFromDays>
      <timeRelativeToDays>51</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planningLevels>
      <keyFigures>
        <value>CONSENSUSDEMAND</value>
      </keyFigures>
      <conversions>
        <conversion>
          <dimension>CURRTOID</dimension>
          <member>EUR</member>
        </conversion>
        <conversion>
          <dimension>UOMTOID</dimension>
          <member>PC</member>
        </conversion>
      </conversions>
      <rowAxis>
        <value>PRDID</value>
        <value>KEY_FIGURES</value>
      </rowAxis>
      <columnAxis>
        <value>PERIODID3</value>
      </columnAxis>
      <alerts/>
      <dimsDispOptnId>
        <value>LOCID</value>
        <value>CUSTID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s>
    </settings>
    <filter>
      <name/>
      <id>0</id>
      <conditions>
        <condition>
          <dimension>CUSTID</dimension>
          <operator>NE</operator>
          <values>
            <value>CA1000</value>
            <value>CA2000</value>
            <value>US9001</value>
            <value>US9002</value>
          </values>
          <relations/>
        </condition>
        <condition>
          <dimension>BRAND</dimension>
          <operator>EQ</operator>
          <values>
            <value>ConsumersChoice Kitchen Products</value>
            <value>ConsumersChoice Television</value>
          </values>
          <relations/>
        </condition>
      </conditions>
    </filter>
  </report_Sheet2>
  <report_Sheet5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FINALCONSENSUSDEMAND</value>
        <value>DEMANDPLANNINGQTY</value>
        <value>ADJDELIVQTY</value>
        <value>ACTUALSPRICE</value>
        <value>ACTUALSREV</value>
        <value>RBCALCULATEDNEGATIV</value>
        <value>CONSENSUSDEMANDREV</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CUSTID</value>
        <value>LOCID</value>
      </dimsDispOptnId>
      <dimsDispOptnBoth>
        <value>CUSTID</value>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HT_003</value>
          </values>
          <relations/>
        </condition>
        <condition>
          <dimension>CUSTID</dimension>
          <operator>NE</operator>
          <values>
            <value>CA1000</value>
            <value>CA2000</value>
            <value>US9001</value>
            <value>US9002</value>
          </values>
          <relations/>
        </condition>
        <condition>
          <dimension>BRAND</dimension>
          <operator>EQ</operator>
          <values>
            <value>ConsumersChoice Kitchen Products</value>
            <value>ConsumersChoice Television</value>
          </values>
          <relations/>
        </condition>
      </conditions>
    </filter>
  </report_Sheet5>
</config>
</file>

<file path=customXml/itemProps1.xml><?xml version="1.0" encoding="utf-8"?>
<ds:datastoreItem xmlns:ds="http://schemas.openxmlformats.org/officeDocument/2006/customXml" ds:itemID="{59E7C883-FBA0-46F6-A95B-DDB204A9BB68}">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IBPFormattingSheet</vt:lpstr>
      <vt:lpstr>Main</vt:lpstr>
      <vt:lpstr>Details</vt:lpstr>
    </vt:vector>
  </TitlesOfParts>
  <Manager/>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2012-11-19T20:56:01Z</dcterms:created>
  <dcterms:modified xsi:type="dcterms:W3CDTF">2022-02-21T08:26:08Z</dcterms:modified>
  <cp:category/>
  <cp:contentStatus/>
</cp:coreProperties>
</file>