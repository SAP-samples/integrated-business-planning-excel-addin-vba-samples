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1_Create Customized Navigation Patterns/"/>
    </mc:Choice>
  </mc:AlternateContent>
  <xr:revisionPtr revIDLastSave="168" documentId="8_{3126D26B-C538-4538-9424-C00AF46591FF}" xr6:coauthVersionLast="47" xr6:coauthVersionMax="47" xr10:uidLastSave="{21EFCC82-4B23-40C3-B3D6-5E8F9EC28EB5}"/>
  <bookViews>
    <workbookView xWindow="-103" yWindow="-103" windowWidth="22149" windowHeight="11949" tabRatio="374" firstSheet="1" activeTab="1" xr2:uid="{00000000-000D-0000-FFFF-FFFF00000000}"/>
  </bookViews>
  <sheets>
    <sheet name="IBPFormattingSheet" sheetId="11" state="hidden" r:id="rId1"/>
    <sheet name="Main" sheetId="5" r:id="rId2"/>
    <sheet name="DEMANDPLANNINGQTY" sheetId="9" r:id="rId3"/>
    <sheet name="CONSENSUSDEMAND" sheetId="10" r:id="rId4"/>
  </sheets>
  <definedNames>
    <definedName name="__FPMExcelClient_CellBasedFunctionStatus" localSheetId="3" hidden="1">"2_1_2_2_2_2"</definedName>
    <definedName name="__FPMExcelClient_CellBasedFunctionStatus" localSheetId="2" hidden="1">"2_1_2_2_2_2"</definedName>
    <definedName name="__FPMExcelClient_CellBasedFunctionStatus" localSheetId="1" hidden="1">"2_1_2_2_2_2"</definedName>
    <definedName name="__FPMExcelClient_Connection" localSheetId="3">"{A63CB8EE-6674-452e-ACA5-65D5174D689E}_[https://pt6-001.wdf.sap.corp/sap/sop/sopfnd/services/addin/excel/]_[SOP]_[RBSAP6]_[]_[]_[false]_[True]\1"</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3" hidden="1">CONSENSUSDEMAND!$H$3:$V$3</definedName>
    <definedName name="_xlnm._FilterDatabase" localSheetId="2" hidden="1">DEMANDPLANNINGQTY!$H$3:$V$3</definedName>
    <definedName name="_xlnm._FilterDatabase" localSheetId="1" hidden="1">Main!$H$3:$V$3</definedName>
    <definedName name="_SOP">2</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"SID"</definedName>
    <definedName name="SOP_CurrencyToID" localSheetId="3">"EUR"</definedName>
    <definedName name="SOP_CurrencyToID" localSheetId="2">"EUR"</definedName>
    <definedName name="SOP_CurrencyToID" localSheetId="1">"EUR"</definedName>
    <definedName name="SOP_CURRTOID" localSheetId="3">"EUR"</definedName>
    <definedName name="SOP_CURRTOID" localSheetId="2">"EUR"</definedName>
    <definedName name="SOP_CURRTOID" localSheetId="1">"EUR"</definedName>
    <definedName name="SOP_Favorite_Name" localSheetId="0">" "</definedName>
    <definedName name="SOP_Favorite_Name">"Main and Details for KFs"</definedName>
    <definedName name="SOP_Filter" localSheetId="3">{"Product ID = HT_003","Customer ID ≠ CA1000; CA2000; US9001; US9002","Brand ID = ConsumersChoice Kitchen Products; ConsumersChoice Television"}</definedName>
    <definedName name="SOP_Filter" localSheetId="2">{"Product ID = HT_003","Customer ID ≠ CA1000; CA2000; US9001; US9002","Brand ID = ConsumersChoice Kitchen Products; ConsumersChoice Television"}</definedName>
    <definedName name="SOP_Filter" localSheetId="0">{" "}</definedName>
    <definedName name="SOP_Filter" localSheetId="1">{"Customer ID ≠ CA1000; CA2000; US9001; US9002","Brand ID = ConsumersChoice Kitchen Products; ConsumersChoice Television"}</definedName>
    <definedName name="SOP_Filter">{" "}</definedName>
    <definedName name="SOP_Filter_Criteria_Count" localSheetId="3">3</definedName>
    <definedName name="SOP_Filter_Criteria_Count" localSheetId="2">3</definedName>
    <definedName name="SOP_Filter_Criteria_Count" localSheetId="1">2</definedName>
    <definedName name="SOP_Filter_Name" localSheetId="3">"(Ad Hoc Filter)"</definedName>
    <definedName name="SOP_Filter_Name" localSheetId="2">"(Ad Hoc Filter)"</definedName>
    <definedName name="SOP_Filter_Name" localSheetId="1">"test"</definedName>
    <definedName name="SOP_Heading1" localSheetId="3">"Key Figure"</definedName>
    <definedName name="SOP_Heading1" localSheetId="2">"Key Figure"</definedName>
    <definedName name="SOP_Heading1" localSheetId="1">"Key Figure"</definedName>
    <definedName name="SOP_Heading10" localSheetId="3">" "</definedName>
    <definedName name="SOP_Heading10" localSheetId="2">" "</definedName>
    <definedName name="SOP_Heading10" localSheetId="1">" "</definedName>
    <definedName name="SOP_Heading11" localSheetId="3">" "</definedName>
    <definedName name="SOP_Heading11" localSheetId="2">" "</definedName>
    <definedName name="SOP_Heading11" localSheetId="1">" "</definedName>
    <definedName name="SOP_Heading12" localSheetId="3">" "</definedName>
    <definedName name="SOP_Heading12" localSheetId="2">" "</definedName>
    <definedName name="SOP_Heading12" localSheetId="1">" "</definedName>
    <definedName name="SOP_Heading13" localSheetId="3">" "</definedName>
    <definedName name="SOP_Heading13" localSheetId="2">" "</definedName>
    <definedName name="SOP_Heading13" localSheetId="1">" "</definedName>
    <definedName name="SOP_Heading14" localSheetId="3">" "</definedName>
    <definedName name="SOP_Heading14" localSheetId="2">" "</definedName>
    <definedName name="SOP_Heading14" localSheetId="1">" "</definedName>
    <definedName name="SOP_Heading15" localSheetId="3">" "</definedName>
    <definedName name="SOP_Heading15" localSheetId="2">" "</definedName>
    <definedName name="SOP_Heading15" localSheetId="1">" "</definedName>
    <definedName name="SOP_Heading2" localSheetId="3">"Location ID"</definedName>
    <definedName name="SOP_Heading2" localSheetId="2">"Location ID"</definedName>
    <definedName name="SOP_Heading2" localSheetId="1">"Product ID"</definedName>
    <definedName name="SOP_Heading3" localSheetId="3">"Product ID"</definedName>
    <definedName name="SOP_Heading3" localSheetId="2">"Product ID"</definedName>
    <definedName name="SOP_Heading3" localSheetId="1">" "</definedName>
    <definedName name="SOP_Heading4" localSheetId="3">" "</definedName>
    <definedName name="SOP_Heading4" localSheetId="2">" "</definedName>
    <definedName name="SOP_Heading4" localSheetId="1">" "</definedName>
    <definedName name="SOP_Heading5" localSheetId="3">" "</definedName>
    <definedName name="SOP_Heading5" localSheetId="2">" "</definedName>
    <definedName name="SOP_Heading5" localSheetId="1">" "</definedName>
    <definedName name="SOP_Heading6" localSheetId="3">" "</definedName>
    <definedName name="SOP_Heading6" localSheetId="2">" "</definedName>
    <definedName name="SOP_Heading6" localSheetId="1">" "</definedName>
    <definedName name="SOP_Heading7" localSheetId="3">" "</definedName>
    <definedName name="SOP_Heading7" localSheetId="2">" "</definedName>
    <definedName name="SOP_Heading7" localSheetId="1">" "</definedName>
    <definedName name="SOP_Heading8" localSheetId="3">" "</definedName>
    <definedName name="SOP_Heading8" localSheetId="2">" "</definedName>
    <definedName name="SOP_Heading8" localSheetId="1">" "</definedName>
    <definedName name="SOP_Heading9" localSheetId="3">" "</definedName>
    <definedName name="SOP_Heading9" localSheetId="2">" "</definedName>
    <definedName name="SOP_Heading9" localSheetId="1">" "</definedName>
    <definedName name="SOP_Planning_Area" localSheetId="0">"SAP4PW"</definedName>
    <definedName name="SOP_Planning_Area">"SAP6"</definedName>
    <definedName name="SOP_Planning_Scope" localSheetId="0">" "</definedName>
    <definedName name="SOP_Planning_Scope">"17.02.2022 - 31.12.2023 | Baseline | Base Version"</definedName>
    <definedName name="SOP_Refresh_Timestamp" localSheetId="0">43129.8290046296</definedName>
    <definedName name="SOP_Refresh_Timestamp">44596.3911689815</definedName>
    <definedName name="SOP_TargetCurrency" localSheetId="3">"EUR"</definedName>
    <definedName name="SOP_TargetCurrency" localSheetId="2">"EUR"</definedName>
    <definedName name="SOP_TargetCurrency" localSheetId="1">"EUR"</definedName>
    <definedName name="SOP_TargetUoM" localSheetId="3">"PC"</definedName>
    <definedName name="SOP_TargetUoM" localSheetId="2">"PC"</definedName>
    <definedName name="SOP_TargetUoM" localSheetId="1">"PC"</definedName>
    <definedName name="SOP_Template_Name" localSheetId="0">" "</definedName>
    <definedName name="SOP_Template_Name">"template name"</definedName>
    <definedName name="SOP_UOMToID" localSheetId="3">"PC"</definedName>
    <definedName name="SOP_UOMToID" localSheetId="2">"PC"</definedName>
    <definedName name="SOP_UOMToID" localSheetId="1">"PC"</definedName>
    <definedName name="SOP_Value_Based_Filter" localSheetId="3">{" "}</definedName>
    <definedName name="SOP_Value_Based_Filter" localSheetId="2">{" "}</definedName>
    <definedName name="SOP_Value_Based_Filter" localSheetId="1">{" "}</definedName>
    <definedName name="SOP_Value_Based_Filter_Name" localSheetId="3">"(None)"</definedName>
    <definedName name="SOP_Value_Based_Filter_Name" localSheetId="2">"(None)"</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10" l="1"/>
  <c r="I3" i="10"/>
  <c r="H3" i="10"/>
  <c r="G3" i="10"/>
  <c r="F3" i="10"/>
  <c r="E3" i="10"/>
  <c r="D3" i="10"/>
  <c r="C3" i="10"/>
  <c r="B3" i="10"/>
  <c r="A3" i="10"/>
  <c r="K2" i="10"/>
  <c r="A2" i="10"/>
  <c r="K1" i="10"/>
  <c r="J4" i="10"/>
  <c r="H4" i="10"/>
  <c r="J27" i="10"/>
  <c r="J34" i="10"/>
  <c r="J16" i="10"/>
  <c r="N3" i="10"/>
  <c r="J25" i="10"/>
  <c r="R3" i="10"/>
  <c r="J32" i="10"/>
  <c r="J30" i="10"/>
  <c r="S3" i="10"/>
  <c r="M3" i="10"/>
  <c r="O3" i="10"/>
  <c r="J14" i="10"/>
  <c r="Q3" i="10"/>
  <c r="I28" i="10"/>
  <c r="J19" i="10"/>
  <c r="P3" i="10"/>
  <c r="J12" i="10"/>
  <c r="J5" i="10"/>
  <c r="J22" i="10"/>
  <c r="J10" i="10"/>
  <c r="I4" i="10"/>
  <c r="J20" i="10"/>
  <c r="J15" i="10"/>
  <c r="T3" i="10"/>
  <c r="J18" i="10"/>
  <c r="J11" i="10"/>
  <c r="U3" i="10"/>
  <c r="I12" i="10"/>
  <c r="J33" i="10"/>
  <c r="J7" i="10"/>
  <c r="J26" i="10"/>
  <c r="J8" i="10"/>
  <c r="J24" i="10"/>
  <c r="J23" i="10"/>
  <c r="J31" i="10"/>
  <c r="J17" i="10"/>
  <c r="V3" i="10"/>
  <c r="J9" i="10"/>
  <c r="L3" i="10"/>
  <c r="J35" i="10"/>
  <c r="K3" i="10"/>
  <c r="J13" i="10"/>
  <c r="J29" i="10"/>
  <c r="I20" i="10"/>
  <c r="J6" i="10"/>
  <c r="J21" i="10"/>
  <c r="J28" i="10"/>
  <c r="J18" i="5"/>
  <c r="J14" i="5"/>
  <c r="J17" i="5"/>
  <c r="J20" i="5"/>
  <c r="J9" i="5"/>
  <c r="J10" i="5"/>
  <c r="I10" i="5"/>
  <c r="J11" i="5"/>
  <c r="J6" i="5"/>
  <c r="J12" i="5"/>
  <c r="I7" i="5"/>
  <c r="J22" i="5"/>
  <c r="J15" i="5"/>
  <c r="J8" i="5"/>
  <c r="I19" i="5"/>
  <c r="J4" i="5"/>
  <c r="J21" i="5"/>
  <c r="J5" i="5"/>
  <c r="I16" i="5"/>
  <c r="I4" i="5"/>
  <c r="J16" i="5"/>
  <c r="J13" i="5"/>
  <c r="I22" i="5"/>
  <c r="J23" i="5"/>
  <c r="J19" i="5"/>
  <c r="J7" i="5"/>
  <c r="J24" i="5"/>
  <c r="I13" i="5"/>
  <c r="Q1" i="10"/>
  <c r="J3" i="9" l="1"/>
  <c r="H3" i="9"/>
  <c r="I3" i="9"/>
  <c r="A3" i="9"/>
  <c r="B3" i="9"/>
  <c r="C3" i="9"/>
  <c r="D3" i="9"/>
  <c r="E3" i="9"/>
  <c r="F3" i="9"/>
  <c r="G3" i="9"/>
  <c r="A2" i="9"/>
  <c r="K2" i="9"/>
  <c r="K1" i="9"/>
  <c r="J3" i="5"/>
  <c r="H3" i="5"/>
  <c r="I3" i="5"/>
  <c r="A3" i="5"/>
  <c r="B3" i="5"/>
  <c r="C3" i="5"/>
  <c r="D3" i="5"/>
  <c r="E3" i="5"/>
  <c r="F3" i="5"/>
  <c r="G3" i="5"/>
  <c r="A2" i="5"/>
  <c r="K2" i="5"/>
  <c r="K1" i="5"/>
  <c r="J29" i="9"/>
  <c r="J35" i="9"/>
  <c r="J30" i="9"/>
  <c r="R3" i="9"/>
  <c r="J32" i="9"/>
  <c r="T3" i="9"/>
  <c r="J12" i="9"/>
  <c r="J4" i="9"/>
  <c r="U3" i="9"/>
  <c r="H4" i="9"/>
  <c r="J9" i="9"/>
  <c r="J15" i="9"/>
  <c r="J22" i="9"/>
  <c r="J8" i="9"/>
  <c r="V3" i="9"/>
  <c r="J27" i="9"/>
  <c r="J11" i="9"/>
  <c r="J33" i="9"/>
  <c r="J24" i="9"/>
  <c r="J16" i="9"/>
  <c r="J34" i="9"/>
  <c r="L3" i="9"/>
  <c r="J13" i="9"/>
  <c r="J5" i="9"/>
  <c r="J25" i="9"/>
  <c r="Q3" i="9"/>
  <c r="J21" i="9"/>
  <c r="J17" i="9"/>
  <c r="M3" i="9"/>
  <c r="K3" i="9"/>
  <c r="J14" i="9"/>
  <c r="J18" i="9"/>
  <c r="I12" i="9"/>
  <c r="J10" i="9"/>
  <c r="J23" i="9"/>
  <c r="O3" i="9"/>
  <c r="J6" i="9"/>
  <c r="S3" i="9"/>
  <c r="I28" i="9"/>
  <c r="I20" i="9"/>
  <c r="J28" i="9"/>
  <c r="I4" i="9"/>
  <c r="J19" i="9"/>
  <c r="J7" i="9"/>
  <c r="J31" i="9"/>
  <c r="N3" i="9"/>
  <c r="J26" i="9"/>
  <c r="P3" i="9"/>
  <c r="J20" i="9"/>
  <c r="T3" i="5"/>
  <c r="L3" i="5"/>
  <c r="R3" i="5"/>
  <c r="O3" i="5"/>
  <c r="M3" i="5"/>
  <c r="U3" i="5"/>
  <c r="Q3" i="5"/>
  <c r="V3" i="5"/>
  <c r="K3" i="5"/>
  <c r="N3" i="5"/>
  <c r="S3" i="5"/>
  <c r="P3" i="5"/>
  <c r="Q1" i="9"/>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94B1B668-664A-4C4B-88BB-E6789638C371}">
      <text>
        <r>
          <rPr>
            <b/>
            <sz val="9"/>
            <color indexed="81"/>
            <rFont val="Tahoma"/>
            <family val="2"/>
          </rPr>
          <t>TotalMember</t>
        </r>
      </text>
    </comment>
    <comment ref="D44" authorId="0" shapeId="0" xr:uid="{1F871A51-FEC5-40CC-8AD6-E94CA8F535D3}">
      <text>
        <r>
          <rPr>
            <b/>
            <sz val="9"/>
            <color indexed="81"/>
            <rFont val="Tahoma"/>
            <family val="2"/>
          </rPr>
          <t>Property#KEY_FIGURES#FIXING#Equals#Y</t>
        </r>
      </text>
    </comment>
    <comment ref="D65" authorId="0" shapeId="0" xr:uid="{FBF16B86-C69C-45B7-9CDF-BBADC644EA03}">
      <text>
        <r>
          <rPr>
            <b/>
            <sz val="9"/>
            <color indexed="81"/>
            <rFont val="Tahoma"/>
            <family val="2"/>
          </rPr>
          <t>Property#PERIODID#TIMELEVEL#Equals#TOTAL</t>
        </r>
      </text>
    </comment>
    <comment ref="D68" authorId="0" shapeId="0" xr:uid="{597A57C0-C9AC-4EB2-B259-FCD1AD23D88E}">
      <text>
        <r>
          <rPr>
            <b/>
            <sz val="9"/>
            <color indexed="81"/>
            <rFont val="Tahoma"/>
            <family val="2"/>
          </rPr>
          <t>Property#PERIODID#TIMELEVEL#Equals#PERIODID0</t>
        </r>
      </text>
    </comment>
    <comment ref="D71" authorId="0" shapeId="0" xr:uid="{EA298D72-2E1A-4511-8833-1C4355D698C2}">
      <text>
        <r>
          <rPr>
            <b/>
            <sz val="9"/>
            <color indexed="81"/>
            <rFont val="Tahoma"/>
            <family val="2"/>
          </rPr>
          <t>Property#PERIODID#TIMELEVEL#Equals#PERIODID1</t>
        </r>
      </text>
    </comment>
    <comment ref="D74" authorId="0" shapeId="0" xr:uid="{7F8430F0-35ED-4983-AE35-5BCC53091D78}">
      <text>
        <r>
          <rPr>
            <b/>
            <sz val="9"/>
            <color indexed="81"/>
            <rFont val="Tahoma"/>
            <family val="2"/>
          </rPr>
          <t>Property#PERIODID#TIMELEVEL#Equals#PERIODID2</t>
        </r>
      </text>
    </comment>
    <comment ref="D77" authorId="0" shapeId="0" xr:uid="{62047B06-831F-4B2B-84BB-7C7FA6E86032}">
      <text>
        <r>
          <rPr>
            <b/>
            <sz val="9"/>
            <color indexed="81"/>
            <rFont val="Tahoma"/>
            <family val="2"/>
          </rPr>
          <t>Property#PERIODID#TIMELEVEL#Equals#PERIODID3</t>
        </r>
      </text>
    </comment>
    <comment ref="D80" authorId="0" shapeId="0" xr:uid="{79B95D4D-2D70-42BF-99C4-BD0A19F0D598}">
      <text>
        <r>
          <rPr>
            <b/>
            <sz val="9"/>
            <color indexed="81"/>
            <rFont val="Tahoma"/>
            <family val="2"/>
          </rPr>
          <t>Property#PERIODID#TIMELEVEL#Equals#PERIODID4</t>
        </r>
      </text>
    </comment>
    <comment ref="D83" authorId="0" shapeId="0" xr:uid="{05C040B2-3768-40AC-85F5-288C678291C3}">
      <text>
        <r>
          <rPr>
            <b/>
            <sz val="9"/>
            <color indexed="81"/>
            <rFont val="Tahoma"/>
            <family val="2"/>
          </rPr>
          <t>Property#PERIODID#TIMELEVEL#Equals#PERIODID5</t>
        </r>
      </text>
    </comment>
  </commentList>
</comments>
</file>

<file path=xl/sharedStrings.xml><?xml version="1.0" encoding="utf-8"?>
<sst xmlns="http://schemas.openxmlformats.org/spreadsheetml/2006/main" count="138" uniqueCount="40">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</sst>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4" fillId="7" borderId="0" applyNumberFormat="0" applyBorder="0" applyAlignment="0" applyProtection="0"/>
  </cellStyleXfs>
  <cellXfs count="103">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14" fillId="9" borderId="0" xfId="0" applyFont="1" applyFill="1" applyBorder="1"/>
    <xf numFmtId="0" fontId="0" fillId="10"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1" fillId="10" borderId="0" xfId="0" applyFont="1" applyFill="1" applyBorder="1" applyAlignment="1" applyProtection="1">
      <alignment horizontal="right" vertical="center"/>
      <protection locked="0"/>
    </xf>
    <xf numFmtId="0" fontId="16" fillId="0" borderId="0" xfId="0" applyFont="1" applyAlignment="1">
      <alignment horizontal="center"/>
    </xf>
    <xf numFmtId="3" fontId="21" fillId="11" borderId="0" xfId="0" applyNumberFormat="1" applyFont="1" applyFill="1" applyBorder="1" applyAlignment="1" applyProtection="1">
      <alignment horizontal="right" vertical="center"/>
      <protection locked="0"/>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4" fillId="9" borderId="0" xfId="0" applyFont="1" applyFill="1" applyBorder="1" applyAlignment="1" applyProtection="1">
      <alignment horizontal="right" vertical="center"/>
    </xf>
    <xf numFmtId="0" fontId="11" fillId="9" borderId="0" xfId="0" applyFont="1" applyFill="1" applyBorder="1" applyAlignment="1" applyProtection="1">
      <alignment horizontal="left" vertical="center"/>
    </xf>
    <xf numFmtId="0" fontId="14" fillId="9" borderId="0" xfId="0" applyFont="1" applyFill="1" applyProtection="1"/>
    <xf numFmtId="0" fontId="14" fillId="9" borderId="0" xfId="0" applyFont="1" applyFill="1" applyBorder="1" applyProtection="1"/>
    <xf numFmtId="0" fontId="14" fillId="9" borderId="0" xfId="1" applyFont="1" applyFill="1" applyBorder="1" applyAlignment="1" applyProtection="1"/>
    <xf numFmtId="0" fontId="0" fillId="0" borderId="0" xfId="0" applyProtection="1"/>
    <xf numFmtId="0" fontId="11" fillId="10" borderId="0" xfId="0" applyFont="1" applyFill="1" applyProtection="1"/>
    <xf numFmtId="0" fontId="1" fillId="0" borderId="12" xfId="0" applyFont="1" applyBorder="1" applyAlignment="1">
      <alignment horizontal="center"/>
    </xf>
    <xf numFmtId="0" fontId="1" fillId="0" borderId="30"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28"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17" fillId="9" borderId="0" xfId="0" quotePrefix="1" applyFont="1" applyFill="1" applyBorder="1" applyAlignment="1" applyProtection="1">
      <alignment horizontal="left" vertical="top" wrapText="1" indent="5"/>
    </xf>
    <xf numFmtId="0" fontId="17" fillId="9" borderId="0" xfId="0" quotePrefix="1" applyFont="1" applyFill="1" applyBorder="1" applyAlignment="1" applyProtection="1">
      <alignment horizontal="left" vertical="top" indent="5"/>
    </xf>
    <xf numFmtId="0" fontId="18" fillId="9" borderId="0" xfId="0" applyFont="1" applyFill="1" applyBorder="1" applyAlignment="1" applyProtection="1">
      <alignment horizontal="left" vertical="center"/>
    </xf>
    <xf numFmtId="0" fontId="19" fillId="9" borderId="0" xfId="0" applyFont="1" applyFill="1" applyBorder="1" applyAlignment="1" applyProtection="1">
      <alignment horizontal="right" vertical="top" wrapText="1"/>
    </xf>
    <xf numFmtId="0" fontId="20" fillId="9" borderId="0" xfId="0" quotePrefix="1" applyFont="1" applyFill="1" applyBorder="1" applyAlignment="1" applyProtection="1">
      <alignment horizontal="left" vertical="top" wrapText="1" indent="5"/>
    </xf>
    <xf numFmtId="0" fontId="19" fillId="9" borderId="0" xfId="0" applyFont="1" applyFill="1" applyBorder="1" applyAlignment="1" applyProtection="1">
      <alignment horizontal="left" vertical="top"/>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0"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8" borderId="0" xfId="0" applyNumberFormat="1" applyFont="1" applyFill="1" applyAlignment="1" applyProtection="1">
      <alignment horizontal="right" vertical="center"/>
      <protection locked="0"/>
    </xf>
    <xf numFmtId="3" fontId="13" fillId="6"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4" fillId="8" borderId="0" xfId="0" applyNumberFormat="1" applyFont="1" applyFill="1" applyAlignment="1" applyProtection="1">
      <alignment horizontal="right" vertical="center"/>
      <protection locked="0"/>
    </xf>
    <xf numFmtId="0" fontId="22" fillId="0" borderId="0" xfId="0" applyFont="1" applyAlignment="1" applyProtection="1">
      <alignment horizontal="left" vertical="center"/>
      <protection locked="0"/>
    </xf>
    <xf numFmtId="0" fontId="25" fillId="0" borderId="0" xfId="0" quotePrefix="1" applyFont="1" applyAlignment="1">
      <alignment horizontal="left" vertical="center"/>
    </xf>
    <xf numFmtId="3" fontId="26"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4"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image" Target="../media/image23.png"/></Relationships>
</file>

<file path=xl/drawings/_rels/drawing4.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16.emf"/><Relationship Id="rId16"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2.emf"/><Relationship Id="rId5" Type="http://schemas.openxmlformats.org/officeDocument/2006/relationships/image" Target="../media/image19.emf"/><Relationship Id="rId15" Type="http://schemas.openxmlformats.org/officeDocument/2006/relationships/image" Target="../media/image8.emf"/><Relationship Id="rId10" Type="http://schemas.openxmlformats.org/officeDocument/2006/relationships/image" Target="../media/image13.emf"/><Relationship Id="rId4" Type="http://schemas.openxmlformats.org/officeDocument/2006/relationships/image" Target="../media/image18.emf"/><Relationship Id="rId9" Type="http://schemas.openxmlformats.org/officeDocument/2006/relationships/image" Target="../media/image14.emf"/><Relationship Id="rId1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30.emf"/><Relationship Id="rId18" Type="http://schemas.openxmlformats.org/officeDocument/2006/relationships/image" Target="../media/image25.emf"/><Relationship Id="rId3" Type="http://schemas.openxmlformats.org/officeDocument/2006/relationships/image" Target="../media/image17.emf"/><Relationship Id="rId7" Type="http://schemas.openxmlformats.org/officeDocument/2006/relationships/image" Target="../media/image36.emf"/><Relationship Id="rId12" Type="http://schemas.openxmlformats.org/officeDocument/2006/relationships/image" Target="../media/image31.emf"/><Relationship Id="rId17" Type="http://schemas.openxmlformats.org/officeDocument/2006/relationships/image" Target="../media/image26.emf"/><Relationship Id="rId2" Type="http://schemas.openxmlformats.org/officeDocument/2006/relationships/image" Target="../media/image40.emf"/><Relationship Id="rId16" Type="http://schemas.openxmlformats.org/officeDocument/2006/relationships/image" Target="../media/image27.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32.emf"/><Relationship Id="rId5" Type="http://schemas.openxmlformats.org/officeDocument/2006/relationships/image" Target="../media/image38.emf"/><Relationship Id="rId1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1.emf"/><Relationship Id="rId13" Type="http://schemas.openxmlformats.org/officeDocument/2006/relationships/image" Target="../media/image46.emf"/><Relationship Id="rId3" Type="http://schemas.openxmlformats.org/officeDocument/2006/relationships/image" Target="../media/image56.emf"/><Relationship Id="rId7" Type="http://schemas.openxmlformats.org/officeDocument/2006/relationships/image" Target="../media/image52.emf"/><Relationship Id="rId12" Type="http://schemas.openxmlformats.org/officeDocument/2006/relationships/image" Target="../media/image47.emf"/><Relationship Id="rId17" Type="http://schemas.openxmlformats.org/officeDocument/2006/relationships/image" Target="../media/image42.emf"/><Relationship Id="rId2" Type="http://schemas.openxmlformats.org/officeDocument/2006/relationships/image" Target="../media/image57.emf"/><Relationship Id="rId16" Type="http://schemas.openxmlformats.org/officeDocument/2006/relationships/image" Target="../media/image43.emf"/><Relationship Id="rId1" Type="http://schemas.openxmlformats.org/officeDocument/2006/relationships/image" Target="../media/image58.emf"/><Relationship Id="rId6" Type="http://schemas.openxmlformats.org/officeDocument/2006/relationships/image" Target="../media/image53.emf"/><Relationship Id="rId11" Type="http://schemas.openxmlformats.org/officeDocument/2006/relationships/image" Target="../media/image48.emf"/><Relationship Id="rId5" Type="http://schemas.openxmlformats.org/officeDocument/2006/relationships/image" Target="../media/image54.emf"/><Relationship Id="rId15" Type="http://schemas.openxmlformats.org/officeDocument/2006/relationships/image" Target="../media/image44.emf"/><Relationship Id="rId10" Type="http://schemas.openxmlformats.org/officeDocument/2006/relationships/image" Target="../media/image49.emf"/><Relationship Id="rId4" Type="http://schemas.openxmlformats.org/officeDocument/2006/relationships/image" Target="../media/image55.emf"/><Relationship Id="rId9" Type="http://schemas.openxmlformats.org/officeDocument/2006/relationships/image" Target="../media/image50.emf"/><Relationship Id="rId14"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12289" name="cbApplyLevelFormatting" hidden="1">
              <a:extLst>
                <a:ext uri="{63B3BB69-23CF-44E3-9099-C40C66FF867C}">
                  <a14:compatExt spid="_x0000_s12289"/>
                </a:ext>
                <a:ext uri="{FF2B5EF4-FFF2-40B4-BE49-F238E27FC236}">
                  <a16:creationId xmlns:a16="http://schemas.microsoft.com/office/drawing/2014/main" id="{4ADF15A0-A79E-4892-97BE-012047D7C6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12290" name="Group Box 2" hidden="1">
              <a:extLst>
                <a:ext uri="{63B3BB69-23CF-44E3-9099-C40C66FF867C}">
                  <a14:compatExt spid="_x0000_s12290"/>
                </a:ext>
                <a:ext uri="{FF2B5EF4-FFF2-40B4-BE49-F238E27FC236}">
                  <a16:creationId xmlns:a16="http://schemas.microsoft.com/office/drawing/2014/main" id="{AD6626AE-D3A3-4E0F-97B5-B0C6A5C4322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12291" name="obLevelRowFirst" hidden="1">
              <a:extLst>
                <a:ext uri="{63B3BB69-23CF-44E3-9099-C40C66FF867C}">
                  <a14:compatExt spid="_x0000_s12291"/>
                </a:ext>
                <a:ext uri="{FF2B5EF4-FFF2-40B4-BE49-F238E27FC236}">
                  <a16:creationId xmlns:a16="http://schemas.microsoft.com/office/drawing/2014/main" id="{70FF4F5D-A253-4F9D-BC50-1D908657C49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12292" name="obLevelColumnFirst" hidden="1">
              <a:extLst>
                <a:ext uri="{63B3BB69-23CF-44E3-9099-C40C66FF867C}">
                  <a14:compatExt spid="_x0000_s12292"/>
                </a:ext>
                <a:ext uri="{FF2B5EF4-FFF2-40B4-BE49-F238E27FC236}">
                  <a16:creationId xmlns:a16="http://schemas.microsoft.com/office/drawing/2014/main" id="{22837ADD-2818-4D20-83A1-8A2766899F3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12293" name="Group Box 5" hidden="1">
              <a:extLst>
                <a:ext uri="{63B3BB69-23CF-44E3-9099-C40C66FF867C}">
                  <a14:compatExt spid="_x0000_s12293"/>
                </a:ext>
                <a:ext uri="{FF2B5EF4-FFF2-40B4-BE49-F238E27FC236}">
                  <a16:creationId xmlns:a16="http://schemas.microsoft.com/office/drawing/2014/main" id="{002A12C0-92B3-45BC-98BE-8FDC2B92523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12294" name="Group Box 6" hidden="1">
              <a:extLst>
                <a:ext uri="{63B3BB69-23CF-44E3-9099-C40C66FF867C}">
                  <a14:compatExt spid="_x0000_s12294"/>
                </a:ext>
                <a:ext uri="{FF2B5EF4-FFF2-40B4-BE49-F238E27FC236}">
                  <a16:creationId xmlns:a16="http://schemas.microsoft.com/office/drawing/2014/main" id="{332157AA-9B54-4B7B-8E16-45D1275DDA1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12295" name="cbUseDefaultLevelFirst" hidden="1">
              <a:extLst>
                <a:ext uri="{63B3BB69-23CF-44E3-9099-C40C66FF867C}">
                  <a14:compatExt spid="_x0000_s12295"/>
                </a:ext>
                <a:ext uri="{FF2B5EF4-FFF2-40B4-BE49-F238E27FC236}">
                  <a16:creationId xmlns:a16="http://schemas.microsoft.com/office/drawing/2014/main" id="{39A05D0C-9E59-4102-8F64-930CF78CDA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12296" name="Group Box 8" hidden="1">
              <a:extLst>
                <a:ext uri="{63B3BB69-23CF-44E3-9099-C40C66FF867C}">
                  <a14:compatExt spid="_x0000_s12296"/>
                </a:ext>
                <a:ext uri="{FF2B5EF4-FFF2-40B4-BE49-F238E27FC236}">
                  <a16:creationId xmlns:a16="http://schemas.microsoft.com/office/drawing/2014/main" id="{1EF5C39F-622B-4431-BB20-025B8ED978A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12297" name="cbUseDefaultLevelSecond" hidden="1">
              <a:extLst>
                <a:ext uri="{63B3BB69-23CF-44E3-9099-C40C66FF867C}">
                  <a14:compatExt spid="_x0000_s12297"/>
                </a:ext>
                <a:ext uri="{FF2B5EF4-FFF2-40B4-BE49-F238E27FC236}">
                  <a16:creationId xmlns:a16="http://schemas.microsoft.com/office/drawing/2014/main" id="{3E670F01-8C67-4B6F-957E-DB47CDC1C8B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12298" name="cbApplyMemberFormatting" hidden="1">
              <a:extLst>
                <a:ext uri="{63B3BB69-23CF-44E3-9099-C40C66FF867C}">
                  <a14:compatExt spid="_x0000_s12298"/>
                </a:ext>
                <a:ext uri="{FF2B5EF4-FFF2-40B4-BE49-F238E27FC236}">
                  <a16:creationId xmlns:a16="http://schemas.microsoft.com/office/drawing/2014/main" id="{BA3FB470-43BA-45DE-8C0F-AA68A02489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2299" name="Group Box 11" hidden="1">
              <a:extLst>
                <a:ext uri="{63B3BB69-23CF-44E3-9099-C40C66FF867C}">
                  <a14:compatExt spid="_x0000_s12299"/>
                </a:ext>
                <a:ext uri="{FF2B5EF4-FFF2-40B4-BE49-F238E27FC236}">
                  <a16:creationId xmlns:a16="http://schemas.microsoft.com/office/drawing/2014/main" id="{253119C7-B592-4CFD-892C-E4B90B83EC7B}"/>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12300" name="obMemberRowFirst" hidden="1">
              <a:extLst>
                <a:ext uri="{63B3BB69-23CF-44E3-9099-C40C66FF867C}">
                  <a14:compatExt spid="_x0000_s12300"/>
                </a:ext>
                <a:ext uri="{FF2B5EF4-FFF2-40B4-BE49-F238E27FC236}">
                  <a16:creationId xmlns:a16="http://schemas.microsoft.com/office/drawing/2014/main" id="{3F8B0083-A20F-4371-A991-2A579C4BD4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12301" name="obMemberColumnFirst" hidden="1">
              <a:extLst>
                <a:ext uri="{63B3BB69-23CF-44E3-9099-C40C66FF867C}">
                  <a14:compatExt spid="_x0000_s12301"/>
                </a:ext>
                <a:ext uri="{FF2B5EF4-FFF2-40B4-BE49-F238E27FC236}">
                  <a16:creationId xmlns:a16="http://schemas.microsoft.com/office/drawing/2014/main" id="{97AFD169-A48D-47EE-A721-E8D57168B0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12302" name="cbApplyCalculatedMemberFirst" hidden="1">
              <a:extLst>
                <a:ext uri="{63B3BB69-23CF-44E3-9099-C40C66FF867C}">
                  <a14:compatExt spid="_x0000_s12302"/>
                </a:ext>
                <a:ext uri="{FF2B5EF4-FFF2-40B4-BE49-F238E27FC236}">
                  <a16:creationId xmlns:a16="http://schemas.microsoft.com/office/drawing/2014/main" id="{2AFD7C21-B3B2-4EF9-BFCE-40F73D0940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12303" name="cbApplyImputableMemberFirst" hidden="1">
              <a:extLst>
                <a:ext uri="{63B3BB69-23CF-44E3-9099-C40C66FF867C}">
                  <a14:compatExt spid="_x0000_s12303"/>
                </a:ext>
                <a:ext uri="{FF2B5EF4-FFF2-40B4-BE49-F238E27FC236}">
                  <a16:creationId xmlns:a16="http://schemas.microsoft.com/office/drawing/2014/main" id="{2A91EF50-FD94-4B3F-A3B6-2A19432506E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12304" name="cbApplyLocalMemberFirst" hidden="1">
              <a:extLst>
                <a:ext uri="{63B3BB69-23CF-44E3-9099-C40C66FF867C}">
                  <a14:compatExt spid="_x0000_s12304"/>
                </a:ext>
                <a:ext uri="{FF2B5EF4-FFF2-40B4-BE49-F238E27FC236}">
                  <a16:creationId xmlns:a16="http://schemas.microsoft.com/office/drawing/2014/main" id="{C9786BC7-F9EB-43E5-87E8-7B722C035F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12305" name="cbApplyChangedMemberFirst" hidden="1">
              <a:extLst>
                <a:ext uri="{63B3BB69-23CF-44E3-9099-C40C66FF867C}">
                  <a14:compatExt spid="_x0000_s12305"/>
                </a:ext>
                <a:ext uri="{FF2B5EF4-FFF2-40B4-BE49-F238E27FC236}">
                  <a16:creationId xmlns:a16="http://schemas.microsoft.com/office/drawing/2014/main" id="{91FCA41D-E257-40B7-AE5A-C18785036FF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12306" name="cbApplySpecificMemberFirst" hidden="1">
              <a:extLst>
                <a:ext uri="{63B3BB69-23CF-44E3-9099-C40C66FF867C}">
                  <a14:compatExt spid="_x0000_s12306"/>
                </a:ext>
                <a:ext uri="{FF2B5EF4-FFF2-40B4-BE49-F238E27FC236}">
                  <a16:creationId xmlns:a16="http://schemas.microsoft.com/office/drawing/2014/main" id="{0936BE5E-841A-47EB-B39A-C39DD36D316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12307" name="AddMemberFirst" hidden="1">
              <a:extLst>
                <a:ext uri="{63B3BB69-23CF-44E3-9099-C40C66FF867C}">
                  <a14:compatExt spid="_x0000_s12307"/>
                </a:ext>
                <a:ext uri="{FF2B5EF4-FFF2-40B4-BE49-F238E27FC236}">
                  <a16:creationId xmlns:a16="http://schemas.microsoft.com/office/drawing/2014/main" id="{81DFEB8F-0019-41A5-AA1A-750204CECA6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12308" name="cbApplyCalculatedMemberSecond" hidden="1">
              <a:extLst>
                <a:ext uri="{63B3BB69-23CF-44E3-9099-C40C66FF867C}">
                  <a14:compatExt spid="_x0000_s12308"/>
                </a:ext>
                <a:ext uri="{FF2B5EF4-FFF2-40B4-BE49-F238E27FC236}">
                  <a16:creationId xmlns:a16="http://schemas.microsoft.com/office/drawing/2014/main" id="{4DA5B545-139C-4F28-BC21-602509AA1C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12309" name="cbApplyImputableMemberSecond" hidden="1">
              <a:extLst>
                <a:ext uri="{63B3BB69-23CF-44E3-9099-C40C66FF867C}">
                  <a14:compatExt spid="_x0000_s12309"/>
                </a:ext>
                <a:ext uri="{FF2B5EF4-FFF2-40B4-BE49-F238E27FC236}">
                  <a16:creationId xmlns:a16="http://schemas.microsoft.com/office/drawing/2014/main" id="{0BD79EF1-26AA-40E6-AF93-E5317ED904C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12310" name="cbApplyLocalMemberSecond" hidden="1">
              <a:extLst>
                <a:ext uri="{63B3BB69-23CF-44E3-9099-C40C66FF867C}">
                  <a14:compatExt spid="_x0000_s12310"/>
                </a:ext>
                <a:ext uri="{FF2B5EF4-FFF2-40B4-BE49-F238E27FC236}">
                  <a16:creationId xmlns:a16="http://schemas.microsoft.com/office/drawing/2014/main" id="{0FF6B835-56D1-4605-AA81-0460547760D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12311" name="cbApplyChangedMemberSecond" hidden="1">
              <a:extLst>
                <a:ext uri="{63B3BB69-23CF-44E3-9099-C40C66FF867C}">
                  <a14:compatExt spid="_x0000_s12311"/>
                </a:ext>
                <a:ext uri="{FF2B5EF4-FFF2-40B4-BE49-F238E27FC236}">
                  <a16:creationId xmlns:a16="http://schemas.microsoft.com/office/drawing/2014/main" id="{6E80F527-559E-4040-AFD0-105E449C77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12312" name="cbApplySpecificMemberSecond" hidden="1">
              <a:extLst>
                <a:ext uri="{63B3BB69-23CF-44E3-9099-C40C66FF867C}">
                  <a14:compatExt spid="_x0000_s12312"/>
                </a:ext>
                <a:ext uri="{FF2B5EF4-FFF2-40B4-BE49-F238E27FC236}">
                  <a16:creationId xmlns:a16="http://schemas.microsoft.com/office/drawing/2014/main" id="{495680D1-4E48-494E-9FC9-C90FCB5AB19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12313" name="AddMemberSecond" hidden="1">
              <a:extLst>
                <a:ext uri="{63B3BB69-23CF-44E3-9099-C40C66FF867C}">
                  <a14:compatExt spid="_x0000_s12313"/>
                </a:ext>
                <a:ext uri="{FF2B5EF4-FFF2-40B4-BE49-F238E27FC236}">
                  <a16:creationId xmlns:a16="http://schemas.microsoft.com/office/drawing/2014/main" id="{8A426795-A0A2-4DB3-AE5C-6AFC2600EF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12314" name="cbApplyOddEvenFormatting" hidden="1">
              <a:extLst>
                <a:ext uri="{63B3BB69-23CF-44E3-9099-C40C66FF867C}">
                  <a14:compatExt spid="_x0000_s12314"/>
                </a:ext>
                <a:ext uri="{FF2B5EF4-FFF2-40B4-BE49-F238E27FC236}">
                  <a16:creationId xmlns:a16="http://schemas.microsoft.com/office/drawing/2014/main" id="{B7E80020-27AA-4BAB-B278-EC8243C65E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2315" name="Group Box 27" hidden="1">
              <a:extLst>
                <a:ext uri="{63B3BB69-23CF-44E3-9099-C40C66FF867C}">
                  <a14:compatExt spid="_x0000_s12315"/>
                </a:ext>
                <a:ext uri="{FF2B5EF4-FFF2-40B4-BE49-F238E27FC236}">
                  <a16:creationId xmlns:a16="http://schemas.microsoft.com/office/drawing/2014/main" id="{AF077A2C-4A70-4251-92B8-76FD777577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12316" name="obOddEvenRowFirst" hidden="1">
              <a:extLst>
                <a:ext uri="{63B3BB69-23CF-44E3-9099-C40C66FF867C}">
                  <a14:compatExt spid="_x0000_s12316"/>
                </a:ext>
                <a:ext uri="{FF2B5EF4-FFF2-40B4-BE49-F238E27FC236}">
                  <a16:creationId xmlns:a16="http://schemas.microsoft.com/office/drawing/2014/main" id="{D34579CC-24BC-47F4-89D8-9AA79D943A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12317" name="obOddEvenColumnFirst" hidden="1">
              <a:extLst>
                <a:ext uri="{63B3BB69-23CF-44E3-9099-C40C66FF867C}">
                  <a14:compatExt spid="_x0000_s12317"/>
                </a:ext>
                <a:ext uri="{FF2B5EF4-FFF2-40B4-BE49-F238E27FC236}">
                  <a16:creationId xmlns:a16="http://schemas.microsoft.com/office/drawing/2014/main" id="{84B8E6E8-11EC-4545-A136-7E7229F5D78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12318" name="cbUseOddFirst" hidden="1">
              <a:extLst>
                <a:ext uri="{63B3BB69-23CF-44E3-9099-C40C66FF867C}">
                  <a14:compatExt spid="_x0000_s12318"/>
                </a:ext>
                <a:ext uri="{FF2B5EF4-FFF2-40B4-BE49-F238E27FC236}">
                  <a16:creationId xmlns:a16="http://schemas.microsoft.com/office/drawing/2014/main" id="{28FADEC4-34ED-4669-BE3F-6F748D8692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12319" name="cbUseEvenFirst" hidden="1">
              <a:extLst>
                <a:ext uri="{63B3BB69-23CF-44E3-9099-C40C66FF867C}">
                  <a14:compatExt spid="_x0000_s12319"/>
                </a:ext>
                <a:ext uri="{FF2B5EF4-FFF2-40B4-BE49-F238E27FC236}">
                  <a16:creationId xmlns:a16="http://schemas.microsoft.com/office/drawing/2014/main" id="{D5FC1305-016A-4FBF-865C-35D7FFB9BB6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12320" name="cbUseOddSecond" hidden="1">
              <a:extLst>
                <a:ext uri="{63B3BB69-23CF-44E3-9099-C40C66FF867C}">
                  <a14:compatExt spid="_x0000_s12320"/>
                </a:ext>
                <a:ext uri="{FF2B5EF4-FFF2-40B4-BE49-F238E27FC236}">
                  <a16:creationId xmlns:a16="http://schemas.microsoft.com/office/drawing/2014/main" id="{9A176BBA-C27D-4BC7-A7E8-52738BB833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12321" name="cbUseEvenSecond" hidden="1">
              <a:extLst>
                <a:ext uri="{63B3BB69-23CF-44E3-9099-C40C66FF867C}">
                  <a14:compatExt spid="_x0000_s12321"/>
                </a:ext>
                <a:ext uri="{FF2B5EF4-FFF2-40B4-BE49-F238E27FC236}">
                  <a16:creationId xmlns:a16="http://schemas.microsoft.com/office/drawing/2014/main" id="{595A88DE-07F7-4B27-914D-FFFD985E70D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12322" name="AddedMember2_1" hidden="1">
              <a:extLst>
                <a:ext uri="{63B3BB69-23CF-44E3-9099-C40C66FF867C}">
                  <a14:compatExt spid="_x0000_s12322"/>
                </a:ext>
                <a:ext uri="{FF2B5EF4-FFF2-40B4-BE49-F238E27FC236}">
                  <a16:creationId xmlns:a16="http://schemas.microsoft.com/office/drawing/2014/main" id="{237DBDC8-E860-46CD-82A5-9E976D5B80C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12323" name="ChangeMember2_1" hidden="1">
              <a:extLst>
                <a:ext uri="{63B3BB69-23CF-44E3-9099-C40C66FF867C}">
                  <a14:compatExt spid="_x0000_s12323"/>
                </a:ext>
                <a:ext uri="{FF2B5EF4-FFF2-40B4-BE49-F238E27FC236}">
                  <a16:creationId xmlns:a16="http://schemas.microsoft.com/office/drawing/2014/main" id="{F8474139-2C9A-4899-9092-EEBE7CB24C0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12324" name="UpMember2_1" hidden="1">
              <a:extLst>
                <a:ext uri="{63B3BB69-23CF-44E3-9099-C40C66FF867C}">
                  <a14:compatExt spid="_x0000_s12324"/>
                </a:ext>
                <a:ext uri="{FF2B5EF4-FFF2-40B4-BE49-F238E27FC236}">
                  <a16:creationId xmlns:a16="http://schemas.microsoft.com/office/drawing/2014/main" id="{AEAB26B2-D918-4F89-B438-EBDA6F6159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12325" name="DownMember2_1" hidden="1">
              <a:extLst>
                <a:ext uri="{63B3BB69-23CF-44E3-9099-C40C66FF867C}">
                  <a14:compatExt spid="_x0000_s12325"/>
                </a:ext>
                <a:ext uri="{FF2B5EF4-FFF2-40B4-BE49-F238E27FC236}">
                  <a16:creationId xmlns:a16="http://schemas.microsoft.com/office/drawing/2014/main" id="{BFAEF227-CA94-4E73-A2F2-21246C166BA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12326" name="AddedMember2_2" hidden="1">
              <a:extLst>
                <a:ext uri="{63B3BB69-23CF-44E3-9099-C40C66FF867C}">
                  <a14:compatExt spid="_x0000_s12326"/>
                </a:ext>
                <a:ext uri="{FF2B5EF4-FFF2-40B4-BE49-F238E27FC236}">
                  <a16:creationId xmlns:a16="http://schemas.microsoft.com/office/drawing/2014/main" id="{9C004FD1-84F6-4DB6-9530-A8327C05C04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12327" name="ChangeMember2_2" hidden="1">
              <a:extLst>
                <a:ext uri="{63B3BB69-23CF-44E3-9099-C40C66FF867C}">
                  <a14:compatExt spid="_x0000_s12327"/>
                </a:ext>
                <a:ext uri="{FF2B5EF4-FFF2-40B4-BE49-F238E27FC236}">
                  <a16:creationId xmlns:a16="http://schemas.microsoft.com/office/drawing/2014/main" id="{DA919578-0E46-460D-8437-AF0F68D873F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12328" name="UpMember2_2" hidden="1">
              <a:extLst>
                <a:ext uri="{63B3BB69-23CF-44E3-9099-C40C66FF867C}">
                  <a14:compatExt spid="_x0000_s12328"/>
                </a:ext>
                <a:ext uri="{FF2B5EF4-FFF2-40B4-BE49-F238E27FC236}">
                  <a16:creationId xmlns:a16="http://schemas.microsoft.com/office/drawing/2014/main" id="{B63CB7C0-6D8A-4C42-8CFB-1E0D136BCE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2329" name="DownMember2_2" hidden="1">
              <a:extLst>
                <a:ext uri="{63B3BB69-23CF-44E3-9099-C40C66FF867C}">
                  <a14:compatExt spid="_x0000_s12329"/>
                </a:ext>
                <a:ext uri="{FF2B5EF4-FFF2-40B4-BE49-F238E27FC236}">
                  <a16:creationId xmlns:a16="http://schemas.microsoft.com/office/drawing/2014/main" id="{9A763649-F13B-44E0-8857-F0E9613A235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12330" name="AddedMember2_3" hidden="1">
              <a:extLst>
                <a:ext uri="{63B3BB69-23CF-44E3-9099-C40C66FF867C}">
                  <a14:compatExt spid="_x0000_s12330"/>
                </a:ext>
                <a:ext uri="{FF2B5EF4-FFF2-40B4-BE49-F238E27FC236}">
                  <a16:creationId xmlns:a16="http://schemas.microsoft.com/office/drawing/2014/main" id="{DCA85EEF-83FD-41D7-82BD-4BB6CB86297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12331" name="ChangeMember2_3" hidden="1">
              <a:extLst>
                <a:ext uri="{63B3BB69-23CF-44E3-9099-C40C66FF867C}">
                  <a14:compatExt spid="_x0000_s12331"/>
                </a:ext>
                <a:ext uri="{FF2B5EF4-FFF2-40B4-BE49-F238E27FC236}">
                  <a16:creationId xmlns:a16="http://schemas.microsoft.com/office/drawing/2014/main" id="{14A43173-642A-4732-BC60-678B3D5ABC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12332" name="UpMember2_3" hidden="1">
              <a:extLst>
                <a:ext uri="{63B3BB69-23CF-44E3-9099-C40C66FF867C}">
                  <a14:compatExt spid="_x0000_s12332"/>
                </a:ext>
                <a:ext uri="{FF2B5EF4-FFF2-40B4-BE49-F238E27FC236}">
                  <a16:creationId xmlns:a16="http://schemas.microsoft.com/office/drawing/2014/main" id="{D367D7F4-DFCD-4AC1-AF1D-EC165CDFBD1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12333" name="DownMember2_3" hidden="1">
              <a:extLst>
                <a:ext uri="{63B3BB69-23CF-44E3-9099-C40C66FF867C}">
                  <a14:compatExt spid="_x0000_s12333"/>
                </a:ext>
                <a:ext uri="{FF2B5EF4-FFF2-40B4-BE49-F238E27FC236}">
                  <a16:creationId xmlns:a16="http://schemas.microsoft.com/office/drawing/2014/main" id="{13DC498C-E368-440F-BDEE-01E15578301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12334" name="AddedMember2_4" hidden="1">
              <a:extLst>
                <a:ext uri="{63B3BB69-23CF-44E3-9099-C40C66FF867C}">
                  <a14:compatExt spid="_x0000_s12334"/>
                </a:ext>
                <a:ext uri="{FF2B5EF4-FFF2-40B4-BE49-F238E27FC236}">
                  <a16:creationId xmlns:a16="http://schemas.microsoft.com/office/drawing/2014/main" id="{5C83F633-3F74-4270-BB5D-049CF2AF98B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12335" name="ChangeMember2_4" hidden="1">
              <a:extLst>
                <a:ext uri="{63B3BB69-23CF-44E3-9099-C40C66FF867C}">
                  <a14:compatExt spid="_x0000_s12335"/>
                </a:ext>
                <a:ext uri="{FF2B5EF4-FFF2-40B4-BE49-F238E27FC236}">
                  <a16:creationId xmlns:a16="http://schemas.microsoft.com/office/drawing/2014/main" id="{31299BFC-F15B-4D6E-B8D3-DB009A5947A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12336" name="UpMember2_4" hidden="1">
              <a:extLst>
                <a:ext uri="{63B3BB69-23CF-44E3-9099-C40C66FF867C}">
                  <a14:compatExt spid="_x0000_s12336"/>
                </a:ext>
                <a:ext uri="{FF2B5EF4-FFF2-40B4-BE49-F238E27FC236}">
                  <a16:creationId xmlns:a16="http://schemas.microsoft.com/office/drawing/2014/main" id="{5AE15DD1-B3E2-413C-99DA-C4833182BF2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12337" name="DownMember2_4" hidden="1">
              <a:extLst>
                <a:ext uri="{63B3BB69-23CF-44E3-9099-C40C66FF867C}">
                  <a14:compatExt spid="_x0000_s12337"/>
                </a:ext>
                <a:ext uri="{FF2B5EF4-FFF2-40B4-BE49-F238E27FC236}">
                  <a16:creationId xmlns:a16="http://schemas.microsoft.com/office/drawing/2014/main" id="{5F8A21B2-B40B-4F77-934E-38988CC4107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12338" name="AddedMember2_5" hidden="1">
              <a:extLst>
                <a:ext uri="{63B3BB69-23CF-44E3-9099-C40C66FF867C}">
                  <a14:compatExt spid="_x0000_s12338"/>
                </a:ext>
                <a:ext uri="{FF2B5EF4-FFF2-40B4-BE49-F238E27FC236}">
                  <a16:creationId xmlns:a16="http://schemas.microsoft.com/office/drawing/2014/main" id="{C3F30077-3F5C-4A27-B38C-9D9B3954BD8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12339" name="ChangeMember2_5" hidden="1">
              <a:extLst>
                <a:ext uri="{63B3BB69-23CF-44E3-9099-C40C66FF867C}">
                  <a14:compatExt spid="_x0000_s12339"/>
                </a:ext>
                <a:ext uri="{FF2B5EF4-FFF2-40B4-BE49-F238E27FC236}">
                  <a16:creationId xmlns:a16="http://schemas.microsoft.com/office/drawing/2014/main" id="{6A11F4C7-7000-403F-A6DE-57602EB1A9B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12340" name="UpMember2_5" hidden="1">
              <a:extLst>
                <a:ext uri="{63B3BB69-23CF-44E3-9099-C40C66FF867C}">
                  <a14:compatExt spid="_x0000_s12340"/>
                </a:ext>
                <a:ext uri="{FF2B5EF4-FFF2-40B4-BE49-F238E27FC236}">
                  <a16:creationId xmlns:a16="http://schemas.microsoft.com/office/drawing/2014/main" id="{CCDAE764-23B4-45CB-BB81-21CDC5ED312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12341" name="DownMember2_5" hidden="1">
              <a:extLst>
                <a:ext uri="{63B3BB69-23CF-44E3-9099-C40C66FF867C}">
                  <a14:compatExt spid="_x0000_s12341"/>
                </a:ext>
                <a:ext uri="{FF2B5EF4-FFF2-40B4-BE49-F238E27FC236}">
                  <a16:creationId xmlns:a16="http://schemas.microsoft.com/office/drawing/2014/main" id="{F5D261AE-9DC1-424C-97F1-2CF859373C7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12342" name="AddedMember2_6" hidden="1">
              <a:extLst>
                <a:ext uri="{63B3BB69-23CF-44E3-9099-C40C66FF867C}">
                  <a14:compatExt spid="_x0000_s12342"/>
                </a:ext>
                <a:ext uri="{FF2B5EF4-FFF2-40B4-BE49-F238E27FC236}">
                  <a16:creationId xmlns:a16="http://schemas.microsoft.com/office/drawing/2014/main" id="{B9F96254-164B-43A7-A7BD-A517E12F286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12343" name="ChangeMember2_6" hidden="1">
              <a:extLst>
                <a:ext uri="{63B3BB69-23CF-44E3-9099-C40C66FF867C}">
                  <a14:compatExt spid="_x0000_s12343"/>
                </a:ext>
                <a:ext uri="{FF2B5EF4-FFF2-40B4-BE49-F238E27FC236}">
                  <a16:creationId xmlns:a16="http://schemas.microsoft.com/office/drawing/2014/main" id="{F46D6778-9AD0-4648-A551-27E3AE2D45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12344" name="UpMember2_6" hidden="1">
              <a:extLst>
                <a:ext uri="{63B3BB69-23CF-44E3-9099-C40C66FF867C}">
                  <a14:compatExt spid="_x0000_s12344"/>
                </a:ext>
                <a:ext uri="{FF2B5EF4-FFF2-40B4-BE49-F238E27FC236}">
                  <a16:creationId xmlns:a16="http://schemas.microsoft.com/office/drawing/2014/main" id="{A4339A4A-E033-4F04-8DA5-7CC0CC73E94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12345" name="DownMember2_6" hidden="1">
              <a:extLst>
                <a:ext uri="{63B3BB69-23CF-44E3-9099-C40C66FF867C}">
                  <a14:compatExt spid="_x0000_s12345"/>
                </a:ext>
                <a:ext uri="{FF2B5EF4-FFF2-40B4-BE49-F238E27FC236}">
                  <a16:creationId xmlns:a16="http://schemas.microsoft.com/office/drawing/2014/main" id="{471382CD-53BB-4A1B-A273-E3CB6DB705E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12346" name="AddedMember2_7" hidden="1">
              <a:extLst>
                <a:ext uri="{63B3BB69-23CF-44E3-9099-C40C66FF867C}">
                  <a14:compatExt spid="_x0000_s12346"/>
                </a:ext>
                <a:ext uri="{FF2B5EF4-FFF2-40B4-BE49-F238E27FC236}">
                  <a16:creationId xmlns:a16="http://schemas.microsoft.com/office/drawing/2014/main" id="{87EEFAD8-EEFF-4B8D-8176-6D2C13FA6E6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12347" name="ChangeMember2_7" hidden="1">
              <a:extLst>
                <a:ext uri="{63B3BB69-23CF-44E3-9099-C40C66FF867C}">
                  <a14:compatExt spid="_x0000_s12347"/>
                </a:ext>
                <a:ext uri="{FF2B5EF4-FFF2-40B4-BE49-F238E27FC236}">
                  <a16:creationId xmlns:a16="http://schemas.microsoft.com/office/drawing/2014/main" id="{4CC87457-792B-4933-95D0-7A494B184AA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12348" name="UpMember2_7" hidden="1">
              <a:extLst>
                <a:ext uri="{63B3BB69-23CF-44E3-9099-C40C66FF867C}">
                  <a14:compatExt spid="_x0000_s12348"/>
                </a:ext>
                <a:ext uri="{FF2B5EF4-FFF2-40B4-BE49-F238E27FC236}">
                  <a16:creationId xmlns:a16="http://schemas.microsoft.com/office/drawing/2014/main" id="{A46FACA9-68AE-4BBE-B10A-B26B6F4700C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2349" name="DownMember2_7" hidden="1">
              <a:extLst>
                <a:ext uri="{63B3BB69-23CF-44E3-9099-C40C66FF867C}">
                  <a14:compatExt spid="_x0000_s12349"/>
                </a:ext>
                <a:ext uri="{FF2B5EF4-FFF2-40B4-BE49-F238E27FC236}">
                  <a16:creationId xmlns:a16="http://schemas.microsoft.com/office/drawing/2014/main" id="{485D2FA7-8517-4DDD-8C0D-040555728A8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12350" name="AddedMember1_1" hidden="1">
              <a:extLst>
                <a:ext uri="{63B3BB69-23CF-44E3-9099-C40C66FF867C}">
                  <a14:compatExt spid="_x0000_s12350"/>
                </a:ext>
                <a:ext uri="{FF2B5EF4-FFF2-40B4-BE49-F238E27FC236}">
                  <a16:creationId xmlns:a16="http://schemas.microsoft.com/office/drawing/2014/main" id="{922D4DAF-06CE-4477-83B9-6D2BA490C3C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12351" name="ChangeMember1_1" hidden="1">
              <a:extLst>
                <a:ext uri="{63B3BB69-23CF-44E3-9099-C40C66FF867C}">
                  <a14:compatExt spid="_x0000_s12351"/>
                </a:ext>
                <a:ext uri="{FF2B5EF4-FFF2-40B4-BE49-F238E27FC236}">
                  <a16:creationId xmlns:a16="http://schemas.microsoft.com/office/drawing/2014/main" id="{2C78A4BE-1A69-4359-B08A-928C9B07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12352" name="UpMember1_1" hidden="1">
              <a:extLst>
                <a:ext uri="{63B3BB69-23CF-44E3-9099-C40C66FF867C}">
                  <a14:compatExt spid="_x0000_s12352"/>
                </a:ext>
                <a:ext uri="{FF2B5EF4-FFF2-40B4-BE49-F238E27FC236}">
                  <a16:creationId xmlns:a16="http://schemas.microsoft.com/office/drawing/2014/main" id="{C2AE2CAB-46E2-48F4-B509-6699CB7368C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12353" name="DownMember1_1" hidden="1">
              <a:extLst>
                <a:ext uri="{63B3BB69-23CF-44E3-9099-C40C66FF867C}">
                  <a14:compatExt spid="_x0000_s12353"/>
                </a:ext>
                <a:ext uri="{FF2B5EF4-FFF2-40B4-BE49-F238E27FC236}">
                  <a16:creationId xmlns:a16="http://schemas.microsoft.com/office/drawing/2014/main" id="{15538B06-44AF-49E8-B0BA-0C407774AA1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12354" name="AddedMember1_2" hidden="1">
              <a:extLst>
                <a:ext uri="{63B3BB69-23CF-44E3-9099-C40C66FF867C}">
                  <a14:compatExt spid="_x0000_s12354"/>
                </a:ext>
                <a:ext uri="{FF2B5EF4-FFF2-40B4-BE49-F238E27FC236}">
                  <a16:creationId xmlns:a16="http://schemas.microsoft.com/office/drawing/2014/main" id="{1F40E7CC-4C40-44EC-AE75-BD82566FB3B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12355" name="ChangeMember1_2" hidden="1">
              <a:extLst>
                <a:ext uri="{63B3BB69-23CF-44E3-9099-C40C66FF867C}">
                  <a14:compatExt spid="_x0000_s12355"/>
                </a:ext>
                <a:ext uri="{FF2B5EF4-FFF2-40B4-BE49-F238E27FC236}">
                  <a16:creationId xmlns:a16="http://schemas.microsoft.com/office/drawing/2014/main" id="{D83B162D-B463-4FA6-8C8F-32009B503F6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12356" name="UpMember1_2" hidden="1">
              <a:extLst>
                <a:ext uri="{63B3BB69-23CF-44E3-9099-C40C66FF867C}">
                  <a14:compatExt spid="_x0000_s12356"/>
                </a:ext>
                <a:ext uri="{FF2B5EF4-FFF2-40B4-BE49-F238E27FC236}">
                  <a16:creationId xmlns:a16="http://schemas.microsoft.com/office/drawing/2014/main" id="{2B7EFE4A-9581-4CFD-AA0F-FB53A7590CE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12357" name="DownMember1_2" hidden="1">
              <a:extLst>
                <a:ext uri="{63B3BB69-23CF-44E3-9099-C40C66FF867C}">
                  <a14:compatExt spid="_x0000_s12357"/>
                </a:ext>
                <a:ext uri="{FF2B5EF4-FFF2-40B4-BE49-F238E27FC236}">
                  <a16:creationId xmlns:a16="http://schemas.microsoft.com/office/drawing/2014/main" id="{67001AF5-F4D0-45A0-BE82-7C5577A776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593271</xdr:colOff>
          <xdr:row>2</xdr:row>
          <xdr:rowOff>152400</xdr:rowOff>
        </xdr:from>
        <xdr:to>
          <xdr:col>8</xdr:col>
          <xdr:colOff>598714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5" name="ConnectionDescriptorsInfoHCtb1"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6" name="ConnectionDescriptorsInfoDCtb1" hidden="1">
              <a:extLst>
                <a:ext uri="{63B3BB69-23CF-44E3-9099-C40C66FF867C}">
                  <a14:compatExt spid="_x0000_s9226"/>
                </a:ext>
                <a:ext uri="{FF2B5EF4-FFF2-40B4-BE49-F238E27FC236}">
                  <a16:creationId xmlns:a16="http://schemas.microsoft.com/office/drawing/2014/main" id="{00000000-0008-0000-0200-00000A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7" name="MultipleReportManagerInfoHCtb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8" name="MultipleReportManagerInfoDCtb1"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9" name="ReportSubmitManagerControlHCtb1"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0" name="ReportSubmitManagerControlDCtb1"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1" name="ReportSubmitControl_1HCtb1"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2" name="ReportSubmitControl_1DCtb1"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3" name="AnalyzerDynReportHC000tb1"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4" name="AnalyzerDynReportDC000tb1" hidden="1">
              <a:extLst>
                <a:ext uri="{63B3BB69-23CF-44E3-9099-C40C66FF867C}">
                  <a14:compatExt spid="_x0000_s9234"/>
                </a:ext>
                <a:ext uri="{FF2B5EF4-FFF2-40B4-BE49-F238E27FC236}">
                  <a16:creationId xmlns:a16="http://schemas.microsoft.com/office/drawing/2014/main" id="{00000000-0008-0000-0200-00001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550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1265" name="FPMExcelClientSheetOptionstb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642257</xdr:colOff>
          <xdr:row>2</xdr:row>
          <xdr:rowOff>163286</xdr:rowOff>
        </xdr:to>
        <xdr:sp macro="" textlink="">
          <xdr:nvSpPr>
            <xdr:cNvPr id="11267" name="TextBox2"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68" name="AnalyzerDynReport000tb1"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69" name="ConnectionDescriptorsInfotb1"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70" name="MultipleReportManagerInfotb1"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71" name="ReportSubmitManagerControltb1"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11272" name="ReportSubmitControl_1tb1"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73" name="ConnectionDescriptorsInfoHCtb1" hidden="1">
              <a:extLst>
                <a:ext uri="{63B3BB69-23CF-44E3-9099-C40C66FF867C}">
                  <a14:compatExt spid="_x0000_s11273"/>
                </a:ext>
                <a:ext uri="{FF2B5EF4-FFF2-40B4-BE49-F238E27FC236}">
                  <a16:creationId xmlns:a16="http://schemas.microsoft.com/office/drawing/2014/main" id="{00000000-0008-0000-0300-000009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74" name="ConnectionDescriptorsInfoDCtb1"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75" name="MultipleReportManagerInfoHCtb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76" name="MultipleReportManagerInfoDCtb1"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77" name="ReportSubmitManagerControlHCtb1"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78" name="ReportSubmitManagerControlDCtb1"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79" name="ReportSubmitControl_1HCtb1"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80" name="ReportSubmitControl_1DCtb1"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81" name="AnalyzerDynReportHC000tb1"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288471</xdr:colOff>
          <xdr:row>3</xdr:row>
          <xdr:rowOff>10886</xdr:rowOff>
        </xdr:to>
        <xdr:sp macro="" textlink="">
          <xdr:nvSpPr>
            <xdr:cNvPr id="11282" name="AnalyzerDynReportDC000tb1"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7" Type="http://schemas.openxmlformats.org/officeDocument/2006/relationships/image" Target="../media/image4.png"/><Relationship Id="rId2" Type="http://schemas.openxmlformats.org/officeDocument/2006/relationships/customProperty" Target="../customProperty2.bin"/><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1.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5" Type="http://schemas.openxmlformats.org/officeDocument/2006/relationships/drawing" Target="../drawings/drawing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 Type="http://schemas.openxmlformats.org/officeDocument/2006/relationships/customProperty" Target="../customProperty4.bin"/><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8" Type="http://schemas.openxmlformats.org/officeDocument/2006/relationships/control" Target="../activeX/activeX4.xml"/><Relationship Id="rId3" Type="http://schemas.openxmlformats.org/officeDocument/2006/relationships/customProperty" Target="../customProperty3.bin"/><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image" Target="../media/image30.emf"/><Relationship Id="rId26" Type="http://schemas.openxmlformats.org/officeDocument/2006/relationships/image" Target="../media/image34.emf"/><Relationship Id="rId39" Type="http://schemas.openxmlformats.org/officeDocument/2006/relationships/control" Target="../activeX/activeX38.xml"/><Relationship Id="rId21" Type="http://schemas.openxmlformats.org/officeDocument/2006/relationships/control" Target="../activeX/activeX29.xml"/><Relationship Id="rId34" Type="http://schemas.openxmlformats.org/officeDocument/2006/relationships/image" Target="../media/image38.emf"/><Relationship Id="rId42" Type="http://schemas.openxmlformats.org/officeDocument/2006/relationships/image" Target="../media/image41.emf"/><Relationship Id="rId7" Type="http://schemas.openxmlformats.org/officeDocument/2006/relationships/control" Target="../activeX/activeX22.xml"/><Relationship Id="rId2" Type="http://schemas.openxmlformats.org/officeDocument/2006/relationships/customProperty" Target="../customProperty5.bin"/><Relationship Id="rId16" Type="http://schemas.openxmlformats.org/officeDocument/2006/relationships/image" Target="../media/image29.emf"/><Relationship Id="rId20" Type="http://schemas.openxmlformats.org/officeDocument/2006/relationships/image" Target="../media/image31.emf"/><Relationship Id="rId29" Type="http://schemas.openxmlformats.org/officeDocument/2006/relationships/control" Target="../activeX/activeX33.xml"/><Relationship Id="rId41" Type="http://schemas.openxmlformats.org/officeDocument/2006/relationships/control" Target="../activeX/activeX39.xml"/><Relationship Id="rId1" Type="http://schemas.openxmlformats.org/officeDocument/2006/relationships/printerSettings" Target="../printerSettings/printerSettings3.bin"/><Relationship Id="rId6" Type="http://schemas.openxmlformats.org/officeDocument/2006/relationships/image" Target="../media/image24.png"/><Relationship Id="rId11" Type="http://schemas.openxmlformats.org/officeDocument/2006/relationships/control" Target="../activeX/activeX24.xml"/><Relationship Id="rId24" Type="http://schemas.openxmlformats.org/officeDocument/2006/relationships/image" Target="../media/image33.emf"/><Relationship Id="rId32" Type="http://schemas.openxmlformats.org/officeDocument/2006/relationships/image" Target="../media/image37.emf"/><Relationship Id="rId37" Type="http://schemas.openxmlformats.org/officeDocument/2006/relationships/control" Target="../activeX/activeX37.xml"/><Relationship Id="rId40" Type="http://schemas.openxmlformats.org/officeDocument/2006/relationships/image" Target="../media/image40.emf"/><Relationship Id="rId5" Type="http://schemas.openxmlformats.org/officeDocument/2006/relationships/vmlDrawing" Target="../drawings/vmlDrawing3.vml"/><Relationship Id="rId15" Type="http://schemas.openxmlformats.org/officeDocument/2006/relationships/control" Target="../activeX/activeX26.xml"/><Relationship Id="rId23" Type="http://schemas.openxmlformats.org/officeDocument/2006/relationships/control" Target="../activeX/activeX30.xml"/><Relationship Id="rId28" Type="http://schemas.openxmlformats.org/officeDocument/2006/relationships/image" Target="../media/image35.emf"/><Relationship Id="rId36" Type="http://schemas.openxmlformats.org/officeDocument/2006/relationships/image" Target="../media/image39.emf"/><Relationship Id="rId10" Type="http://schemas.openxmlformats.org/officeDocument/2006/relationships/image" Target="../media/image26.emf"/><Relationship Id="rId19" Type="http://schemas.openxmlformats.org/officeDocument/2006/relationships/control" Target="../activeX/activeX28.xml"/><Relationship Id="rId31" Type="http://schemas.openxmlformats.org/officeDocument/2006/relationships/control" Target="../activeX/activeX34.xml"/><Relationship Id="rId4" Type="http://schemas.openxmlformats.org/officeDocument/2006/relationships/drawing" Target="../drawings/drawing3.xml"/><Relationship Id="rId9" Type="http://schemas.openxmlformats.org/officeDocument/2006/relationships/control" Target="../activeX/activeX23.xml"/><Relationship Id="rId14" Type="http://schemas.openxmlformats.org/officeDocument/2006/relationships/image" Target="../media/image28.emf"/><Relationship Id="rId22" Type="http://schemas.openxmlformats.org/officeDocument/2006/relationships/image" Target="../media/image32.emf"/><Relationship Id="rId27" Type="http://schemas.openxmlformats.org/officeDocument/2006/relationships/control" Target="../activeX/activeX32.xml"/><Relationship Id="rId30" Type="http://schemas.openxmlformats.org/officeDocument/2006/relationships/image" Target="../media/image36.emf"/><Relationship Id="rId35" Type="http://schemas.openxmlformats.org/officeDocument/2006/relationships/control" Target="../activeX/activeX36.xml"/><Relationship Id="rId8" Type="http://schemas.openxmlformats.org/officeDocument/2006/relationships/image" Target="../media/image25.emf"/><Relationship Id="rId3" Type="http://schemas.openxmlformats.org/officeDocument/2006/relationships/customProperty" Target="../customProperty6.bin"/><Relationship Id="rId12" Type="http://schemas.openxmlformats.org/officeDocument/2006/relationships/image" Target="../media/image27.emf"/><Relationship Id="rId17" Type="http://schemas.openxmlformats.org/officeDocument/2006/relationships/control" Target="../activeX/activeX27.xml"/><Relationship Id="rId25" Type="http://schemas.openxmlformats.org/officeDocument/2006/relationships/control" Target="../activeX/activeX31.xml"/><Relationship Id="rId33" Type="http://schemas.openxmlformats.org/officeDocument/2006/relationships/control" Target="../activeX/activeX35.xml"/><Relationship Id="rId38" Type="http://schemas.openxmlformats.org/officeDocument/2006/relationships/image" Target="../media/image1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43.xml"/><Relationship Id="rId18" Type="http://schemas.openxmlformats.org/officeDocument/2006/relationships/image" Target="../media/image47.emf"/><Relationship Id="rId26" Type="http://schemas.openxmlformats.org/officeDocument/2006/relationships/image" Target="../media/image51.emf"/><Relationship Id="rId39" Type="http://schemas.openxmlformats.org/officeDocument/2006/relationships/control" Target="../activeX/activeX56.xml"/><Relationship Id="rId21" Type="http://schemas.openxmlformats.org/officeDocument/2006/relationships/control" Target="../activeX/activeX47.xml"/><Relationship Id="rId34" Type="http://schemas.openxmlformats.org/officeDocument/2006/relationships/image" Target="../media/image55.emf"/><Relationship Id="rId7" Type="http://schemas.openxmlformats.org/officeDocument/2006/relationships/control" Target="../activeX/activeX40.xml"/><Relationship Id="rId12" Type="http://schemas.openxmlformats.org/officeDocument/2006/relationships/image" Target="../media/image44.emf"/><Relationship Id="rId17" Type="http://schemas.openxmlformats.org/officeDocument/2006/relationships/control" Target="../activeX/activeX45.xml"/><Relationship Id="rId25" Type="http://schemas.openxmlformats.org/officeDocument/2006/relationships/control" Target="../activeX/activeX49.xml"/><Relationship Id="rId33" Type="http://schemas.openxmlformats.org/officeDocument/2006/relationships/control" Target="../activeX/activeX53.xml"/><Relationship Id="rId38" Type="http://schemas.openxmlformats.org/officeDocument/2006/relationships/image" Target="../media/image57.emf"/><Relationship Id="rId2" Type="http://schemas.openxmlformats.org/officeDocument/2006/relationships/customProperty" Target="../customProperty7.bin"/><Relationship Id="rId16" Type="http://schemas.openxmlformats.org/officeDocument/2006/relationships/image" Target="../media/image46.emf"/><Relationship Id="rId20" Type="http://schemas.openxmlformats.org/officeDocument/2006/relationships/image" Target="../media/image48.emf"/><Relationship Id="rId29" Type="http://schemas.openxmlformats.org/officeDocument/2006/relationships/control" Target="../activeX/activeX51.xml"/><Relationship Id="rId1" Type="http://schemas.openxmlformats.org/officeDocument/2006/relationships/printerSettings" Target="../printerSettings/printerSettings4.bin"/><Relationship Id="rId6" Type="http://schemas.openxmlformats.org/officeDocument/2006/relationships/image" Target="../media/image24.png"/><Relationship Id="rId11" Type="http://schemas.openxmlformats.org/officeDocument/2006/relationships/control" Target="../activeX/activeX42.xml"/><Relationship Id="rId24" Type="http://schemas.openxmlformats.org/officeDocument/2006/relationships/image" Target="../media/image50.emf"/><Relationship Id="rId32" Type="http://schemas.openxmlformats.org/officeDocument/2006/relationships/image" Target="../media/image54.emf"/><Relationship Id="rId37" Type="http://schemas.openxmlformats.org/officeDocument/2006/relationships/control" Target="../activeX/activeX55.xml"/><Relationship Id="rId40" Type="http://schemas.openxmlformats.org/officeDocument/2006/relationships/image" Target="../media/image58.emf"/><Relationship Id="rId5" Type="http://schemas.openxmlformats.org/officeDocument/2006/relationships/vmlDrawing" Target="../drawings/vmlDrawing4.vml"/><Relationship Id="rId15" Type="http://schemas.openxmlformats.org/officeDocument/2006/relationships/control" Target="../activeX/activeX44.xml"/><Relationship Id="rId23" Type="http://schemas.openxmlformats.org/officeDocument/2006/relationships/control" Target="../activeX/activeX48.xml"/><Relationship Id="rId28" Type="http://schemas.openxmlformats.org/officeDocument/2006/relationships/image" Target="../media/image52.emf"/><Relationship Id="rId36" Type="http://schemas.openxmlformats.org/officeDocument/2006/relationships/image" Target="../media/image56.emf"/><Relationship Id="rId10" Type="http://schemas.openxmlformats.org/officeDocument/2006/relationships/image" Target="../media/image43.emf"/><Relationship Id="rId19" Type="http://schemas.openxmlformats.org/officeDocument/2006/relationships/control" Target="../activeX/activeX46.xml"/><Relationship Id="rId31" Type="http://schemas.openxmlformats.org/officeDocument/2006/relationships/control" Target="../activeX/activeX52.xml"/><Relationship Id="rId4" Type="http://schemas.openxmlformats.org/officeDocument/2006/relationships/drawing" Target="../drawings/drawing4.xml"/><Relationship Id="rId9" Type="http://schemas.openxmlformats.org/officeDocument/2006/relationships/control" Target="../activeX/activeX41.xml"/><Relationship Id="rId14" Type="http://schemas.openxmlformats.org/officeDocument/2006/relationships/image" Target="../media/image45.emf"/><Relationship Id="rId22" Type="http://schemas.openxmlformats.org/officeDocument/2006/relationships/image" Target="../media/image49.emf"/><Relationship Id="rId27" Type="http://schemas.openxmlformats.org/officeDocument/2006/relationships/control" Target="../activeX/activeX50.xml"/><Relationship Id="rId30" Type="http://schemas.openxmlformats.org/officeDocument/2006/relationships/image" Target="../media/image53.emf"/><Relationship Id="rId35" Type="http://schemas.openxmlformats.org/officeDocument/2006/relationships/control" Target="../activeX/activeX54.xml"/><Relationship Id="rId8" Type="http://schemas.openxmlformats.org/officeDocument/2006/relationships/image" Target="../media/image42.emf"/><Relationship Id="rId3" Type="http://schemas.openxmlformats.org/officeDocument/2006/relationships/customProperty" Target="../customProperty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ABDAC-E35E-4EE0-BE50-A7480A2B8E12}">
  <sheetPr codeName="Sheet7"/>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60" t="s">
        <v>29</v>
      </c>
      <c r="C1" s="60"/>
      <c r="D1" s="60"/>
      <c r="E1" s="60"/>
      <c r="F1" s="60"/>
      <c r="G1" s="60"/>
      <c r="H1" s="60"/>
      <c r="I1" s="60"/>
      <c r="J1" s="60"/>
      <c r="K1" s="60"/>
      <c r="L1" s="60"/>
    </row>
    <row r="2" spans="1:17" ht="15.75" customHeight="1" x14ac:dyDescent="0.4">
      <c r="A2" s="26" t="s">
        <v>21</v>
      </c>
      <c r="B2" s="2"/>
      <c r="C2" s="2"/>
      <c r="D2" s="2"/>
      <c r="E2" s="2"/>
      <c r="G2" s="2"/>
      <c r="H2" s="2"/>
      <c r="I2" s="2"/>
      <c r="J2" s="76"/>
      <c r="K2" s="2"/>
      <c r="L2" s="2"/>
    </row>
    <row r="3" spans="1:17" ht="15.75" customHeight="1" x14ac:dyDescent="0.4">
      <c r="A3" s="2"/>
      <c r="B3" s="3" t="s">
        <v>0</v>
      </c>
      <c r="C3" s="2"/>
      <c r="D3" s="2"/>
      <c r="E3" s="2"/>
      <c r="F3" s="76"/>
      <c r="G3" s="2"/>
      <c r="H3" s="2"/>
      <c r="I3" s="2"/>
      <c r="J3" s="76"/>
      <c r="K3" s="2"/>
      <c r="L3" s="2"/>
    </row>
    <row r="4" spans="1:17" ht="18" customHeight="1" thickBot="1" x14ac:dyDescent="0.45">
      <c r="A4" s="2"/>
      <c r="B4" s="2"/>
      <c r="C4" s="2"/>
      <c r="D4" s="2"/>
      <c r="E4" s="2"/>
      <c r="F4" s="76"/>
      <c r="G4" s="2"/>
      <c r="H4" s="2"/>
      <c r="I4" s="2"/>
      <c r="J4" s="76"/>
      <c r="K4" s="2"/>
      <c r="L4" s="2"/>
    </row>
    <row r="5" spans="1:17" ht="28.4" customHeight="1" x14ac:dyDescent="0.35">
      <c r="A5" s="2"/>
      <c r="B5" s="61" t="s">
        <v>22</v>
      </c>
      <c r="C5" s="62"/>
      <c r="D5" s="62"/>
      <c r="E5" s="62"/>
      <c r="F5" s="62"/>
      <c r="G5" s="62"/>
      <c r="H5" s="62"/>
      <c r="I5" s="62"/>
      <c r="J5" s="62"/>
      <c r="K5" s="62"/>
      <c r="L5" s="63"/>
      <c r="Q5" s="15" t="s">
        <v>16</v>
      </c>
    </row>
    <row r="6" spans="1:17" ht="28.4" customHeight="1" thickBot="1" x14ac:dyDescent="0.4">
      <c r="A6" s="2"/>
      <c r="B6" s="64"/>
      <c r="C6" s="65"/>
      <c r="D6" s="65"/>
      <c r="E6" s="65"/>
      <c r="F6" s="65"/>
      <c r="G6" s="65"/>
      <c r="H6" s="65"/>
      <c r="I6" s="65"/>
      <c r="J6" s="65"/>
      <c r="K6" s="65"/>
      <c r="L6" s="66"/>
      <c r="Q6" s="16" t="s">
        <v>17</v>
      </c>
    </row>
    <row r="7" spans="1:17" ht="21.9" customHeight="1" x14ac:dyDescent="0.4">
      <c r="A7" s="2"/>
      <c r="B7" s="67" t="s">
        <v>8</v>
      </c>
      <c r="C7" s="13"/>
      <c r="D7" s="13"/>
      <c r="E7" s="13"/>
      <c r="F7" s="77"/>
      <c r="G7" s="13"/>
      <c r="H7" s="13"/>
      <c r="I7" s="13"/>
      <c r="J7" s="77"/>
      <c r="K7" s="13"/>
      <c r="L7" s="14"/>
      <c r="Q7" s="59" t="s">
        <v>30</v>
      </c>
    </row>
    <row r="8" spans="1:17" ht="18" customHeight="1" x14ac:dyDescent="0.4">
      <c r="A8" s="2"/>
      <c r="B8" s="45"/>
      <c r="C8" s="2"/>
      <c r="D8" s="2"/>
      <c r="E8" s="2"/>
      <c r="F8" s="76"/>
      <c r="G8" s="2"/>
      <c r="H8" s="2"/>
      <c r="I8" s="2"/>
      <c r="J8" s="76"/>
      <c r="K8" s="2"/>
      <c r="L8" s="10"/>
      <c r="Q8" s="59"/>
    </row>
    <row r="9" spans="1:17" ht="17.149999999999999" customHeight="1" x14ac:dyDescent="0.35">
      <c r="A9" s="2"/>
      <c r="B9" s="45"/>
      <c r="C9" s="5"/>
      <c r="D9" s="6"/>
      <c r="E9" s="46" t="s">
        <v>1</v>
      </c>
      <c r="F9" s="47"/>
      <c r="G9" s="48"/>
      <c r="H9" s="4" t="s">
        <v>2</v>
      </c>
      <c r="I9" s="46" t="s">
        <v>3</v>
      </c>
      <c r="J9" s="47"/>
      <c r="K9" s="48"/>
      <c r="L9" s="11" t="s">
        <v>2</v>
      </c>
      <c r="Q9" s="59"/>
    </row>
    <row r="10" spans="1:17" ht="5.15" customHeight="1" x14ac:dyDescent="0.4">
      <c r="A10" s="2"/>
      <c r="B10" s="45"/>
      <c r="C10" s="49"/>
      <c r="D10" s="2"/>
      <c r="E10" s="78"/>
      <c r="F10" s="79"/>
      <c r="G10" s="78"/>
      <c r="H10" s="8"/>
      <c r="I10" s="78"/>
      <c r="J10" s="79"/>
      <c r="K10" s="78"/>
      <c r="L10" s="10"/>
      <c r="Q10" s="59"/>
    </row>
    <row r="11" spans="1:17" ht="15.9" customHeight="1" x14ac:dyDescent="0.35">
      <c r="A11" s="2"/>
      <c r="B11" s="45"/>
      <c r="C11" s="50"/>
      <c r="D11" s="80" t="s">
        <v>5</v>
      </c>
      <c r="E11" s="78"/>
      <c r="F11" s="81">
        <v>10000</v>
      </c>
      <c r="G11" s="78"/>
      <c r="H11" s="28" t="s">
        <v>19</v>
      </c>
      <c r="I11" s="78"/>
      <c r="J11" s="82" t="s">
        <v>7</v>
      </c>
      <c r="K11" s="78"/>
      <c r="L11" s="12" t="s">
        <v>6</v>
      </c>
      <c r="Q11" s="59"/>
    </row>
    <row r="12" spans="1:17" ht="5.15" customHeight="1" thickBot="1" x14ac:dyDescent="0.45">
      <c r="A12" s="2"/>
      <c r="B12" s="68"/>
      <c r="C12" s="69"/>
      <c r="D12" s="29"/>
      <c r="E12" s="30"/>
      <c r="F12" s="83"/>
      <c r="G12" s="30"/>
      <c r="H12" s="31"/>
      <c r="I12" s="30"/>
      <c r="J12" s="83"/>
      <c r="K12" s="30"/>
      <c r="L12" s="32"/>
      <c r="Q12" s="59"/>
    </row>
    <row r="13" spans="1:17" ht="21.9" customHeight="1" x14ac:dyDescent="0.4">
      <c r="A13" s="2"/>
      <c r="B13" s="45" t="s">
        <v>4</v>
      </c>
      <c r="C13" s="2"/>
      <c r="D13" s="2"/>
      <c r="E13" s="2"/>
      <c r="F13" s="76"/>
      <c r="G13" s="2"/>
      <c r="H13" s="2"/>
      <c r="I13" s="2"/>
      <c r="J13" s="76"/>
      <c r="K13" s="2"/>
      <c r="L13" s="10"/>
      <c r="Q13" s="59"/>
    </row>
    <row r="14" spans="1:17" ht="18" customHeight="1" x14ac:dyDescent="0.4">
      <c r="A14" s="2"/>
      <c r="B14" s="45"/>
      <c r="C14" s="2"/>
      <c r="D14" s="2"/>
      <c r="E14" s="2"/>
      <c r="F14" s="76"/>
      <c r="G14" s="2"/>
      <c r="H14" s="2"/>
      <c r="I14" s="2"/>
      <c r="J14" s="76"/>
      <c r="K14" s="2"/>
      <c r="L14" s="10"/>
      <c r="Q14" s="59"/>
    </row>
    <row r="15" spans="1:17" ht="17.149999999999999" customHeight="1" x14ac:dyDescent="0.35">
      <c r="A15" s="2"/>
      <c r="B15" s="45"/>
      <c r="C15" s="5"/>
      <c r="D15" s="6"/>
      <c r="E15" s="46" t="s">
        <v>1</v>
      </c>
      <c r="F15" s="47"/>
      <c r="G15" s="48"/>
      <c r="H15" s="4" t="s">
        <v>2</v>
      </c>
      <c r="I15" s="46" t="s">
        <v>3</v>
      </c>
      <c r="J15" s="47"/>
      <c r="K15" s="48"/>
      <c r="L15" s="11" t="s">
        <v>2</v>
      </c>
      <c r="Q15" s="59"/>
    </row>
    <row r="16" spans="1:17" ht="5.15" customHeight="1" x14ac:dyDescent="0.4">
      <c r="A16" s="2"/>
      <c r="B16" s="45"/>
      <c r="C16" s="49"/>
      <c r="D16" s="2"/>
      <c r="E16" s="78"/>
      <c r="F16" s="79"/>
      <c r="G16" s="78"/>
      <c r="H16" s="8"/>
      <c r="I16" s="78"/>
      <c r="J16" s="79"/>
      <c r="K16" s="78"/>
      <c r="L16" s="10"/>
      <c r="Q16" s="59"/>
    </row>
    <row r="17" spans="1:17" ht="15.9" customHeight="1" x14ac:dyDescent="0.35">
      <c r="A17" s="2"/>
      <c r="B17" s="45"/>
      <c r="C17" s="50"/>
      <c r="D17" s="80" t="s">
        <v>5</v>
      </c>
      <c r="E17" s="78"/>
      <c r="F17" s="81">
        <v>10000</v>
      </c>
      <c r="G17" s="78"/>
      <c r="H17" s="28" t="s">
        <v>6</v>
      </c>
      <c r="I17" s="78"/>
      <c r="J17" s="84" t="s">
        <v>7</v>
      </c>
      <c r="K17" s="78"/>
      <c r="L17" s="12" t="s">
        <v>6</v>
      </c>
      <c r="Q17" s="59"/>
    </row>
    <row r="18" spans="1:17" ht="5.15" customHeight="1" thickBot="1" x14ac:dyDescent="0.45">
      <c r="A18" s="2"/>
      <c r="B18" s="68"/>
      <c r="C18" s="69"/>
      <c r="D18" s="29"/>
      <c r="E18" s="30"/>
      <c r="F18" s="83"/>
      <c r="G18" s="30"/>
      <c r="H18" s="31"/>
      <c r="I18" s="30"/>
      <c r="J18" s="83"/>
      <c r="K18" s="30"/>
      <c r="L18" s="32"/>
      <c r="Q18" s="59"/>
    </row>
    <row r="19" spans="1:17" ht="9" customHeight="1" x14ac:dyDescent="0.4">
      <c r="A19" s="2"/>
      <c r="B19" s="2"/>
      <c r="C19" s="2"/>
      <c r="D19" s="2"/>
      <c r="E19" s="2"/>
      <c r="F19" s="76"/>
      <c r="G19" s="2"/>
      <c r="H19" s="2"/>
      <c r="I19" s="2"/>
      <c r="J19" s="76"/>
      <c r="K19" s="2"/>
      <c r="L19" s="2"/>
      <c r="Q19" s="59"/>
    </row>
    <row r="20" spans="1:17" ht="24.65" customHeight="1" x14ac:dyDescent="0.4">
      <c r="A20" s="2"/>
      <c r="B20" s="2"/>
      <c r="C20" s="2"/>
      <c r="D20" s="2"/>
      <c r="E20" s="2"/>
      <c r="F20" s="76"/>
      <c r="G20" s="2"/>
      <c r="H20" s="2"/>
      <c r="I20" s="2"/>
      <c r="J20" s="76"/>
      <c r="K20" s="2"/>
      <c r="L20" s="2"/>
      <c r="Q20" s="17"/>
    </row>
    <row r="21" spans="1:17" ht="15" customHeight="1" thickBot="1" x14ac:dyDescent="0.45">
      <c r="A21" s="2"/>
      <c r="B21" s="2"/>
      <c r="C21" s="2"/>
      <c r="D21" s="2"/>
      <c r="E21" s="2"/>
      <c r="F21" s="76"/>
      <c r="G21" s="2"/>
      <c r="H21" s="2"/>
      <c r="I21" s="2"/>
      <c r="J21" s="76"/>
      <c r="K21" s="2"/>
      <c r="L21" s="2"/>
      <c r="Q21" s="18" t="s">
        <v>18</v>
      </c>
    </row>
    <row r="22" spans="1:17" ht="28.4" customHeight="1" x14ac:dyDescent="0.35">
      <c r="A22" s="2"/>
      <c r="B22" s="52" t="s">
        <v>9</v>
      </c>
      <c r="C22" s="53"/>
      <c r="D22" s="53"/>
      <c r="E22" s="53"/>
      <c r="F22" s="53"/>
      <c r="G22" s="53"/>
      <c r="H22" s="53"/>
      <c r="I22" s="53"/>
      <c r="J22" s="53"/>
      <c r="K22" s="53"/>
      <c r="L22" s="54"/>
      <c r="Q22" s="59" t="s">
        <v>25</v>
      </c>
    </row>
    <row r="23" spans="1:17" ht="28.4" customHeight="1" x14ac:dyDescent="0.35">
      <c r="A23" s="2"/>
      <c r="B23" s="55"/>
      <c r="C23" s="56"/>
      <c r="D23" s="56"/>
      <c r="E23" s="56"/>
      <c r="F23" s="56"/>
      <c r="G23" s="56"/>
      <c r="H23" s="56"/>
      <c r="I23" s="56"/>
      <c r="J23" s="56"/>
      <c r="K23" s="56"/>
      <c r="L23" s="57"/>
      <c r="Q23" s="59"/>
    </row>
    <row r="24" spans="1:17" ht="18" customHeight="1" x14ac:dyDescent="0.4">
      <c r="A24" s="2"/>
      <c r="B24" s="44" t="s">
        <v>4</v>
      </c>
      <c r="C24" s="2"/>
      <c r="D24" s="2"/>
      <c r="E24" s="2"/>
      <c r="F24" s="76"/>
      <c r="G24" s="2"/>
      <c r="H24" s="2"/>
      <c r="I24" s="2"/>
      <c r="J24" s="76"/>
      <c r="K24" s="2"/>
      <c r="L24" s="10"/>
      <c r="Q24" s="59"/>
    </row>
    <row r="25" spans="1:17" ht="17.149999999999999" customHeight="1" x14ac:dyDescent="0.35">
      <c r="A25" s="2"/>
      <c r="B25" s="45"/>
      <c r="C25" s="5"/>
      <c r="D25" s="6"/>
      <c r="E25" s="46" t="s">
        <v>1</v>
      </c>
      <c r="F25" s="47"/>
      <c r="G25" s="48"/>
      <c r="H25" s="4" t="s">
        <v>2</v>
      </c>
      <c r="I25" s="46" t="s">
        <v>3</v>
      </c>
      <c r="J25" s="47"/>
      <c r="K25" s="48"/>
      <c r="L25" s="11" t="s">
        <v>2</v>
      </c>
      <c r="Q25" s="59"/>
    </row>
    <row r="26" spans="1:17" ht="5.15" customHeight="1" x14ac:dyDescent="0.4">
      <c r="A26" s="2"/>
      <c r="B26" s="45"/>
      <c r="C26" s="50"/>
      <c r="D26" s="2"/>
      <c r="E26" s="78"/>
      <c r="F26" s="79"/>
      <c r="G26" s="78"/>
      <c r="H26" s="9"/>
      <c r="I26" s="78"/>
      <c r="J26" s="79"/>
      <c r="K26" s="78"/>
      <c r="L26" s="10"/>
      <c r="Q26" s="59"/>
    </row>
    <row r="27" spans="1:17" ht="15.9" customHeight="1" x14ac:dyDescent="0.35">
      <c r="A27" s="2"/>
      <c r="B27" s="45"/>
      <c r="C27" s="50"/>
      <c r="D27" s="80" t="s">
        <v>23</v>
      </c>
      <c r="E27" s="78"/>
      <c r="F27" s="81">
        <v>10000</v>
      </c>
      <c r="G27" s="78"/>
      <c r="H27" s="28" t="s">
        <v>6</v>
      </c>
      <c r="I27" s="78"/>
      <c r="J27" s="85" t="s">
        <v>7</v>
      </c>
      <c r="K27" s="78"/>
      <c r="L27" s="12" t="s">
        <v>6</v>
      </c>
      <c r="Q27" s="59"/>
    </row>
    <row r="28" spans="1:17" ht="5.15" customHeight="1" x14ac:dyDescent="0.4">
      <c r="A28" s="2"/>
      <c r="B28" s="45"/>
      <c r="C28" s="51"/>
      <c r="D28" s="42"/>
      <c r="E28" s="7"/>
      <c r="F28" s="86"/>
      <c r="G28" s="7"/>
      <c r="H28" s="6"/>
      <c r="I28" s="7"/>
      <c r="J28" s="86"/>
      <c r="K28" s="7"/>
      <c r="L28" s="43"/>
      <c r="Q28" s="59"/>
    </row>
    <row r="29" spans="1:17" ht="5.15" customHeight="1" x14ac:dyDescent="0.4">
      <c r="A29" s="2"/>
      <c r="B29" s="45"/>
      <c r="C29" s="50"/>
      <c r="D29" s="2"/>
      <c r="E29" s="78"/>
      <c r="F29" s="79"/>
      <c r="G29" s="78"/>
      <c r="H29" s="9"/>
      <c r="I29" s="78"/>
      <c r="J29" s="79"/>
      <c r="K29" s="78"/>
      <c r="L29" s="10"/>
      <c r="Q29" s="59"/>
    </row>
    <row r="30" spans="1:17" ht="15.9" customHeight="1" x14ac:dyDescent="0.4">
      <c r="A30" s="2"/>
      <c r="B30" s="45"/>
      <c r="C30" s="50"/>
      <c r="D30" s="80" t="s">
        <v>24</v>
      </c>
      <c r="E30" s="78"/>
      <c r="F30" s="87">
        <v>10000</v>
      </c>
      <c r="G30" s="78"/>
      <c r="H30" s="28" t="s">
        <v>6</v>
      </c>
      <c r="I30" s="78"/>
      <c r="J30" s="85" t="s">
        <v>7</v>
      </c>
      <c r="K30" s="78"/>
      <c r="L30" s="12" t="s">
        <v>19</v>
      </c>
      <c r="Q30" s="19"/>
    </row>
    <row r="31" spans="1:17" ht="5.15" customHeight="1" x14ac:dyDescent="0.4">
      <c r="A31" s="2"/>
      <c r="B31" s="45"/>
      <c r="C31" s="51"/>
      <c r="D31" s="42"/>
      <c r="E31" s="7"/>
      <c r="F31" s="86"/>
      <c r="G31" s="7"/>
      <c r="H31" s="6"/>
      <c r="I31" s="7"/>
      <c r="J31" s="86"/>
      <c r="K31" s="7"/>
      <c r="L31" s="43"/>
    </row>
    <row r="32" spans="1:17" ht="5.15" customHeight="1" x14ac:dyDescent="0.4">
      <c r="A32" s="2"/>
      <c r="B32" s="45"/>
      <c r="C32" s="50"/>
      <c r="D32" s="2"/>
      <c r="E32" s="78"/>
      <c r="F32" s="79"/>
      <c r="G32" s="78"/>
      <c r="H32" s="9"/>
      <c r="I32" s="78"/>
      <c r="J32" s="79"/>
      <c r="K32" s="78"/>
      <c r="L32" s="10"/>
    </row>
    <row r="33" spans="1:12" ht="15.9" customHeight="1" x14ac:dyDescent="0.35">
      <c r="A33" s="2"/>
      <c r="B33" s="45"/>
      <c r="C33" s="50"/>
      <c r="D33" s="80" t="s">
        <v>10</v>
      </c>
      <c r="E33" s="78"/>
      <c r="F33" s="81">
        <v>10000</v>
      </c>
      <c r="G33" s="78"/>
      <c r="H33" s="28" t="s">
        <v>6</v>
      </c>
      <c r="I33" s="78"/>
      <c r="J33" s="85" t="s">
        <v>7</v>
      </c>
      <c r="K33" s="78"/>
      <c r="L33" s="12" t="s">
        <v>6</v>
      </c>
    </row>
    <row r="34" spans="1:12" ht="5.15" customHeight="1" x14ac:dyDescent="0.4">
      <c r="A34" s="2"/>
      <c r="B34" s="45"/>
      <c r="C34" s="51"/>
      <c r="D34" s="42"/>
      <c r="E34" s="7"/>
      <c r="F34" s="86"/>
      <c r="G34" s="7"/>
      <c r="H34" s="6"/>
      <c r="I34" s="7"/>
      <c r="J34" s="86"/>
      <c r="K34" s="7"/>
      <c r="L34" s="43"/>
    </row>
    <row r="35" spans="1:12" ht="5.15" customHeight="1" x14ac:dyDescent="0.4">
      <c r="A35" s="2"/>
      <c r="B35" s="45"/>
      <c r="C35" s="50"/>
      <c r="D35" s="2"/>
      <c r="E35" s="78"/>
      <c r="F35" s="79"/>
      <c r="G35" s="78"/>
      <c r="H35" s="9"/>
      <c r="I35" s="78"/>
      <c r="J35" s="79"/>
      <c r="K35" s="78"/>
      <c r="L35" s="10"/>
    </row>
    <row r="36" spans="1:12" ht="15.9" customHeight="1" x14ac:dyDescent="0.35">
      <c r="A36" s="2"/>
      <c r="B36" s="45"/>
      <c r="C36" s="50"/>
      <c r="D36" s="80" t="s">
        <v>11</v>
      </c>
      <c r="E36" s="78"/>
      <c r="F36" s="88">
        <v>10000</v>
      </c>
      <c r="G36" s="78"/>
      <c r="H36" s="28" t="s">
        <v>20</v>
      </c>
      <c r="I36" s="78"/>
      <c r="J36" s="85" t="s">
        <v>7</v>
      </c>
      <c r="K36" s="78"/>
      <c r="L36" s="12" t="s">
        <v>19</v>
      </c>
    </row>
    <row r="37" spans="1:12" ht="5.15" customHeight="1" x14ac:dyDescent="0.4">
      <c r="A37" s="2"/>
      <c r="B37" s="45"/>
      <c r="C37" s="51"/>
      <c r="D37" s="42"/>
      <c r="E37" s="7"/>
      <c r="F37" s="86"/>
      <c r="G37" s="7"/>
      <c r="H37" s="6"/>
      <c r="I37" s="7"/>
      <c r="J37" s="86"/>
      <c r="K37" s="7"/>
      <c r="L37" s="43"/>
    </row>
    <row r="38" spans="1:12" ht="5.15" customHeight="1" x14ac:dyDescent="0.4">
      <c r="A38" s="2"/>
      <c r="B38" s="45"/>
      <c r="C38" s="50"/>
      <c r="D38" s="2"/>
      <c r="E38" s="78"/>
      <c r="F38" s="79"/>
      <c r="G38" s="78"/>
      <c r="H38" s="9"/>
      <c r="I38" s="78"/>
      <c r="J38" s="79"/>
      <c r="K38" s="78"/>
      <c r="L38" s="10"/>
    </row>
    <row r="39" spans="1:12" ht="15.9" customHeight="1" x14ac:dyDescent="0.4">
      <c r="A39" s="2"/>
      <c r="B39" s="45"/>
      <c r="C39" s="50"/>
      <c r="D39" s="80" t="s">
        <v>12</v>
      </c>
      <c r="E39" s="78"/>
      <c r="F39" s="79"/>
      <c r="G39" s="78"/>
      <c r="H39" s="9"/>
      <c r="I39" s="78"/>
      <c r="J39" s="79"/>
      <c r="K39" s="78"/>
      <c r="L39" s="10"/>
    </row>
    <row r="40" spans="1:12" ht="5.15" customHeight="1" x14ac:dyDescent="0.4">
      <c r="A40" s="2"/>
      <c r="B40" s="45"/>
      <c r="C40" s="40"/>
      <c r="D40" s="80"/>
      <c r="E40" s="78"/>
      <c r="F40" s="79"/>
      <c r="G40" s="78"/>
      <c r="H40" s="9"/>
      <c r="I40" s="78"/>
      <c r="J40" s="79"/>
      <c r="K40" s="78"/>
      <c r="L40" s="10"/>
    </row>
    <row r="41" spans="1:12" ht="15.9" customHeight="1" x14ac:dyDescent="0.35">
      <c r="A41" s="2"/>
      <c r="B41" s="45"/>
      <c r="C41" s="40"/>
      <c r="D41" s="89" t="s">
        <v>26</v>
      </c>
      <c r="E41" s="78"/>
      <c r="F41" s="90">
        <v>10000</v>
      </c>
      <c r="G41" s="78"/>
      <c r="H41" s="28" t="s">
        <v>27</v>
      </c>
      <c r="I41" s="78"/>
      <c r="J41" s="91" t="s">
        <v>7</v>
      </c>
      <c r="K41" s="78"/>
      <c r="L41" s="12" t="s">
        <v>27</v>
      </c>
    </row>
    <row r="42" spans="1:12" ht="5.15" customHeight="1" x14ac:dyDescent="0.4">
      <c r="A42" s="2"/>
      <c r="B42" s="45"/>
      <c r="C42" s="40"/>
      <c r="D42" s="24"/>
      <c r="E42" s="7"/>
      <c r="F42" s="86"/>
      <c r="G42" s="7"/>
      <c r="H42" s="6"/>
      <c r="I42" s="7"/>
      <c r="J42" s="86"/>
      <c r="K42" s="7"/>
      <c r="L42" s="43"/>
    </row>
    <row r="43" spans="1:12" ht="5.15" customHeight="1" x14ac:dyDescent="0.4">
      <c r="A43" s="2"/>
      <c r="B43" s="45"/>
      <c r="C43" s="40"/>
      <c r="D43" s="80"/>
      <c r="E43" s="78"/>
      <c r="F43" s="79"/>
      <c r="G43" s="78"/>
      <c r="H43" s="9"/>
      <c r="I43" s="78"/>
      <c r="J43" s="79"/>
      <c r="K43" s="78"/>
      <c r="L43" s="10"/>
    </row>
    <row r="44" spans="1:12" ht="15.9" customHeight="1" x14ac:dyDescent="0.35">
      <c r="A44" s="2"/>
      <c r="B44" s="45"/>
      <c r="C44" s="40"/>
      <c r="D44" s="92" t="s">
        <v>31</v>
      </c>
      <c r="E44" s="78"/>
      <c r="F44" s="93">
        <v>10000</v>
      </c>
      <c r="G44" s="78"/>
      <c r="H44" s="28" t="s">
        <v>32</v>
      </c>
      <c r="I44" s="78"/>
      <c r="J44" s="85" t="s">
        <v>7</v>
      </c>
      <c r="K44" s="78"/>
      <c r="L44" s="12" t="s">
        <v>19</v>
      </c>
    </row>
    <row r="45" spans="1:12" ht="5.15" customHeight="1" x14ac:dyDescent="0.4">
      <c r="A45" s="2"/>
      <c r="B45" s="45"/>
      <c r="C45" s="40"/>
      <c r="D45" s="24"/>
      <c r="E45" s="7"/>
      <c r="F45" s="86"/>
      <c r="G45" s="7"/>
      <c r="H45" s="6"/>
      <c r="I45" s="7"/>
      <c r="J45" s="86"/>
      <c r="K45" s="7"/>
      <c r="L45" s="43"/>
    </row>
    <row r="46" spans="1:12" ht="21.9" customHeight="1" x14ac:dyDescent="0.4">
      <c r="A46" s="2"/>
      <c r="B46" s="45"/>
      <c r="C46" s="40"/>
      <c r="D46" s="2"/>
      <c r="E46" s="2"/>
      <c r="F46" s="76"/>
      <c r="G46" s="2"/>
      <c r="H46" s="9"/>
      <c r="I46" s="2"/>
      <c r="J46" s="76"/>
      <c r="K46" s="2"/>
      <c r="L46" s="10"/>
    </row>
    <row r="47" spans="1:12" ht="5.15" customHeight="1" thickBot="1" x14ac:dyDescent="0.45">
      <c r="A47" s="2"/>
      <c r="B47" s="68"/>
      <c r="C47" s="41"/>
      <c r="D47" s="29"/>
      <c r="E47" s="29"/>
      <c r="F47" s="94"/>
      <c r="G47" s="29"/>
      <c r="H47" s="31"/>
      <c r="I47" s="29"/>
      <c r="J47" s="94"/>
      <c r="K47" s="29"/>
      <c r="L47" s="32"/>
    </row>
    <row r="48" spans="1:12" ht="15.9" customHeight="1" x14ac:dyDescent="0.4">
      <c r="A48" s="2"/>
      <c r="B48" s="67" t="s">
        <v>8</v>
      </c>
      <c r="C48" s="13"/>
      <c r="D48" s="13"/>
      <c r="E48" s="13"/>
      <c r="F48" s="77"/>
      <c r="G48" s="13"/>
      <c r="H48" s="13"/>
      <c r="I48" s="13"/>
      <c r="J48" s="77"/>
      <c r="K48" s="13"/>
      <c r="L48" s="14"/>
    </row>
    <row r="49" spans="1:12" ht="18" customHeight="1" x14ac:dyDescent="0.35">
      <c r="A49" s="2"/>
      <c r="B49" s="45"/>
      <c r="C49" s="5"/>
      <c r="D49" s="6"/>
      <c r="E49" s="46" t="s">
        <v>1</v>
      </c>
      <c r="F49" s="47"/>
      <c r="G49" s="48"/>
      <c r="H49" s="4" t="s">
        <v>2</v>
      </c>
      <c r="I49" s="46" t="s">
        <v>3</v>
      </c>
      <c r="J49" s="47"/>
      <c r="K49" s="48"/>
      <c r="L49" s="11" t="s">
        <v>2</v>
      </c>
    </row>
    <row r="50" spans="1:12" ht="5.15" customHeight="1" x14ac:dyDescent="0.4">
      <c r="A50" s="2"/>
      <c r="B50" s="45"/>
      <c r="C50" s="50"/>
      <c r="D50" s="2"/>
      <c r="E50" s="78"/>
      <c r="F50" s="79"/>
      <c r="G50" s="78"/>
      <c r="H50" s="9"/>
      <c r="I50" s="78"/>
      <c r="J50" s="79"/>
      <c r="K50" s="78"/>
      <c r="L50" s="10"/>
    </row>
    <row r="51" spans="1:12" ht="15.9" customHeight="1" x14ac:dyDescent="0.35">
      <c r="A51" s="2"/>
      <c r="B51" s="45"/>
      <c r="C51" s="50"/>
      <c r="D51" s="80" t="s">
        <v>23</v>
      </c>
      <c r="E51" s="78"/>
      <c r="F51" s="81">
        <v>10000</v>
      </c>
      <c r="G51" s="78"/>
      <c r="H51" s="28" t="s">
        <v>6</v>
      </c>
      <c r="I51" s="78"/>
      <c r="J51" s="85" t="s">
        <v>7</v>
      </c>
      <c r="K51" s="78"/>
      <c r="L51" s="12" t="s">
        <v>6</v>
      </c>
    </row>
    <row r="52" spans="1:12" ht="5.15" customHeight="1" x14ac:dyDescent="0.4">
      <c r="A52" s="2"/>
      <c r="B52" s="45"/>
      <c r="C52" s="51"/>
      <c r="D52" s="42"/>
      <c r="E52" s="7"/>
      <c r="F52" s="86"/>
      <c r="G52" s="7"/>
      <c r="H52" s="6"/>
      <c r="I52" s="7"/>
      <c r="J52" s="86"/>
      <c r="K52" s="7"/>
      <c r="L52" s="43"/>
    </row>
    <row r="53" spans="1:12" ht="5.15" customHeight="1" x14ac:dyDescent="0.4">
      <c r="A53" s="2"/>
      <c r="B53" s="45"/>
      <c r="C53" s="50"/>
      <c r="D53" s="2"/>
      <c r="E53" s="78"/>
      <c r="F53" s="79"/>
      <c r="G53" s="78"/>
      <c r="H53" s="9"/>
      <c r="I53" s="78"/>
      <c r="J53" s="79"/>
      <c r="K53" s="78"/>
      <c r="L53" s="10"/>
    </row>
    <row r="54" spans="1:12" ht="15.9" customHeight="1" x14ac:dyDescent="0.35">
      <c r="A54" s="2"/>
      <c r="B54" s="45"/>
      <c r="C54" s="50"/>
      <c r="D54" s="80" t="s">
        <v>24</v>
      </c>
      <c r="E54" s="78"/>
      <c r="F54" s="87">
        <v>10000</v>
      </c>
      <c r="G54" s="78"/>
      <c r="H54" s="28" t="s">
        <v>20</v>
      </c>
      <c r="I54" s="78"/>
      <c r="J54" s="85" t="s">
        <v>7</v>
      </c>
      <c r="K54" s="78"/>
      <c r="L54" s="12" t="s">
        <v>19</v>
      </c>
    </row>
    <row r="55" spans="1:12" ht="5.15" customHeight="1" x14ac:dyDescent="0.4">
      <c r="A55" s="2"/>
      <c r="B55" s="45"/>
      <c r="C55" s="51"/>
      <c r="D55" s="42"/>
      <c r="E55" s="7"/>
      <c r="F55" s="86"/>
      <c r="G55" s="7"/>
      <c r="H55" s="6"/>
      <c r="I55" s="7"/>
      <c r="J55" s="86"/>
      <c r="K55" s="7"/>
      <c r="L55" s="43"/>
    </row>
    <row r="56" spans="1:12" ht="5.15" customHeight="1" x14ac:dyDescent="0.4">
      <c r="A56" s="2"/>
      <c r="B56" s="45"/>
      <c r="C56" s="50"/>
      <c r="D56" s="2"/>
      <c r="E56" s="78"/>
      <c r="F56" s="79"/>
      <c r="G56" s="78"/>
      <c r="H56" s="9"/>
      <c r="I56" s="78"/>
      <c r="J56" s="79"/>
      <c r="K56" s="78"/>
      <c r="L56" s="10"/>
    </row>
    <row r="57" spans="1:12" ht="15.9" customHeight="1" x14ac:dyDescent="0.35">
      <c r="A57" s="2"/>
      <c r="B57" s="45"/>
      <c r="C57" s="50"/>
      <c r="D57" s="80" t="s">
        <v>10</v>
      </c>
      <c r="E57" s="78"/>
      <c r="F57" s="87">
        <v>10000</v>
      </c>
      <c r="G57" s="78"/>
      <c r="H57" s="28" t="s">
        <v>6</v>
      </c>
      <c r="I57" s="78"/>
      <c r="J57" s="85" t="s">
        <v>7</v>
      </c>
      <c r="K57" s="78"/>
      <c r="L57" s="12" t="s">
        <v>6</v>
      </c>
    </row>
    <row r="58" spans="1:12" ht="5.15" customHeight="1" x14ac:dyDescent="0.4">
      <c r="A58" s="2"/>
      <c r="B58" s="45"/>
      <c r="C58" s="51"/>
      <c r="D58" s="42"/>
      <c r="E58" s="7"/>
      <c r="F58" s="86"/>
      <c r="G58" s="7"/>
      <c r="H58" s="6"/>
      <c r="I58" s="7"/>
      <c r="J58" s="86"/>
      <c r="K58" s="7"/>
      <c r="L58" s="43"/>
    </row>
    <row r="59" spans="1:12" ht="5.15" customHeight="1" x14ac:dyDescent="0.4">
      <c r="A59" s="2"/>
      <c r="B59" s="45"/>
      <c r="C59" s="50"/>
      <c r="D59" s="2"/>
      <c r="E59" s="78"/>
      <c r="F59" s="79"/>
      <c r="G59" s="78"/>
      <c r="H59" s="9"/>
      <c r="I59" s="78"/>
      <c r="J59" s="79"/>
      <c r="K59" s="78"/>
      <c r="L59" s="10"/>
    </row>
    <row r="60" spans="1:12" ht="15.9" customHeight="1" x14ac:dyDescent="0.35">
      <c r="A60" s="2"/>
      <c r="B60" s="45"/>
      <c r="C60" s="50"/>
      <c r="D60" s="80" t="s">
        <v>11</v>
      </c>
      <c r="E60" s="78"/>
      <c r="F60" s="87">
        <v>10000</v>
      </c>
      <c r="G60" s="78"/>
      <c r="H60" s="28" t="s">
        <v>6</v>
      </c>
      <c r="I60" s="78"/>
      <c r="J60" s="85" t="s">
        <v>7</v>
      </c>
      <c r="K60" s="78"/>
      <c r="L60" s="12" t="s">
        <v>6</v>
      </c>
    </row>
    <row r="61" spans="1:12" ht="5.15" customHeight="1" x14ac:dyDescent="0.4">
      <c r="A61" s="2"/>
      <c r="B61" s="45"/>
      <c r="C61" s="51"/>
      <c r="D61" s="42"/>
      <c r="E61" s="7"/>
      <c r="F61" s="86"/>
      <c r="G61" s="7"/>
      <c r="H61" s="6"/>
      <c r="I61" s="7"/>
      <c r="J61" s="86"/>
      <c r="K61" s="7"/>
      <c r="L61" s="43"/>
    </row>
    <row r="62" spans="1:12" ht="5.15" customHeight="1" x14ac:dyDescent="0.4">
      <c r="A62" s="2"/>
      <c r="B62" s="45"/>
      <c r="C62" s="50"/>
      <c r="D62" s="2"/>
      <c r="E62" s="78"/>
      <c r="F62" s="79"/>
      <c r="G62" s="78"/>
      <c r="H62" s="9"/>
      <c r="I62" s="78"/>
      <c r="J62" s="79"/>
      <c r="K62" s="78"/>
      <c r="L62" s="10"/>
    </row>
    <row r="63" spans="1:12" ht="15.9" customHeight="1" x14ac:dyDescent="0.4">
      <c r="A63" s="2"/>
      <c r="B63" s="45"/>
      <c r="C63" s="50"/>
      <c r="D63" s="80" t="s">
        <v>12</v>
      </c>
      <c r="E63" s="78"/>
      <c r="F63" s="79"/>
      <c r="G63" s="78"/>
      <c r="H63" s="9"/>
      <c r="I63" s="78"/>
      <c r="J63" s="79"/>
      <c r="K63" s="78"/>
      <c r="L63" s="10"/>
    </row>
    <row r="64" spans="1:12" ht="5.15" customHeight="1" x14ac:dyDescent="0.4">
      <c r="A64" s="2"/>
      <c r="B64" s="45"/>
      <c r="C64" s="40"/>
      <c r="D64" s="80"/>
      <c r="E64" s="78"/>
      <c r="F64" s="79"/>
      <c r="G64" s="78"/>
      <c r="H64" s="9"/>
      <c r="I64" s="78"/>
      <c r="J64" s="79"/>
      <c r="K64" s="78"/>
      <c r="L64" s="10"/>
    </row>
    <row r="65" spans="1:12" ht="15.9" customHeight="1" x14ac:dyDescent="0.35">
      <c r="A65" s="2"/>
      <c r="B65" s="45"/>
      <c r="C65" s="40"/>
      <c r="D65" s="89" t="s">
        <v>33</v>
      </c>
      <c r="E65" s="78"/>
      <c r="F65" s="95">
        <v>10000</v>
      </c>
      <c r="G65" s="78"/>
      <c r="H65" s="28" t="s">
        <v>27</v>
      </c>
      <c r="I65" s="78"/>
      <c r="J65" s="85" t="s">
        <v>7</v>
      </c>
      <c r="K65" s="78"/>
      <c r="L65" s="12" t="s">
        <v>19</v>
      </c>
    </row>
    <row r="66" spans="1:12" ht="5.15" customHeight="1" x14ac:dyDescent="0.4">
      <c r="A66" s="2"/>
      <c r="B66" s="45"/>
      <c r="C66" s="40"/>
      <c r="D66" s="24"/>
      <c r="E66" s="7"/>
      <c r="F66" s="86"/>
      <c r="G66" s="7"/>
      <c r="H66" s="6"/>
      <c r="I66" s="7"/>
      <c r="J66" s="86"/>
      <c r="K66" s="7"/>
      <c r="L66" s="43"/>
    </row>
    <row r="67" spans="1:12" ht="5.15" customHeight="1" x14ac:dyDescent="0.4">
      <c r="A67" s="2"/>
      <c r="B67" s="45"/>
      <c r="C67" s="40"/>
      <c r="D67" s="80"/>
      <c r="E67" s="78"/>
      <c r="F67" s="79"/>
      <c r="G67" s="78"/>
      <c r="H67" s="9"/>
      <c r="I67" s="78"/>
      <c r="J67" s="79"/>
      <c r="K67" s="78"/>
      <c r="L67" s="10"/>
    </row>
    <row r="68" spans="1:12" ht="15.9" customHeight="1" x14ac:dyDescent="0.35">
      <c r="A68" s="2"/>
      <c r="B68" s="45"/>
      <c r="C68" s="40"/>
      <c r="D68" s="89" t="s">
        <v>34</v>
      </c>
      <c r="E68" s="78"/>
      <c r="F68" s="81">
        <v>10000</v>
      </c>
      <c r="G68" s="78"/>
      <c r="H68" s="28" t="s">
        <v>19</v>
      </c>
      <c r="I68" s="78"/>
      <c r="J68" s="96" t="s">
        <v>7</v>
      </c>
      <c r="K68" s="78"/>
      <c r="L68" s="12" t="s">
        <v>20</v>
      </c>
    </row>
    <row r="69" spans="1:12" ht="5.15" customHeight="1" x14ac:dyDescent="0.4">
      <c r="A69" s="2"/>
      <c r="B69" s="45"/>
      <c r="C69" s="40"/>
      <c r="D69" s="24"/>
      <c r="E69" s="7"/>
      <c r="F69" s="86"/>
      <c r="G69" s="7"/>
      <c r="H69" s="6"/>
      <c r="I69" s="7"/>
      <c r="J69" s="86"/>
      <c r="K69" s="7"/>
      <c r="L69" s="43"/>
    </row>
    <row r="70" spans="1:12" ht="5.15" customHeight="1" x14ac:dyDescent="0.4">
      <c r="A70" s="2"/>
      <c r="B70" s="45"/>
      <c r="C70" s="40"/>
      <c r="D70" s="80"/>
      <c r="E70" s="78"/>
      <c r="F70" s="79"/>
      <c r="G70" s="78"/>
      <c r="H70" s="9"/>
      <c r="I70" s="78"/>
      <c r="J70" s="79"/>
      <c r="K70" s="78"/>
      <c r="L70" s="10"/>
    </row>
    <row r="71" spans="1:12" ht="15.9" customHeight="1" x14ac:dyDescent="0.35">
      <c r="A71" s="2"/>
      <c r="B71" s="45"/>
      <c r="C71" s="40"/>
      <c r="D71" s="89" t="s">
        <v>35</v>
      </c>
      <c r="E71" s="78"/>
      <c r="F71" s="81">
        <v>10000</v>
      </c>
      <c r="G71" s="78"/>
      <c r="H71" s="28" t="s">
        <v>19</v>
      </c>
      <c r="I71" s="78"/>
      <c r="J71" s="97" t="s">
        <v>7</v>
      </c>
      <c r="K71" s="78"/>
      <c r="L71" s="12" t="s">
        <v>20</v>
      </c>
    </row>
    <row r="72" spans="1:12" ht="5.15" customHeight="1" x14ac:dyDescent="0.4">
      <c r="A72" s="2"/>
      <c r="B72" s="45"/>
      <c r="C72" s="40"/>
      <c r="D72" s="24"/>
      <c r="E72" s="7"/>
      <c r="F72" s="86"/>
      <c r="G72" s="7"/>
      <c r="H72" s="6"/>
      <c r="I72" s="7"/>
      <c r="J72" s="86"/>
      <c r="K72" s="7"/>
      <c r="L72" s="43"/>
    </row>
    <row r="73" spans="1:12" ht="5.15" customHeight="1" x14ac:dyDescent="0.4">
      <c r="A73" s="2"/>
      <c r="B73" s="45"/>
      <c r="C73" s="40"/>
      <c r="D73" s="80"/>
      <c r="E73" s="78"/>
      <c r="F73" s="79"/>
      <c r="G73" s="78"/>
      <c r="H73" s="9"/>
      <c r="I73" s="78"/>
      <c r="J73" s="79"/>
      <c r="K73" s="78"/>
      <c r="L73" s="10"/>
    </row>
    <row r="74" spans="1:12" ht="15.9" customHeight="1" x14ac:dyDescent="0.35">
      <c r="A74" s="2"/>
      <c r="B74" s="45"/>
      <c r="C74" s="40"/>
      <c r="D74" s="89" t="s">
        <v>36</v>
      </c>
      <c r="E74" s="78"/>
      <c r="F74" s="81">
        <v>10000</v>
      </c>
      <c r="G74" s="78"/>
      <c r="H74" s="28" t="s">
        <v>19</v>
      </c>
      <c r="I74" s="78"/>
      <c r="J74" s="98" t="s">
        <v>7</v>
      </c>
      <c r="K74" s="78"/>
      <c r="L74" s="12" t="s">
        <v>20</v>
      </c>
    </row>
    <row r="75" spans="1:12" ht="5.15" customHeight="1" x14ac:dyDescent="0.4">
      <c r="A75" s="2"/>
      <c r="B75" s="45"/>
      <c r="C75" s="40"/>
      <c r="D75" s="24"/>
      <c r="E75" s="7"/>
      <c r="F75" s="86"/>
      <c r="G75" s="7"/>
      <c r="H75" s="6"/>
      <c r="I75" s="7"/>
      <c r="J75" s="86"/>
      <c r="K75" s="7"/>
      <c r="L75" s="43"/>
    </row>
    <row r="76" spans="1:12" ht="5.15" customHeight="1" x14ac:dyDescent="0.4">
      <c r="A76" s="2"/>
      <c r="B76" s="45"/>
      <c r="C76" s="40"/>
      <c r="D76" s="80"/>
      <c r="E76" s="78"/>
      <c r="F76" s="79"/>
      <c r="G76" s="78"/>
      <c r="H76" s="9"/>
      <c r="I76" s="78"/>
      <c r="J76" s="79"/>
      <c r="K76" s="78"/>
      <c r="L76" s="10"/>
    </row>
    <row r="77" spans="1:12" ht="15.9" customHeight="1" x14ac:dyDescent="0.35">
      <c r="A77" s="2"/>
      <c r="B77" s="45"/>
      <c r="C77" s="40"/>
      <c r="D77" s="89" t="s">
        <v>37</v>
      </c>
      <c r="E77" s="78"/>
      <c r="F77" s="81">
        <v>10000</v>
      </c>
      <c r="G77" s="78"/>
      <c r="H77" s="28" t="s">
        <v>19</v>
      </c>
      <c r="I77" s="78"/>
      <c r="J77" s="99" t="s">
        <v>7</v>
      </c>
      <c r="K77" s="78"/>
      <c r="L77" s="12" t="s">
        <v>20</v>
      </c>
    </row>
    <row r="78" spans="1:12" ht="5.15" customHeight="1" x14ac:dyDescent="0.4">
      <c r="A78" s="2"/>
      <c r="B78" s="45"/>
      <c r="C78" s="40"/>
      <c r="D78" s="24"/>
      <c r="E78" s="7"/>
      <c r="F78" s="86"/>
      <c r="G78" s="7"/>
      <c r="H78" s="6"/>
      <c r="I78" s="7"/>
      <c r="J78" s="86"/>
      <c r="K78" s="7"/>
      <c r="L78" s="43"/>
    </row>
    <row r="79" spans="1:12" ht="5.15" customHeight="1" x14ac:dyDescent="0.4">
      <c r="A79" s="2"/>
      <c r="B79" s="45"/>
      <c r="C79" s="40"/>
      <c r="D79" s="80"/>
      <c r="E79" s="78"/>
      <c r="F79" s="79"/>
      <c r="G79" s="78"/>
      <c r="H79" s="9"/>
      <c r="I79" s="78"/>
      <c r="J79" s="79"/>
      <c r="K79" s="78"/>
      <c r="L79" s="10"/>
    </row>
    <row r="80" spans="1:12" ht="15.9" customHeight="1" x14ac:dyDescent="0.35">
      <c r="A80" s="2"/>
      <c r="B80" s="45"/>
      <c r="C80" s="40"/>
      <c r="D80" s="89" t="s">
        <v>38</v>
      </c>
      <c r="E80" s="78"/>
      <c r="F80" s="81">
        <v>10000</v>
      </c>
      <c r="G80" s="78"/>
      <c r="H80" s="28" t="s">
        <v>19</v>
      </c>
      <c r="I80" s="78"/>
      <c r="J80" s="100" t="s">
        <v>7</v>
      </c>
      <c r="K80" s="78"/>
      <c r="L80" s="12" t="s">
        <v>20</v>
      </c>
    </row>
    <row r="81" spans="1:12" ht="5.15" customHeight="1" x14ac:dyDescent="0.4">
      <c r="A81" s="2"/>
      <c r="B81" s="45"/>
      <c r="C81" s="40"/>
      <c r="D81" s="24"/>
      <c r="E81" s="7"/>
      <c r="F81" s="86"/>
      <c r="G81" s="7"/>
      <c r="H81" s="6"/>
      <c r="I81" s="7"/>
      <c r="J81" s="86"/>
      <c r="K81" s="7"/>
      <c r="L81" s="43"/>
    </row>
    <row r="82" spans="1:12" ht="5.15" customHeight="1" x14ac:dyDescent="0.4">
      <c r="A82" s="2"/>
      <c r="B82" s="45"/>
      <c r="C82" s="40"/>
      <c r="D82" s="80"/>
      <c r="E82" s="78"/>
      <c r="F82" s="79"/>
      <c r="G82" s="78"/>
      <c r="H82" s="9"/>
      <c r="I82" s="78"/>
      <c r="J82" s="79"/>
      <c r="K82" s="78"/>
      <c r="L82" s="10"/>
    </row>
    <row r="83" spans="1:12" ht="15.9" customHeight="1" x14ac:dyDescent="0.35">
      <c r="A83" s="2"/>
      <c r="B83" s="45"/>
      <c r="C83" s="40"/>
      <c r="D83" s="89" t="s">
        <v>39</v>
      </c>
      <c r="E83" s="78"/>
      <c r="F83" s="81">
        <v>10000</v>
      </c>
      <c r="G83" s="78"/>
      <c r="H83" s="28" t="s">
        <v>19</v>
      </c>
      <c r="I83" s="78"/>
      <c r="J83" s="101" t="s">
        <v>7</v>
      </c>
      <c r="K83" s="78"/>
      <c r="L83" s="12" t="s">
        <v>20</v>
      </c>
    </row>
    <row r="84" spans="1:12" ht="5.15" customHeight="1" x14ac:dyDescent="0.4">
      <c r="A84" s="2"/>
      <c r="B84" s="45"/>
      <c r="C84" s="40"/>
      <c r="D84" s="24"/>
      <c r="E84" s="7"/>
      <c r="F84" s="86"/>
      <c r="G84" s="7"/>
      <c r="H84" s="6"/>
      <c r="I84" s="7"/>
      <c r="J84" s="86"/>
      <c r="K84" s="7"/>
      <c r="L84" s="43"/>
    </row>
    <row r="85" spans="1:12" ht="21.9" customHeight="1" x14ac:dyDescent="0.4">
      <c r="A85" s="2"/>
      <c r="B85" s="45"/>
      <c r="C85" s="40"/>
      <c r="D85" s="2"/>
      <c r="E85" s="2"/>
      <c r="F85" s="76"/>
      <c r="G85" s="2"/>
      <c r="H85" s="9"/>
      <c r="I85" s="2"/>
      <c r="J85" s="76"/>
      <c r="K85" s="2"/>
      <c r="L85" s="10"/>
    </row>
    <row r="86" spans="1:12" ht="5.15" customHeight="1" thickBot="1" x14ac:dyDescent="0.45">
      <c r="A86" s="2"/>
      <c r="B86" s="68"/>
      <c r="C86" s="41"/>
      <c r="D86" s="29"/>
      <c r="E86" s="29"/>
      <c r="F86" s="94"/>
      <c r="G86" s="29"/>
      <c r="H86" s="31"/>
      <c r="I86" s="29"/>
      <c r="J86" s="94"/>
      <c r="K86" s="29"/>
      <c r="L86" s="32"/>
    </row>
    <row r="87" spans="1:12" ht="24.65" customHeight="1" x14ac:dyDescent="0.4">
      <c r="A87" s="2"/>
      <c r="B87" s="2"/>
      <c r="C87" s="2"/>
      <c r="D87" s="2"/>
      <c r="E87" s="2"/>
      <c r="F87" s="76"/>
      <c r="G87" s="2"/>
      <c r="H87" s="2"/>
      <c r="I87" s="2"/>
      <c r="J87" s="76"/>
      <c r="K87" s="2"/>
      <c r="L87" s="2"/>
    </row>
    <row r="88" spans="1:12" ht="15" thickBot="1" x14ac:dyDescent="0.45">
      <c r="A88" s="2"/>
      <c r="B88" s="2"/>
      <c r="C88" s="2"/>
      <c r="D88" s="2"/>
      <c r="E88" s="2"/>
      <c r="F88" s="76"/>
      <c r="G88" s="2"/>
      <c r="H88" s="2"/>
      <c r="I88" s="2"/>
      <c r="J88" s="76"/>
      <c r="K88" s="2"/>
      <c r="L88" s="2"/>
    </row>
    <row r="89" spans="1:12" ht="28.4" customHeight="1" x14ac:dyDescent="0.35">
      <c r="A89" s="2"/>
      <c r="B89" s="52" t="s">
        <v>13</v>
      </c>
      <c r="C89" s="53"/>
      <c r="D89" s="53"/>
      <c r="E89" s="53"/>
      <c r="F89" s="53"/>
      <c r="G89" s="53"/>
      <c r="H89" s="53"/>
      <c r="I89" s="53"/>
      <c r="J89" s="53"/>
      <c r="K89" s="53"/>
      <c r="L89" s="54"/>
    </row>
    <row r="90" spans="1:12" ht="28.4" customHeight="1" x14ac:dyDescent="0.35">
      <c r="A90" s="2"/>
      <c r="B90" s="55"/>
      <c r="C90" s="56"/>
      <c r="D90" s="56"/>
      <c r="E90" s="56"/>
      <c r="F90" s="56"/>
      <c r="G90" s="56"/>
      <c r="H90" s="56"/>
      <c r="I90" s="56"/>
      <c r="J90" s="56"/>
      <c r="K90" s="56"/>
      <c r="L90" s="57"/>
    </row>
    <row r="91" spans="1:12" ht="21.75" customHeight="1" x14ac:dyDescent="0.4">
      <c r="A91" s="2"/>
      <c r="B91" s="44" t="s">
        <v>4</v>
      </c>
      <c r="C91" s="2"/>
      <c r="D91" s="2"/>
      <c r="E91" s="2"/>
      <c r="F91" s="76"/>
      <c r="G91" s="2"/>
      <c r="H91" s="2"/>
      <c r="I91" s="2"/>
      <c r="J91" s="76"/>
      <c r="K91" s="2"/>
      <c r="L91" s="10"/>
    </row>
    <row r="92" spans="1:12" ht="18" customHeight="1" x14ac:dyDescent="0.35">
      <c r="A92" s="2"/>
      <c r="B92" s="45"/>
      <c r="C92" s="5"/>
      <c r="D92" s="6"/>
      <c r="E92" s="46" t="s">
        <v>1</v>
      </c>
      <c r="F92" s="47"/>
      <c r="G92" s="48"/>
      <c r="H92" s="4" t="s">
        <v>2</v>
      </c>
      <c r="I92" s="46" t="s">
        <v>3</v>
      </c>
      <c r="J92" s="47"/>
      <c r="K92" s="48"/>
      <c r="L92" s="11" t="s">
        <v>2</v>
      </c>
    </row>
    <row r="93" spans="1:12" ht="5.15" customHeight="1" x14ac:dyDescent="0.4">
      <c r="A93" s="2"/>
      <c r="B93" s="45"/>
      <c r="C93" s="49"/>
      <c r="D93" s="2"/>
      <c r="E93" s="78"/>
      <c r="F93" s="79"/>
      <c r="G93" s="78"/>
      <c r="H93" s="8"/>
      <c r="I93" s="78"/>
      <c r="J93" s="79"/>
      <c r="K93" s="78"/>
      <c r="L93" s="10"/>
    </row>
    <row r="94" spans="1:12" ht="15.75" customHeight="1" x14ac:dyDescent="0.35">
      <c r="A94" s="2"/>
      <c r="B94" s="45"/>
      <c r="C94" s="50"/>
      <c r="D94" s="80" t="s">
        <v>14</v>
      </c>
      <c r="E94" s="78"/>
      <c r="F94" s="102">
        <v>10000</v>
      </c>
      <c r="G94" s="78"/>
      <c r="H94" s="28" t="s">
        <v>6</v>
      </c>
      <c r="I94" s="78"/>
      <c r="J94" s="85" t="s">
        <v>7</v>
      </c>
      <c r="K94" s="78"/>
      <c r="L94" s="12" t="s">
        <v>6</v>
      </c>
    </row>
    <row r="95" spans="1:12" ht="5.15" customHeight="1" x14ac:dyDescent="0.4">
      <c r="A95" s="2"/>
      <c r="B95" s="45"/>
      <c r="C95" s="51"/>
      <c r="D95" s="42"/>
      <c r="E95" s="7"/>
      <c r="F95" s="86"/>
      <c r="G95" s="7"/>
      <c r="H95" s="6"/>
      <c r="I95" s="7"/>
      <c r="J95" s="86"/>
      <c r="K95" s="7"/>
      <c r="L95" s="43"/>
    </row>
    <row r="96" spans="1:12" ht="5.15" customHeight="1" x14ac:dyDescent="0.4">
      <c r="A96" s="2"/>
      <c r="B96" s="45"/>
      <c r="C96" s="50"/>
      <c r="D96" s="2"/>
      <c r="E96" s="78"/>
      <c r="F96" s="79"/>
      <c r="G96" s="78"/>
      <c r="H96" s="9"/>
      <c r="I96" s="78"/>
      <c r="J96" s="79"/>
      <c r="K96" s="78"/>
      <c r="L96" s="10"/>
    </row>
    <row r="97" spans="1:12" ht="15.75" customHeight="1" x14ac:dyDescent="0.35">
      <c r="A97" s="2"/>
      <c r="B97" s="45"/>
      <c r="C97" s="50"/>
      <c r="D97" s="80" t="s">
        <v>15</v>
      </c>
      <c r="E97" s="78"/>
      <c r="F97" s="102">
        <v>10000</v>
      </c>
      <c r="G97" s="78"/>
      <c r="H97" s="28" t="s">
        <v>6</v>
      </c>
      <c r="I97" s="78"/>
      <c r="J97" s="85" t="s">
        <v>7</v>
      </c>
      <c r="K97" s="78"/>
      <c r="L97" s="12" t="s">
        <v>6</v>
      </c>
    </row>
    <row r="98" spans="1:12" ht="5.15" customHeight="1" x14ac:dyDescent="0.4">
      <c r="A98" s="2"/>
      <c r="B98" s="58"/>
      <c r="C98" s="51"/>
      <c r="D98" s="42"/>
      <c r="E98" s="7"/>
      <c r="F98" s="86"/>
      <c r="G98" s="7"/>
      <c r="H98" s="6"/>
      <c r="I98" s="7"/>
      <c r="J98" s="86"/>
      <c r="K98" s="7"/>
      <c r="L98" s="43"/>
    </row>
    <row r="99" spans="1:12" ht="21.75" customHeight="1" x14ac:dyDescent="0.4">
      <c r="A99" s="2"/>
      <c r="B99" s="44" t="s">
        <v>8</v>
      </c>
      <c r="C99" s="2"/>
      <c r="D99" s="2"/>
      <c r="E99" s="2"/>
      <c r="F99" s="76"/>
      <c r="G99" s="2"/>
      <c r="H99" s="2"/>
      <c r="I99" s="2"/>
      <c r="J99" s="76"/>
      <c r="K99" s="2"/>
      <c r="L99" s="10"/>
    </row>
    <row r="100" spans="1:12" ht="18" customHeight="1" x14ac:dyDescent="0.35">
      <c r="A100" s="2"/>
      <c r="B100" s="45"/>
      <c r="C100" s="5"/>
      <c r="D100" s="6"/>
      <c r="E100" s="46" t="s">
        <v>1</v>
      </c>
      <c r="F100" s="47"/>
      <c r="G100" s="48"/>
      <c r="H100" s="4" t="s">
        <v>2</v>
      </c>
      <c r="I100" s="46" t="s">
        <v>3</v>
      </c>
      <c r="J100" s="47"/>
      <c r="K100" s="48"/>
      <c r="L100" s="11" t="s">
        <v>2</v>
      </c>
    </row>
    <row r="101" spans="1:12" ht="5.15" customHeight="1" x14ac:dyDescent="0.4">
      <c r="A101" s="2"/>
      <c r="B101" s="45"/>
      <c r="C101" s="49"/>
      <c r="D101" s="2"/>
      <c r="E101" s="78"/>
      <c r="F101" s="79"/>
      <c r="G101" s="78"/>
      <c r="H101" s="8"/>
      <c r="I101" s="78"/>
      <c r="J101" s="79"/>
      <c r="K101" s="78"/>
      <c r="L101" s="10"/>
    </row>
    <row r="102" spans="1:12" ht="15.75" customHeight="1" x14ac:dyDescent="0.35">
      <c r="A102" s="2"/>
      <c r="B102" s="45"/>
      <c r="C102" s="50"/>
      <c r="D102" s="80" t="s">
        <v>14</v>
      </c>
      <c r="E102" s="78"/>
      <c r="F102" s="102">
        <v>10000</v>
      </c>
      <c r="G102" s="78"/>
      <c r="H102" s="28" t="s">
        <v>6</v>
      </c>
      <c r="I102" s="78"/>
      <c r="J102" s="85" t="s">
        <v>7</v>
      </c>
      <c r="K102" s="78"/>
      <c r="L102" s="12" t="s">
        <v>6</v>
      </c>
    </row>
    <row r="103" spans="1:12" ht="5.15" customHeight="1" x14ac:dyDescent="0.4">
      <c r="A103" s="2"/>
      <c r="B103" s="45"/>
      <c r="C103" s="51"/>
      <c r="D103" s="42"/>
      <c r="E103" s="7"/>
      <c r="F103" s="86"/>
      <c r="G103" s="7"/>
      <c r="H103" s="6"/>
      <c r="I103" s="7"/>
      <c r="J103" s="86"/>
      <c r="K103" s="7"/>
      <c r="L103" s="43"/>
    </row>
    <row r="104" spans="1:12" ht="5.15" customHeight="1" x14ac:dyDescent="0.4">
      <c r="A104" s="2"/>
      <c r="B104" s="45"/>
      <c r="C104" s="50"/>
      <c r="D104" s="2"/>
      <c r="E104" s="78"/>
      <c r="F104" s="79"/>
      <c r="G104" s="78"/>
      <c r="H104" s="9"/>
      <c r="I104" s="78"/>
      <c r="J104" s="79"/>
      <c r="K104" s="78"/>
      <c r="L104" s="10"/>
    </row>
    <row r="105" spans="1:12" ht="15.75" customHeight="1" x14ac:dyDescent="0.35">
      <c r="A105" s="2"/>
      <c r="B105" s="45"/>
      <c r="C105" s="50"/>
      <c r="D105" s="80" t="s">
        <v>15</v>
      </c>
      <c r="E105" s="78"/>
      <c r="F105" s="102">
        <v>10000</v>
      </c>
      <c r="G105" s="78"/>
      <c r="H105" s="28" t="s">
        <v>6</v>
      </c>
      <c r="I105" s="78"/>
      <c r="J105" s="85" t="s">
        <v>7</v>
      </c>
      <c r="K105" s="78"/>
      <c r="L105" s="12" t="s">
        <v>6</v>
      </c>
    </row>
    <row r="106" spans="1:12" ht="5.15" customHeight="1" thickBot="1" x14ac:dyDescent="0.45">
      <c r="A106" s="2"/>
      <c r="B106" s="68"/>
      <c r="C106" s="69"/>
      <c r="D106" s="29"/>
      <c r="E106" s="30"/>
      <c r="F106" s="83"/>
      <c r="G106" s="30"/>
      <c r="H106" s="31"/>
      <c r="I106" s="30"/>
      <c r="J106" s="83"/>
      <c r="K106" s="30"/>
      <c r="L106" s="32"/>
    </row>
    <row r="107" spans="1:12" ht="15" customHeight="1" x14ac:dyDescent="0.4">
      <c r="A107" s="2"/>
      <c r="B107" s="2"/>
      <c r="C107" s="2"/>
      <c r="D107" s="2"/>
      <c r="E107" s="2"/>
      <c r="F107" s="76"/>
      <c r="G107" s="2"/>
      <c r="H107" s="2"/>
      <c r="I107" s="2"/>
      <c r="J107" s="76"/>
      <c r="K107" s="2"/>
      <c r="L107" s="2"/>
    </row>
  </sheetData>
  <sheetProtection algorithmName="SHA-512" hashValue="fo7ZUChFbbaMFnEaxXsyURvwdEVEDRvWBj12Ck5ndK5b/4L3oucyi6T9/CJSE/uVSlD0xMzjF+yJz96BfznFpA==" saltValue="W7H03rk8vtTsMvaZtWP0HA=="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2314"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12314" r:id="rId5" name="cbApplyOddEvenFormatting"/>
      </mc:Fallback>
    </mc:AlternateContent>
    <mc:AlternateContent xmlns:mc="http://schemas.openxmlformats.org/markup-compatibility/2006">
      <mc:Choice Requires="x14">
        <control shapeId="12298"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12298" r:id="rId7" name="cbApplyMemberFormatting"/>
      </mc:Fallback>
    </mc:AlternateContent>
    <mc:AlternateContent xmlns:mc="http://schemas.openxmlformats.org/markup-compatibility/2006">
      <mc:Choice Requires="x14">
        <control shapeId="12289"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12289" r:id="rId9" name="cbApplyLevelFormatting"/>
      </mc:Fallback>
    </mc:AlternateContent>
    <mc:AlternateContent xmlns:mc="http://schemas.openxmlformats.org/markup-compatibility/2006">
      <mc:Choice Requires="x14">
        <control shapeId="12290"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12291"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12292"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12293"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2294"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12295"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12296"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12297"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12299"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2300"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12301"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12302"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2303"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12304"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12305"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12306"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12307"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12308"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2309"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12310"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12311"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12312"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12313"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12315"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2316"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12317"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12318"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12319"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12320"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12321"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12322"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12323"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12324"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12325"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12326"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12327"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12328"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12329"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2330"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12331"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12332"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12333"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12334"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12335"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12336"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12337"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12338"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12339"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12340"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12341"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12342"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12343"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12344"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12345"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12346"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12347"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12348"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12349"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2350"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12351"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12352"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12353"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12354"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12355"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12356"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12357"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tabSelected="1"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2.3828125" bestFit="1" customWidth="1"/>
    <col min="9" max="9" width="11.8437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21.1523437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1" customFormat="1" ht="28.3" x14ac:dyDescent="0.4">
      <c r="A1" s="70" t="s">
        <v>28</v>
      </c>
      <c r="B1" s="71"/>
      <c r="C1" s="71"/>
      <c r="D1" s="71"/>
      <c r="E1" s="71"/>
      <c r="F1" s="71"/>
      <c r="G1" s="71"/>
      <c r="H1" s="71"/>
      <c r="I1" s="71"/>
      <c r="J1" s="71"/>
      <c r="K1" s="72" t="str">
        <f>" "&amp;IFERROR(IF(SOP_Favorite_Name&lt;&gt;" ",SOP_Favorite_Name,IF(SOP_Template_Name&lt;&gt;" ",SOP_Template_Name,"Ad Hoc Planning View")),"Offline")</f>
        <v xml:space="preserve"> Main and Details for KFs</v>
      </c>
      <c r="L1" s="72"/>
      <c r="M1" s="72"/>
      <c r="N1" s="72"/>
      <c r="O1" s="72"/>
      <c r="P1" s="72"/>
      <c r="Q1" s="73" t="str">
        <f>"User: "&amp;_xll.EPMUser()&amp;"   |    Planning Area: "&amp;IFERROR(SOP_Planning_Area,"Offline")&amp;"
"&amp;"Template: "&amp;IFERROR(SOP_Template_Name,"none")</f>
        <v>User: #Error, no current connection.   |    Planning Area: SAP6
Template: template name</v>
      </c>
      <c r="R1" s="73"/>
      <c r="S1" s="73"/>
      <c r="T1" s="73"/>
      <c r="U1" s="73"/>
      <c r="V1" s="73"/>
      <c r="W1" s="33"/>
      <c r="X1" s="34"/>
      <c r="Y1" s="34"/>
      <c r="Z1" s="34"/>
      <c r="AA1" s="34"/>
      <c r="AB1" s="34"/>
      <c r="AC1" s="34"/>
      <c r="AD1" s="34"/>
      <c r="AE1" s="35"/>
      <c r="AF1" s="35"/>
      <c r="AG1" s="35"/>
      <c r="AH1" s="35"/>
      <c r="AI1" s="35"/>
      <c r="AJ1" s="35"/>
      <c r="AK1" s="35"/>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7"/>
      <c r="BS1" s="37"/>
      <c r="BT1" s="37"/>
      <c r="BU1" s="37"/>
      <c r="BV1" s="37"/>
      <c r="BW1" s="37"/>
      <c r="BX1" s="37"/>
      <c r="BY1" s="37"/>
      <c r="BZ1" s="37"/>
      <c r="CA1" s="37"/>
      <c r="CB1" s="37"/>
      <c r="CC1" s="37"/>
      <c r="CD1" s="37"/>
    </row>
    <row r="2" spans="1:82" s="21" customFormat="1" ht="60" customHeight="1" x14ac:dyDescent="0.4">
      <c r="A2" s="74"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test (2 criteria):
Customer ID ≠ CA1000; CA2000; US9001; US9002
Brand ID = ConsumersChoice Kitchen Products; ConsumersChoice Television
</v>
      </c>
      <c r="B2" s="74"/>
      <c r="C2" s="74"/>
      <c r="D2" s="74"/>
      <c r="E2" s="74"/>
      <c r="F2" s="74"/>
      <c r="G2" s="74"/>
      <c r="H2" s="74"/>
      <c r="I2" s="74"/>
      <c r="J2" s="74"/>
      <c r="K2" s="75" t="str">
        <f>"  Last Refresh: "&amp;IFERROR(YEAR(SOP_Refresh_Timestamp)&amp;"-"&amp;TEXT(SOP_Refresh_Timestamp,"MMM")&amp;"-"&amp;DAY(SOP_Refresh_Timestamp)&amp;"   "&amp;TEXT(SOP_Refresh_Timestamp,"HH:MM:SS"),"Offline")</f>
        <v xml:space="preserve">  Last Refresh: 2022-Feb-4   09:23:17</v>
      </c>
      <c r="L2" s="75"/>
      <c r="M2" s="75"/>
      <c r="N2" s="75"/>
      <c r="O2" s="75"/>
      <c r="P2" s="75"/>
      <c r="Q2" s="75"/>
      <c r="R2" s="75"/>
      <c r="S2" s="75"/>
      <c r="T2" s="75"/>
      <c r="U2" s="75"/>
      <c r="V2" s="75"/>
      <c r="W2" s="33"/>
      <c r="X2" s="34"/>
      <c r="Y2" s="34"/>
      <c r="Z2" s="34"/>
      <c r="AA2" s="34"/>
      <c r="AB2" s="34"/>
      <c r="AC2" s="34"/>
      <c r="AD2" s="34"/>
      <c r="AE2" s="35"/>
      <c r="AF2" s="35"/>
      <c r="AG2" s="35"/>
      <c r="AH2" s="35"/>
      <c r="AI2" s="35"/>
      <c r="AJ2" s="35"/>
      <c r="AK2" s="35"/>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7"/>
      <c r="BS2" s="37"/>
      <c r="BT2" s="37"/>
      <c r="BU2" s="37"/>
      <c r="BV2" s="37"/>
      <c r="BW2" s="37"/>
      <c r="BX2" s="37"/>
      <c r="BY2" s="37"/>
      <c r="BZ2" s="37"/>
      <c r="CA2" s="37"/>
      <c r="CB2" s="37"/>
      <c r="CC2" s="37"/>
      <c r="CD2" s="37"/>
    </row>
    <row r="3" spans="1:82" s="22" customFormat="1" x14ac:dyDescent="0.4">
      <c r="A3" s="39" t="str">
        <f>SOP_Heading10</f>
        <v xml:space="preserve"> </v>
      </c>
      <c r="B3" s="39" t="str">
        <f>SOP_Heading9</f>
        <v xml:space="preserve"> </v>
      </c>
      <c r="C3" s="39" t="str">
        <f>SOP_Heading8</f>
        <v xml:space="preserve"> </v>
      </c>
      <c r="D3" s="39" t="str">
        <f>SOP_Heading7</f>
        <v xml:space="preserve"> </v>
      </c>
      <c r="E3" s="39" t="str">
        <f>SOP_Heading6</f>
        <v xml:space="preserve"> </v>
      </c>
      <c r="F3" s="39" t="str">
        <f>SOP_Heading5</f>
        <v xml:space="preserve"> </v>
      </c>
      <c r="G3" s="39" t="str">
        <f>SOP_Heading4</f>
        <v xml:space="preserve"> </v>
      </c>
      <c r="H3" s="39" t="str">
        <f>SOP_Heading3</f>
        <v xml:space="preserve"> </v>
      </c>
      <c r="I3" s="39" t="str">
        <f>SOP_Heading2</f>
        <v>Product ID</v>
      </c>
      <c r="J3" s="39" t="str">
        <f>SOP_Heading1</f>
        <v>Key Figure</v>
      </c>
      <c r="K3" s="25" t="str">
        <f xml:space="preserve"> _xll.EPMOlapMemberO("[PERIODID3].[].[70613]","","JAN 2021","","000")</f>
        <v>JAN 2021</v>
      </c>
      <c r="L3" s="25" t="str">
        <f xml:space="preserve"> _xll.EPMOlapMemberO("[PERIODID3].[].[70614]","","FEB 2021","","000")</f>
        <v>FEB 2021</v>
      </c>
      <c r="M3" s="25" t="str">
        <f xml:space="preserve"> _xll.EPMOlapMemberO("[PERIODID3].[].[70615]","","MAR 2021","","000")</f>
        <v>MAR 2021</v>
      </c>
      <c r="N3" s="25" t="str">
        <f xml:space="preserve"> _xll.EPMOlapMemberO("[PERIODID3].[].[70616]","","APR 2021","","000")</f>
        <v>APR 2021</v>
      </c>
      <c r="O3" s="25" t="str">
        <f xml:space="preserve"> _xll.EPMOlapMemberO("[PERIODID3].[].[70617]","","MAY 2021","","000")</f>
        <v>MAY 2021</v>
      </c>
      <c r="P3" s="25" t="str">
        <f xml:space="preserve"> _xll.EPMOlapMemberO("[PERIODID3].[].[70618]","","JUN 2021","","000")</f>
        <v>JUN 2021</v>
      </c>
      <c r="Q3" s="25" t="str">
        <f xml:space="preserve"> _xll.EPMOlapMemberO("[PERIODID3].[].[70619]","","JUL 2021","","000")</f>
        <v>JUL 2021</v>
      </c>
      <c r="R3" s="25" t="str">
        <f xml:space="preserve"> _xll.EPMOlapMemberO("[PERIODID3].[].[70620]","","AUG 2021","","000")</f>
        <v>AUG 2021</v>
      </c>
      <c r="S3" s="25" t="str">
        <f xml:space="preserve"> _xll.EPMOlapMemberO("[PERIODID3].[].[70621]","","SEP 2021","","000")</f>
        <v>SEP 2021</v>
      </c>
      <c r="T3" s="25" t="str">
        <f xml:space="preserve"> _xll.EPMOlapMemberO("[PERIODID3].[].[70622]","","OCT 2021","","000")</f>
        <v>OCT 2021</v>
      </c>
      <c r="U3" s="25" t="str">
        <f xml:space="preserve"> _xll.EPMOlapMemberO("[PERIODID3].[].[70623]","","NOV 2021","","000")</f>
        <v>NOV 2021</v>
      </c>
      <c r="V3" s="25" t="str">
        <f xml:space="preserve"> _xll.EPMOlapMemberO("[PERIODID3].[].[70624]","","DEC 2021","","000")</f>
        <v>DEC 2021</v>
      </c>
      <c r="W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row>
    <row r="4" spans="1:82" x14ac:dyDescent="0.4">
      <c r="A4" s="38"/>
      <c r="B4" s="38"/>
      <c r="C4" s="38"/>
      <c r="D4" s="38"/>
      <c r="E4" s="38"/>
      <c r="F4" s="38"/>
      <c r="I4" s="20" t="str">
        <f xml:space="preserve"> _xll.EPMOlapMemberO("[PRDID].[].[HT_003]","","HT_003","","000")</f>
        <v>HT_003</v>
      </c>
      <c r="J4" s="20" t="str">
        <f xml:space="preserve"> _xll.EPMOlapMemberO("[KEY_FIGURES].[].[CONSENSUSDEMAND]","","Consensus Demand without Promotion","","000")</f>
        <v>Consensus Demand without Promotion</v>
      </c>
      <c r="K4" s="27"/>
      <c r="L4" s="27"/>
      <c r="M4" s="27"/>
      <c r="N4" s="27"/>
      <c r="O4" s="27"/>
      <c r="P4" s="27"/>
      <c r="Q4" s="27"/>
      <c r="R4" s="27"/>
      <c r="S4" s="27"/>
      <c r="T4" s="27"/>
      <c r="U4" s="27"/>
      <c r="V4" s="27"/>
      <c r="W4" s="38"/>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row>
    <row r="5" spans="1:82" x14ac:dyDescent="0.4">
      <c r="A5" s="38"/>
      <c r="B5" s="38"/>
      <c r="C5" s="38"/>
      <c r="D5" s="38"/>
      <c r="E5" s="38"/>
      <c r="F5" s="38"/>
      <c r="I5" s="20"/>
      <c r="J5" s="20" t="str">
        <f xml:space="preserve"> _xll.EPMOlapMemberO("[KEY_FIGURES].[].[DEMANDPLANNINGQTY]","","Demand Planning Qty","","000")</f>
        <v>Demand Planning Qty</v>
      </c>
      <c r="K5" s="23">
        <v>0</v>
      </c>
      <c r="L5" s="23">
        <v>0</v>
      </c>
      <c r="M5" s="23">
        <v>0</v>
      </c>
      <c r="N5" s="23">
        <v>0</v>
      </c>
      <c r="O5" s="23">
        <v>0</v>
      </c>
      <c r="P5" s="23"/>
      <c r="Q5" s="23"/>
      <c r="R5" s="23"/>
      <c r="S5" s="23"/>
      <c r="T5" s="23"/>
      <c r="U5" s="23"/>
      <c r="V5" s="23"/>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row>
    <row r="6" spans="1:82" x14ac:dyDescent="0.4">
      <c r="A6" s="38"/>
      <c r="B6" s="38"/>
      <c r="C6" s="38"/>
      <c r="D6" s="38"/>
      <c r="E6" s="38"/>
      <c r="F6" s="38"/>
      <c r="I6" s="20"/>
      <c r="J6" s="20" t="str">
        <f xml:space="preserve"> _xll.EPMOlapMemberO("[KEY_FIGURES].[].[FINALCONSENSUSDEMAND]","","Consensus Demand","","000")</f>
        <v>Consensus Demand</v>
      </c>
      <c r="K6" s="23">
        <v>0</v>
      </c>
      <c r="L6" s="23">
        <v>0</v>
      </c>
      <c r="M6" s="23">
        <v>0</v>
      </c>
      <c r="N6" s="23">
        <v>0</v>
      </c>
      <c r="O6" s="23">
        <v>0</v>
      </c>
      <c r="P6" s="23"/>
      <c r="Q6" s="23"/>
      <c r="R6" s="23"/>
      <c r="S6" s="23"/>
      <c r="T6" s="23"/>
      <c r="U6" s="23"/>
      <c r="V6" s="23"/>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row>
    <row r="7" spans="1:82" x14ac:dyDescent="0.4">
      <c r="A7" s="38"/>
      <c r="B7" s="38"/>
      <c r="C7" s="38"/>
      <c r="D7" s="38"/>
      <c r="E7" s="38"/>
      <c r="F7" s="38"/>
      <c r="I7" s="20" t="str">
        <f xml:space="preserve"> _xll.EPMOlapMemberO("[PRDID].[].[HT_004]","","HT_004","","000")</f>
        <v>HT_004</v>
      </c>
      <c r="J7" s="20" t="str">
        <f xml:space="preserve"> _xll.EPMOlapMemberO("[KEY_FIGURES].[].[CONSENSUSDEMAND]","","Consensus Demand without Promotion","","000")</f>
        <v>Consensus Demand without Promotion</v>
      </c>
      <c r="K7" s="27"/>
      <c r="L7" s="27"/>
      <c r="M7" s="27"/>
      <c r="N7" s="27"/>
      <c r="O7" s="27"/>
      <c r="P7" s="27"/>
      <c r="Q7" s="27"/>
      <c r="R7" s="27"/>
      <c r="S7" s="27"/>
      <c r="T7" s="27"/>
      <c r="U7" s="27"/>
      <c r="V7" s="27"/>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row>
    <row r="8" spans="1:82" x14ac:dyDescent="0.4">
      <c r="A8" s="38"/>
      <c r="B8" s="38"/>
      <c r="C8" s="38"/>
      <c r="D8" s="38"/>
      <c r="E8" s="38"/>
      <c r="F8" s="38"/>
      <c r="I8" s="20"/>
      <c r="J8" s="20" t="str">
        <f xml:space="preserve"> _xll.EPMOlapMemberO("[KEY_FIGURES].[].[DEMANDPLANNINGQTY]","","Demand Planning Qty","","000")</f>
        <v>Demand Planning Qty</v>
      </c>
      <c r="K8" s="23">
        <v>0</v>
      </c>
      <c r="L8" s="23">
        <v>0</v>
      </c>
      <c r="M8" s="23">
        <v>0</v>
      </c>
      <c r="N8" s="23">
        <v>0</v>
      </c>
      <c r="O8" s="23">
        <v>0</v>
      </c>
      <c r="P8" s="23"/>
      <c r="Q8" s="23"/>
      <c r="R8" s="23"/>
      <c r="S8" s="23"/>
      <c r="T8" s="23"/>
      <c r="U8" s="23"/>
      <c r="V8" s="23"/>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row>
    <row r="9" spans="1:82" x14ac:dyDescent="0.4">
      <c r="A9" s="38"/>
      <c r="B9" s="38"/>
      <c r="C9" s="38"/>
      <c r="D9" s="38"/>
      <c r="E9" s="38"/>
      <c r="F9" s="38"/>
      <c r="I9" s="20"/>
      <c r="J9" s="20" t="str">
        <f xml:space="preserve"> _xll.EPMOlapMemberO("[KEY_FIGURES].[].[FINALCONSENSUSDEMAND]","","Consensus Demand","","000")</f>
        <v>Consensus Demand</v>
      </c>
      <c r="K9" s="23">
        <v>0</v>
      </c>
      <c r="L9" s="23">
        <v>0</v>
      </c>
      <c r="M9" s="23">
        <v>0</v>
      </c>
      <c r="N9" s="23">
        <v>0</v>
      </c>
      <c r="O9" s="23">
        <v>0</v>
      </c>
      <c r="P9" s="23"/>
      <c r="Q9" s="23"/>
      <c r="R9" s="23"/>
      <c r="S9" s="23"/>
      <c r="T9" s="23"/>
      <c r="U9" s="23"/>
      <c r="V9" s="23"/>
      <c r="W9" s="38"/>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row>
    <row r="10" spans="1:82" x14ac:dyDescent="0.4">
      <c r="A10" s="38"/>
      <c r="B10" s="38"/>
      <c r="C10" s="38"/>
      <c r="D10" s="38"/>
      <c r="E10" s="38"/>
      <c r="F10" s="38"/>
      <c r="I10" s="20" t="str">
        <f xml:space="preserve"> _xll.EPMOlapMemberO("[PRDID].[].[HT_009]","","HT_009","","000")</f>
        <v>HT_009</v>
      </c>
      <c r="J10" s="20" t="str">
        <f xml:space="preserve"> _xll.EPMOlapMemberO("[KEY_FIGURES].[].[CONSENSUSDEMAND]","","Consensus Demand without Promotion","","000")</f>
        <v>Consensus Demand without Promotion</v>
      </c>
      <c r="K10" s="27"/>
      <c r="L10" s="27"/>
      <c r="M10" s="27"/>
      <c r="N10" s="27"/>
      <c r="O10" s="27"/>
      <c r="P10" s="27"/>
      <c r="Q10" s="27"/>
      <c r="R10" s="27"/>
      <c r="S10" s="27"/>
      <c r="T10" s="27"/>
      <c r="U10" s="27"/>
      <c r="V10" s="27"/>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row>
    <row r="11" spans="1:82" x14ac:dyDescent="0.4">
      <c r="A11" s="38"/>
      <c r="B11" s="38"/>
      <c r="C11" s="38"/>
      <c r="D11" s="38"/>
      <c r="E11" s="38"/>
      <c r="F11" s="38"/>
      <c r="I11" s="20"/>
      <c r="J11" s="20" t="str">
        <f xml:space="preserve"> _xll.EPMOlapMemberO("[KEY_FIGURES].[].[DEMANDPLANNINGQTY]","","Demand Planning Qty","","000")</f>
        <v>Demand Planning Qty</v>
      </c>
      <c r="K11" s="23">
        <v>0</v>
      </c>
      <c r="L11" s="23">
        <v>0</v>
      </c>
      <c r="M11" s="23">
        <v>0</v>
      </c>
      <c r="N11" s="23">
        <v>0</v>
      </c>
      <c r="O11" s="23">
        <v>0</v>
      </c>
      <c r="P11" s="23"/>
      <c r="Q11" s="23"/>
      <c r="R11" s="23"/>
      <c r="S11" s="23"/>
      <c r="T11" s="23"/>
      <c r="U11" s="23"/>
      <c r="V11" s="23"/>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row>
    <row r="12" spans="1:82" x14ac:dyDescent="0.4">
      <c r="A12" s="38"/>
      <c r="B12" s="38"/>
      <c r="C12" s="38"/>
      <c r="D12" s="38"/>
      <c r="E12" s="38"/>
      <c r="F12" s="38"/>
      <c r="I12" s="20"/>
      <c r="J12" s="20" t="str">
        <f xml:space="preserve"> _xll.EPMOlapMemberO("[KEY_FIGURES].[].[FINALCONSENSUSDEMAND]","","Consensus Demand","","000")</f>
        <v>Consensus Demand</v>
      </c>
      <c r="K12" s="23">
        <v>0</v>
      </c>
      <c r="L12" s="23">
        <v>0</v>
      </c>
      <c r="M12" s="23">
        <v>0</v>
      </c>
      <c r="N12" s="23">
        <v>0</v>
      </c>
      <c r="O12" s="23">
        <v>0</v>
      </c>
      <c r="P12" s="23"/>
      <c r="Q12" s="23"/>
      <c r="R12" s="23"/>
      <c r="S12" s="23"/>
      <c r="T12" s="23"/>
      <c r="U12" s="23"/>
      <c r="V12" s="23"/>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row>
    <row r="13" spans="1:82" x14ac:dyDescent="0.4">
      <c r="A13" s="38"/>
      <c r="B13" s="38"/>
      <c r="C13" s="38"/>
      <c r="D13" s="38"/>
      <c r="E13" s="38"/>
      <c r="F13" s="38"/>
      <c r="I13" s="20" t="str">
        <f xml:space="preserve"> _xll.EPMOlapMemberO("[PRDID].[].[HT_010]","","HT_010","","000")</f>
        <v>HT_010</v>
      </c>
      <c r="J13" s="20" t="str">
        <f xml:space="preserve"> _xll.EPMOlapMemberO("[KEY_FIGURES].[].[CONSENSUSDEMAND]","","Consensus Demand without Promotion","","000")</f>
        <v>Consensus Demand without Promotion</v>
      </c>
      <c r="K13" s="27"/>
      <c r="L13" s="27"/>
      <c r="M13" s="27"/>
      <c r="N13" s="27"/>
      <c r="O13" s="27"/>
      <c r="P13" s="27"/>
      <c r="Q13" s="27"/>
      <c r="R13" s="27"/>
      <c r="S13" s="27"/>
      <c r="T13" s="27"/>
      <c r="U13" s="27"/>
      <c r="V13" s="27"/>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row>
    <row r="14" spans="1:82" x14ac:dyDescent="0.4">
      <c r="A14" s="38"/>
      <c r="B14" s="38"/>
      <c r="C14" s="38"/>
      <c r="D14" s="38"/>
      <c r="E14" s="38"/>
      <c r="F14" s="38"/>
      <c r="I14" s="20"/>
      <c r="J14" s="20" t="str">
        <f xml:space="preserve"> _xll.EPMOlapMemberO("[KEY_FIGURES].[].[DEMANDPLANNINGQTY]","","Demand Planning Qty","","000")</f>
        <v>Demand Planning Qty</v>
      </c>
      <c r="K14" s="23">
        <v>0</v>
      </c>
      <c r="L14" s="23">
        <v>0</v>
      </c>
      <c r="M14" s="23">
        <v>0</v>
      </c>
      <c r="N14" s="23">
        <v>0</v>
      </c>
      <c r="O14" s="23">
        <v>0</v>
      </c>
      <c r="P14" s="23"/>
      <c r="Q14" s="23"/>
      <c r="R14" s="23"/>
      <c r="S14" s="23"/>
      <c r="T14" s="23"/>
      <c r="U14" s="23"/>
      <c r="V14" s="23"/>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row>
    <row r="15" spans="1:82" x14ac:dyDescent="0.4">
      <c r="A15" s="38"/>
      <c r="B15" s="38"/>
      <c r="C15" s="38"/>
      <c r="D15" s="38"/>
      <c r="E15" s="38"/>
      <c r="F15" s="38"/>
      <c r="I15" s="20"/>
      <c r="J15" s="20" t="str">
        <f xml:space="preserve"> _xll.EPMOlapMemberO("[KEY_FIGURES].[].[FINALCONSENSUSDEMAND]","","Consensus Demand","","000")</f>
        <v>Consensus Demand</v>
      </c>
      <c r="K15" s="23">
        <v>0</v>
      </c>
      <c r="L15" s="23">
        <v>0</v>
      </c>
      <c r="M15" s="23">
        <v>0</v>
      </c>
      <c r="N15" s="23">
        <v>0</v>
      </c>
      <c r="O15" s="23">
        <v>0</v>
      </c>
      <c r="P15" s="23"/>
      <c r="Q15" s="23"/>
      <c r="R15" s="23"/>
      <c r="S15" s="23"/>
      <c r="T15" s="23"/>
      <c r="U15" s="23"/>
      <c r="V15" s="23"/>
      <c r="W15" s="38"/>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row>
    <row r="16" spans="1:82" x14ac:dyDescent="0.4">
      <c r="A16" s="38"/>
      <c r="B16" s="38"/>
      <c r="C16" s="38"/>
      <c r="D16" s="38"/>
      <c r="E16" s="38"/>
      <c r="F16" s="38"/>
      <c r="I16" s="20" t="str">
        <f xml:space="preserve"> _xll.EPMOlapMemberO("[PRDID].[].[HT_011]","","HT_011","","000")</f>
        <v>HT_011</v>
      </c>
      <c r="J16" s="20" t="str">
        <f xml:space="preserve"> _xll.EPMOlapMemberO("[KEY_FIGURES].[].[CONSENSUSDEMAND]","","Consensus Demand without Promotion","","000")</f>
        <v>Consensus Demand without Promotion</v>
      </c>
      <c r="K16" s="27"/>
      <c r="L16" s="27"/>
      <c r="M16" s="27"/>
      <c r="N16" s="27"/>
      <c r="O16" s="27"/>
      <c r="P16" s="27"/>
      <c r="Q16" s="27"/>
      <c r="R16" s="27"/>
      <c r="S16" s="27"/>
      <c r="T16" s="27"/>
      <c r="U16" s="27"/>
      <c r="V16" s="27"/>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row>
    <row r="17" spans="1:82" x14ac:dyDescent="0.4">
      <c r="A17" s="38"/>
      <c r="B17" s="38"/>
      <c r="C17" s="38"/>
      <c r="D17" s="38"/>
      <c r="E17" s="38"/>
      <c r="F17" s="38"/>
      <c r="I17" s="20"/>
      <c r="J17" s="20" t="str">
        <f xml:space="preserve"> _xll.EPMOlapMemberO("[KEY_FIGURES].[].[DEMANDPLANNINGQTY]","","Demand Planning Qty","","000")</f>
        <v>Demand Planning Qty</v>
      </c>
      <c r="K17" s="23">
        <v>0</v>
      </c>
      <c r="L17" s="23">
        <v>0</v>
      </c>
      <c r="M17" s="23">
        <v>0</v>
      </c>
      <c r="N17" s="23">
        <v>0</v>
      </c>
      <c r="O17" s="23">
        <v>0</v>
      </c>
      <c r="P17" s="23"/>
      <c r="Q17" s="23"/>
      <c r="R17" s="23"/>
      <c r="S17" s="23"/>
      <c r="T17" s="23"/>
      <c r="U17" s="23"/>
      <c r="V17" s="23"/>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row>
    <row r="18" spans="1:82" x14ac:dyDescent="0.4">
      <c r="A18" s="38"/>
      <c r="B18" s="38"/>
      <c r="C18" s="38"/>
      <c r="D18" s="38"/>
      <c r="E18" s="38"/>
      <c r="F18" s="38"/>
      <c r="I18" s="20"/>
      <c r="J18" s="20" t="str">
        <f xml:space="preserve"> _xll.EPMOlapMemberO("[KEY_FIGURES].[].[FINALCONSENSUSDEMAND]","","Consensus Demand","","000")</f>
        <v>Consensus Demand</v>
      </c>
      <c r="K18" s="23">
        <v>0</v>
      </c>
      <c r="L18" s="23">
        <v>0</v>
      </c>
      <c r="M18" s="23">
        <v>0</v>
      </c>
      <c r="N18" s="23">
        <v>0</v>
      </c>
      <c r="O18" s="23">
        <v>0</v>
      </c>
      <c r="P18" s="23"/>
      <c r="Q18" s="23"/>
      <c r="R18" s="23"/>
      <c r="S18" s="23"/>
      <c r="T18" s="23"/>
      <c r="U18" s="23"/>
      <c r="V18" s="23"/>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row>
    <row r="19" spans="1:82" x14ac:dyDescent="0.4">
      <c r="A19" s="38"/>
      <c r="B19" s="38"/>
      <c r="C19" s="38"/>
      <c r="D19" s="38"/>
      <c r="E19" s="38"/>
      <c r="F19" s="38"/>
      <c r="I19" s="20" t="str">
        <f xml:space="preserve"> _xll.EPMOlapMemberO("[PRDID].[].[HT_013]","","HT_013","","000")</f>
        <v>HT_013</v>
      </c>
      <c r="J19" s="20" t="str">
        <f xml:space="preserve"> _xll.EPMOlapMemberO("[KEY_FIGURES].[].[CONSENSUSDEMAND]","","Consensus Demand without Promotion","","000")</f>
        <v>Consensus Demand without Promotion</v>
      </c>
      <c r="K19" s="27"/>
      <c r="L19" s="27"/>
      <c r="M19" s="27"/>
      <c r="N19" s="27"/>
      <c r="O19" s="27"/>
      <c r="P19" s="27"/>
      <c r="Q19" s="27"/>
      <c r="R19" s="27"/>
      <c r="S19" s="27"/>
      <c r="T19" s="27"/>
      <c r="U19" s="27"/>
      <c r="V19" s="27"/>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row>
    <row r="20" spans="1:82" x14ac:dyDescent="0.4">
      <c r="A20" s="38"/>
      <c r="B20" s="38"/>
      <c r="C20" s="38"/>
      <c r="D20" s="38"/>
      <c r="E20" s="38"/>
      <c r="F20" s="38"/>
      <c r="I20" s="20"/>
      <c r="J20" s="20" t="str">
        <f xml:space="preserve"> _xll.EPMOlapMemberO("[KEY_FIGURES].[].[DEMANDPLANNINGQTY]","","Demand Planning Qty","","000")</f>
        <v>Demand Planning Qty</v>
      </c>
      <c r="K20" s="23">
        <v>0</v>
      </c>
      <c r="L20" s="23">
        <v>0</v>
      </c>
      <c r="M20" s="23">
        <v>0</v>
      </c>
      <c r="N20" s="23">
        <v>0</v>
      </c>
      <c r="O20" s="23">
        <v>0</v>
      </c>
      <c r="P20" s="23"/>
      <c r="Q20" s="23"/>
      <c r="R20" s="23"/>
      <c r="S20" s="23"/>
      <c r="T20" s="23"/>
      <c r="U20" s="23"/>
      <c r="V20" s="23"/>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row>
    <row r="21" spans="1:82" x14ac:dyDescent="0.4">
      <c r="A21" s="38"/>
      <c r="B21" s="38"/>
      <c r="C21" s="38"/>
      <c r="D21" s="38"/>
      <c r="E21" s="38"/>
      <c r="F21" s="38"/>
      <c r="I21" s="20"/>
      <c r="J21" s="20" t="str">
        <f xml:space="preserve"> _xll.EPMOlapMemberO("[KEY_FIGURES].[].[FINALCONSENSUSDEMAND]","","Consensus Demand","","000")</f>
        <v>Consensus Demand</v>
      </c>
      <c r="K21" s="23">
        <v>0</v>
      </c>
      <c r="L21" s="23">
        <v>0</v>
      </c>
      <c r="M21" s="23">
        <v>0</v>
      </c>
      <c r="N21" s="23">
        <v>0</v>
      </c>
      <c r="O21" s="23">
        <v>0</v>
      </c>
      <c r="P21" s="23"/>
      <c r="Q21" s="23"/>
      <c r="R21" s="23"/>
      <c r="S21" s="23"/>
      <c r="T21" s="23"/>
      <c r="U21" s="23"/>
      <c r="V21" s="23"/>
      <c r="W21" s="38"/>
      <c r="X21" s="38"/>
      <c r="Y21" s="38"/>
      <c r="Z21" s="38"/>
      <c r="AA21" s="38"/>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row>
    <row r="22" spans="1:82" x14ac:dyDescent="0.4">
      <c r="A22" s="38"/>
      <c r="B22" s="38"/>
      <c r="C22" s="38"/>
      <c r="D22" s="38"/>
      <c r="E22" s="38"/>
      <c r="F22" s="38"/>
      <c r="I22" s="20" t="str">
        <f xml:space="preserve"> _xll.EPMOlapMemberO("[PRDID].[].[HT_014]","","HT_014","","000")</f>
        <v>HT_014</v>
      </c>
      <c r="J22" s="20" t="str">
        <f xml:space="preserve"> _xll.EPMOlapMemberO("[KEY_FIGURES].[].[CONSENSUSDEMAND]","","Consensus Demand without Promotion","","000")</f>
        <v>Consensus Demand without Promotion</v>
      </c>
      <c r="K22" s="27"/>
      <c r="L22" s="27"/>
      <c r="M22" s="27"/>
      <c r="N22" s="27"/>
      <c r="O22" s="27"/>
      <c r="P22" s="27"/>
      <c r="Q22" s="27"/>
      <c r="R22" s="27"/>
      <c r="S22" s="27"/>
      <c r="T22" s="27"/>
      <c r="U22" s="27"/>
      <c r="V22" s="27"/>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row>
    <row r="23" spans="1:82" x14ac:dyDescent="0.4">
      <c r="A23" s="38"/>
      <c r="B23" s="38"/>
      <c r="C23" s="38"/>
      <c r="D23" s="38"/>
      <c r="E23" s="38"/>
      <c r="F23" s="38"/>
      <c r="I23" s="20"/>
      <c r="J23" s="20" t="str">
        <f xml:space="preserve"> _xll.EPMOlapMemberO("[KEY_FIGURES].[].[DEMANDPLANNINGQTY]","","Demand Planning Qty","","000")</f>
        <v>Demand Planning Qty</v>
      </c>
      <c r="K23" s="23">
        <v>0</v>
      </c>
      <c r="L23" s="23">
        <v>0</v>
      </c>
      <c r="M23" s="23">
        <v>0</v>
      </c>
      <c r="N23" s="23">
        <v>0</v>
      </c>
      <c r="O23" s="23">
        <v>0</v>
      </c>
      <c r="P23" s="23"/>
      <c r="Q23" s="23"/>
      <c r="R23" s="23"/>
      <c r="S23" s="23"/>
      <c r="T23" s="23"/>
      <c r="U23" s="23"/>
      <c r="V23" s="23"/>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row>
    <row r="24" spans="1:82" x14ac:dyDescent="0.4">
      <c r="A24" s="38"/>
      <c r="B24" s="38"/>
      <c r="C24" s="38"/>
      <c r="D24" s="38"/>
      <c r="E24" s="38"/>
      <c r="F24" s="38"/>
      <c r="I24" s="20"/>
      <c r="J24" s="20" t="str">
        <f xml:space="preserve"> _xll.EPMOlapMemberO("[KEY_FIGURES].[].[FINALCONSENSUSDEMAND]","","Consensus Demand","","000")</f>
        <v>Consensus Demand</v>
      </c>
      <c r="K24" s="23">
        <v>0</v>
      </c>
      <c r="L24" s="23">
        <v>0</v>
      </c>
      <c r="M24" s="23">
        <v>0</v>
      </c>
      <c r="N24" s="23">
        <v>0</v>
      </c>
      <c r="O24" s="23">
        <v>0</v>
      </c>
      <c r="P24" s="23"/>
      <c r="Q24" s="23"/>
      <c r="R24" s="23"/>
      <c r="S24" s="23"/>
      <c r="T24" s="23"/>
      <c r="U24" s="23"/>
      <c r="V24" s="23"/>
      <c r="W24" s="38"/>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row>
    <row r="25" spans="1:82" x14ac:dyDescent="0.4">
      <c r="A25" s="38"/>
      <c r="B25" s="38"/>
      <c r="C25" s="38"/>
      <c r="D25" s="38"/>
      <c r="E25" s="38"/>
      <c r="F25" s="38"/>
      <c r="W25" s="38"/>
      <c r="X25" s="38"/>
      <c r="Y25" s="38"/>
      <c r="Z25" s="38"/>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row>
    <row r="26" spans="1:82" x14ac:dyDescent="0.4">
      <c r="A26" s="38"/>
      <c r="B26" s="38"/>
      <c r="C26" s="38"/>
      <c r="D26" s="38"/>
      <c r="E26" s="38"/>
      <c r="F26" s="38"/>
      <c r="W26" s="38"/>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row>
    <row r="27" spans="1:82" x14ac:dyDescent="0.4">
      <c r="A27" s="38"/>
      <c r="B27" s="38"/>
      <c r="C27" s="38"/>
      <c r="D27" s="38"/>
      <c r="E27" s="38"/>
      <c r="F27" s="38"/>
      <c r="W27" s="38"/>
      <c r="X27" s="38"/>
      <c r="Y27" s="38"/>
      <c r="Z27" s="38"/>
      <c r="AA27" s="38"/>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row>
    <row r="28" spans="1:82" x14ac:dyDescent="0.4">
      <c r="A28" s="38"/>
      <c r="B28" s="38"/>
      <c r="C28" s="38"/>
      <c r="D28" s="38"/>
      <c r="E28" s="38"/>
      <c r="F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row>
    <row r="29" spans="1:82" x14ac:dyDescent="0.4">
      <c r="A29" s="38"/>
      <c r="B29" s="38"/>
      <c r="C29" s="38"/>
      <c r="D29" s="38"/>
      <c r="E29" s="38"/>
      <c r="F29" s="38"/>
      <c r="W29" s="38"/>
      <c r="X29" s="38"/>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row>
    <row r="30" spans="1:82" x14ac:dyDescent="0.4">
      <c r="A30" s="38"/>
      <c r="B30" s="38"/>
      <c r="C30" s="38"/>
      <c r="D30" s="38"/>
      <c r="E30" s="38"/>
      <c r="F30" s="38"/>
      <c r="W30" s="38"/>
      <c r="X30" s="38"/>
      <c r="Y30" s="38"/>
      <c r="Z30" s="38"/>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row>
    <row r="31" spans="1:82" x14ac:dyDescent="0.4">
      <c r="A31" s="38"/>
      <c r="B31" s="38"/>
      <c r="C31" s="38"/>
      <c r="D31" s="38"/>
      <c r="E31" s="38"/>
      <c r="F31" s="38"/>
      <c r="W31" s="38"/>
      <c r="X31" s="38"/>
      <c r="Y31" s="38"/>
      <c r="Z31" s="38"/>
      <c r="AA31" s="38"/>
      <c r="AB31" s="38"/>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row>
    <row r="32" spans="1:82" x14ac:dyDescent="0.4">
      <c r="A32" s="38"/>
      <c r="B32" s="38"/>
      <c r="C32" s="38"/>
      <c r="D32" s="38"/>
      <c r="E32" s="38"/>
      <c r="F32" s="38"/>
      <c r="W32" s="38"/>
      <c r="X32" s="38"/>
      <c r="Y32" s="38"/>
      <c r="Z32" s="38"/>
      <c r="AA32" s="38"/>
      <c r="AB32" s="38"/>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row>
    <row r="33" spans="1:82" x14ac:dyDescent="0.4">
      <c r="A33" s="38"/>
      <c r="B33" s="38"/>
      <c r="C33" s="38"/>
      <c r="D33" s="38"/>
      <c r="E33" s="38"/>
      <c r="F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row>
    <row r="34" spans="1:82" x14ac:dyDescent="0.4">
      <c r="A34" s="38"/>
      <c r="B34" s="38"/>
      <c r="C34" s="38"/>
      <c r="D34" s="38"/>
      <c r="E34" s="38"/>
      <c r="F34" s="38"/>
      <c r="W34" s="38"/>
      <c r="X34" s="38"/>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row>
    <row r="35" spans="1:82" x14ac:dyDescent="0.4">
      <c r="A35" s="38"/>
      <c r="B35" s="38"/>
      <c r="C35" s="38"/>
      <c r="D35" s="38"/>
      <c r="E35" s="38"/>
      <c r="F35" s="38"/>
      <c r="W35" s="38"/>
      <c r="X35" s="38"/>
      <c r="Y35" s="38"/>
      <c r="Z35" s="38"/>
      <c r="AA35" s="38"/>
      <c r="AB35" s="38"/>
      <c r="AC35" s="38"/>
      <c r="AD35" s="38"/>
      <c r="AE35" s="38"/>
      <c r="AF35" s="38"/>
      <c r="AG35" s="38"/>
      <c r="AH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c r="BZ35" s="38"/>
      <c r="CA35" s="38"/>
      <c r="CB35" s="38"/>
      <c r="CC35" s="38"/>
      <c r="CD35" s="38"/>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47" r:id="rId8" name="AnalyzerDynReportDC000tb1">
          <controlPr defaultSize="0" autoLine="0" r:id="rId9">
            <anchor moveWithCells="1">
              <from>
                <xdr:col>10</xdr:col>
                <xdr:colOff>0</xdr:colOff>
                <xdr:row>3</xdr:row>
                <xdr:rowOff>0</xdr:rowOff>
              </from>
              <to>
                <xdr:col>11</xdr:col>
                <xdr:colOff>310243</xdr:colOff>
                <xdr:row>3</xdr:row>
                <xdr:rowOff>5443</xdr:rowOff>
              </to>
            </anchor>
          </controlPr>
        </control>
      </mc:Choice>
      <mc:Fallback>
        <control shapeId="3147" r:id="rId8" name="AnalyzerDynReportDC000tb1"/>
      </mc:Fallback>
    </mc:AlternateContent>
    <mc:AlternateContent xmlns:mc="http://schemas.openxmlformats.org/markup-compatibility/2006">
      <mc:Choice Requires="x14">
        <control shapeId="3146" r:id="rId10" name="AnalyzerDynReportHC000tb1">
          <controlPr defaultSize="0" autoLine="0" r:id="rId11">
            <anchor moveWithCells="1">
              <from>
                <xdr:col>10</xdr:col>
                <xdr:colOff>0</xdr:colOff>
                <xdr:row>3</xdr:row>
                <xdr:rowOff>0</xdr:rowOff>
              </from>
              <to>
                <xdr:col>11</xdr:col>
                <xdr:colOff>310243</xdr:colOff>
                <xdr:row>3</xdr:row>
                <xdr:rowOff>5443</xdr:rowOff>
              </to>
            </anchor>
          </controlPr>
        </control>
      </mc:Choice>
      <mc:Fallback>
        <control shapeId="3146" r:id="rId10" name="AnalyzerDynReportHC000tb1"/>
      </mc:Fallback>
    </mc:AlternateContent>
    <mc:AlternateContent xmlns:mc="http://schemas.openxmlformats.org/markup-compatibility/2006">
      <mc:Choice Requires="x14">
        <control shapeId="3142" r:id="rId12" name="ReportSubmitControl_1DCtb1">
          <controlPr defaultSize="0" autoLine="0" r:id="rId13">
            <anchor moveWithCells="1">
              <from>
                <xdr:col>10</xdr:col>
                <xdr:colOff>0</xdr:colOff>
                <xdr:row>3</xdr:row>
                <xdr:rowOff>0</xdr:rowOff>
              </from>
              <to>
                <xdr:col>11</xdr:col>
                <xdr:colOff>310243</xdr:colOff>
                <xdr:row>3</xdr:row>
                <xdr:rowOff>5443</xdr:rowOff>
              </to>
            </anchor>
          </controlPr>
        </control>
      </mc:Choice>
      <mc:Fallback>
        <control shapeId="3142" r:id="rId12" name="ReportSubmitControl_1DCtb1"/>
      </mc:Fallback>
    </mc:AlternateContent>
    <mc:AlternateContent xmlns:mc="http://schemas.openxmlformats.org/markup-compatibility/2006">
      <mc:Choice Requires="x14">
        <control shapeId="3141" r:id="rId14" name="ReportSubmitControl_1HCtb1">
          <controlPr defaultSize="0" autoLine="0" r:id="rId15">
            <anchor moveWithCells="1">
              <from>
                <xdr:col>10</xdr:col>
                <xdr:colOff>0</xdr:colOff>
                <xdr:row>3</xdr:row>
                <xdr:rowOff>0</xdr:rowOff>
              </from>
              <to>
                <xdr:col>11</xdr:col>
                <xdr:colOff>310243</xdr:colOff>
                <xdr:row>3</xdr:row>
                <xdr:rowOff>5443</xdr:rowOff>
              </to>
            </anchor>
          </controlPr>
        </control>
      </mc:Choice>
      <mc:Fallback>
        <control shapeId="3141" r:id="rId14" name="ReportSubmitControl_1HCtb1"/>
      </mc:Fallback>
    </mc:AlternateContent>
    <mc:AlternateContent xmlns:mc="http://schemas.openxmlformats.org/markup-compatibility/2006">
      <mc:Choice Requires="x14">
        <control shapeId="3140" r:id="rId16" name="ReportSubmitManagerControlDCtb1">
          <controlPr defaultSize="0" autoLine="0" r:id="rId17">
            <anchor moveWithCells="1">
              <from>
                <xdr:col>10</xdr:col>
                <xdr:colOff>0</xdr:colOff>
                <xdr:row>3</xdr:row>
                <xdr:rowOff>0</xdr:rowOff>
              </from>
              <to>
                <xdr:col>11</xdr:col>
                <xdr:colOff>310243</xdr:colOff>
                <xdr:row>3</xdr:row>
                <xdr:rowOff>5443</xdr:rowOff>
              </to>
            </anchor>
          </controlPr>
        </control>
      </mc:Choice>
      <mc:Fallback>
        <control shapeId="3140" r:id="rId16" name="ReportSubmitManagerControlDCtb1"/>
      </mc:Fallback>
    </mc:AlternateContent>
    <mc:AlternateContent xmlns:mc="http://schemas.openxmlformats.org/markup-compatibility/2006">
      <mc:Choice Requires="x14">
        <control shapeId="3139" r:id="rId18" name="ReportSubmitManagerControlHCtb1">
          <controlPr defaultSize="0" autoLine="0" r:id="rId19">
            <anchor moveWithCells="1">
              <from>
                <xdr:col>10</xdr:col>
                <xdr:colOff>0</xdr:colOff>
                <xdr:row>3</xdr:row>
                <xdr:rowOff>0</xdr:rowOff>
              </from>
              <to>
                <xdr:col>11</xdr:col>
                <xdr:colOff>310243</xdr:colOff>
                <xdr:row>3</xdr:row>
                <xdr:rowOff>5443</xdr:rowOff>
              </to>
            </anchor>
          </controlPr>
        </control>
      </mc:Choice>
      <mc:Fallback>
        <control shapeId="3139" r:id="rId18" name="ReportSubmitManagerControlHCtb1"/>
      </mc:Fallback>
    </mc:AlternateContent>
    <mc:AlternateContent xmlns:mc="http://schemas.openxmlformats.org/markup-compatibility/2006">
      <mc:Choice Requires="x14">
        <control shapeId="3138" r:id="rId20" name="MultipleReportManagerInfoDCtb1">
          <controlPr defaultSize="0" autoLine="0" r:id="rId21">
            <anchor moveWithCells="1">
              <from>
                <xdr:col>10</xdr:col>
                <xdr:colOff>0</xdr:colOff>
                <xdr:row>3</xdr:row>
                <xdr:rowOff>0</xdr:rowOff>
              </from>
              <to>
                <xdr:col>11</xdr:col>
                <xdr:colOff>310243</xdr:colOff>
                <xdr:row>3</xdr:row>
                <xdr:rowOff>5443</xdr:rowOff>
              </to>
            </anchor>
          </controlPr>
        </control>
      </mc:Choice>
      <mc:Fallback>
        <control shapeId="3138" r:id="rId20" name="MultipleReportManagerInfoDCtb1"/>
      </mc:Fallback>
    </mc:AlternateContent>
    <mc:AlternateContent xmlns:mc="http://schemas.openxmlformats.org/markup-compatibility/2006">
      <mc:Choice Requires="x14">
        <control shapeId="3137" r:id="rId22" name="MultipleReportManagerInfoHCtb1">
          <controlPr defaultSize="0" autoLine="0" r:id="rId23">
            <anchor moveWithCells="1">
              <from>
                <xdr:col>10</xdr:col>
                <xdr:colOff>0</xdr:colOff>
                <xdr:row>3</xdr:row>
                <xdr:rowOff>0</xdr:rowOff>
              </from>
              <to>
                <xdr:col>11</xdr:col>
                <xdr:colOff>310243</xdr:colOff>
                <xdr:row>3</xdr:row>
                <xdr:rowOff>5443</xdr:rowOff>
              </to>
            </anchor>
          </controlPr>
        </control>
      </mc:Choice>
      <mc:Fallback>
        <control shapeId="3137" r:id="rId22" name="MultipleReportManagerInfoHCtb1"/>
      </mc:Fallback>
    </mc:AlternateContent>
    <mc:AlternateContent xmlns:mc="http://schemas.openxmlformats.org/markup-compatibility/2006">
      <mc:Choice Requires="x14">
        <control shapeId="3136" r:id="rId24" name="ConnectionDescriptorsInfoDCtb1">
          <controlPr defaultSize="0" autoLine="0" r:id="rId25">
            <anchor moveWithCells="1">
              <from>
                <xdr:col>10</xdr:col>
                <xdr:colOff>0</xdr:colOff>
                <xdr:row>3</xdr:row>
                <xdr:rowOff>0</xdr:rowOff>
              </from>
              <to>
                <xdr:col>11</xdr:col>
                <xdr:colOff>310243</xdr:colOff>
                <xdr:row>3</xdr:row>
                <xdr:rowOff>5443</xdr:rowOff>
              </to>
            </anchor>
          </controlPr>
        </control>
      </mc:Choice>
      <mc:Fallback>
        <control shapeId="3136" r:id="rId24" name="ConnectionDescriptorsInfoDCtb1"/>
      </mc:Fallback>
    </mc:AlternateContent>
    <mc:AlternateContent xmlns:mc="http://schemas.openxmlformats.org/markup-compatibility/2006">
      <mc:Choice Requires="x14">
        <control shapeId="3135" r:id="rId26" name="ConnectionDescriptorsInfoHCtb1">
          <controlPr defaultSize="0" autoLine="0" r:id="rId27">
            <anchor moveWithCells="1">
              <from>
                <xdr:col>10</xdr:col>
                <xdr:colOff>0</xdr:colOff>
                <xdr:row>3</xdr:row>
                <xdr:rowOff>0</xdr:rowOff>
              </from>
              <to>
                <xdr:col>11</xdr:col>
                <xdr:colOff>310243</xdr:colOff>
                <xdr:row>3</xdr:row>
                <xdr:rowOff>5443</xdr:rowOff>
              </to>
            </anchor>
          </controlPr>
        </control>
      </mc:Choice>
      <mc:Fallback>
        <control shapeId="3135" r:id="rId26" name="ConnectionDescriptorsInfoHCtb1"/>
      </mc:Fallback>
    </mc:AlternateContent>
    <mc:AlternateContent xmlns:mc="http://schemas.openxmlformats.org/markup-compatibility/2006">
      <mc:Choice Requires="x14">
        <control shapeId="3093" r:id="rId28" name="FPMExcelClientSheetOptionstb1">
          <controlPr defaultSize="0" autoLine="0" r:id="rId29">
            <anchor moveWithCells="1" sizeWithCells="1">
              <from>
                <xdr:col>0</xdr:col>
                <xdr:colOff>0</xdr:colOff>
                <xdr:row>0</xdr:row>
                <xdr:rowOff>0</xdr:rowOff>
              </from>
              <to>
                <xdr:col>0</xdr:col>
                <xdr:colOff>0</xdr:colOff>
                <xdr:row>0</xdr:row>
                <xdr:rowOff>0</xdr:rowOff>
              </to>
            </anchor>
          </controlPr>
        </control>
      </mc:Choice>
      <mc:Fallback>
        <control shapeId="3093" r:id="rId28" name="FPMExcelClientSheetOptionstb1"/>
      </mc:Fallback>
    </mc:AlternateContent>
    <mc:AlternateContent xmlns:mc="http://schemas.openxmlformats.org/markup-compatibility/2006">
      <mc:Choice Requires="x14">
        <control shapeId="3115" r:id="rId30" name="TextBox1">
          <controlPr defaultSize="0" disabled="1" autoLine="0" r:id="rId31">
            <anchor>
              <from>
                <xdr:col>0</xdr:col>
                <xdr:colOff>38100</xdr:colOff>
                <xdr:row>2</xdr:row>
                <xdr:rowOff>152400</xdr:rowOff>
              </from>
              <to>
                <xdr:col>0</xdr:col>
                <xdr:colOff>43543</xdr:colOff>
                <xdr:row>2</xdr:row>
                <xdr:rowOff>157843</xdr:rowOff>
              </to>
            </anchor>
          </controlPr>
        </control>
      </mc:Choice>
      <mc:Fallback>
        <control shapeId="3115" r:id="rId30" name="TextBox1"/>
      </mc:Fallback>
    </mc:AlternateContent>
    <mc:AlternateContent xmlns:mc="http://schemas.openxmlformats.org/markup-compatibility/2006">
      <mc:Choice Requires="x14">
        <control shapeId="3119" r:id="rId32" name="TextBox2">
          <controlPr defaultSize="0" disabled="1" autoLine="0" r:id="rId33">
            <anchor>
              <from>
                <xdr:col>8</xdr:col>
                <xdr:colOff>593271</xdr:colOff>
                <xdr:row>2</xdr:row>
                <xdr:rowOff>152400</xdr:rowOff>
              </from>
              <to>
                <xdr:col>8</xdr:col>
                <xdr:colOff>598714</xdr:colOff>
                <xdr:row>2</xdr:row>
                <xdr:rowOff>157843</xdr:rowOff>
              </to>
            </anchor>
          </controlPr>
        </control>
      </mc:Choice>
      <mc:Fallback>
        <control shapeId="3119" r:id="rId32" name="TextBox2"/>
      </mc:Fallback>
    </mc:AlternateContent>
    <mc:AlternateContent xmlns:mc="http://schemas.openxmlformats.org/markup-compatibility/2006">
      <mc:Choice Requires="x14">
        <control shapeId="3130" r:id="rId34" name="AnalyzerDynReport000tb1">
          <controlPr defaultSize="0" autoLine="0" autoPict="0" r:id="rId35">
            <anchor moveWithCells="1" sizeWithCells="1">
              <from>
                <xdr:col>0</xdr:col>
                <xdr:colOff>0</xdr:colOff>
                <xdr:row>0</xdr:row>
                <xdr:rowOff>0</xdr:rowOff>
              </from>
              <to>
                <xdr:col>6</xdr:col>
                <xdr:colOff>97971</xdr:colOff>
                <xdr:row>0</xdr:row>
                <xdr:rowOff>0</xdr:rowOff>
              </to>
            </anchor>
          </controlPr>
        </control>
      </mc:Choice>
      <mc:Fallback>
        <control shapeId="3130" r:id="rId34" name="AnalyzerDynReport000tb1"/>
      </mc:Fallback>
    </mc:AlternateContent>
    <mc:AlternateContent xmlns:mc="http://schemas.openxmlformats.org/markup-compatibility/2006">
      <mc:Choice Requires="x14">
        <control shapeId="3131" r:id="rId36" name="ConnectionDescriptorsInfotb1">
          <controlPr defaultSize="0" autoLine="0" autoPict="0" r:id="rId37">
            <anchor moveWithCells="1" sizeWithCells="1">
              <from>
                <xdr:col>0</xdr:col>
                <xdr:colOff>0</xdr:colOff>
                <xdr:row>0</xdr:row>
                <xdr:rowOff>0</xdr:rowOff>
              </from>
              <to>
                <xdr:col>6</xdr:col>
                <xdr:colOff>97971</xdr:colOff>
                <xdr:row>0</xdr:row>
                <xdr:rowOff>0</xdr:rowOff>
              </to>
            </anchor>
          </controlPr>
        </control>
      </mc:Choice>
      <mc:Fallback>
        <control shapeId="3131" r:id="rId36" name="ConnectionDescriptorsInfotb1"/>
      </mc:Fallback>
    </mc:AlternateContent>
    <mc:AlternateContent xmlns:mc="http://schemas.openxmlformats.org/markup-compatibility/2006">
      <mc:Choice Requires="x14">
        <control shapeId="3132" r:id="rId38" name="MultipleReportManagerInfotb1">
          <controlPr defaultSize="0" autoLine="0" autoPict="0" r:id="rId39">
            <anchor moveWithCells="1" sizeWithCells="1">
              <from>
                <xdr:col>0</xdr:col>
                <xdr:colOff>0</xdr:colOff>
                <xdr:row>0</xdr:row>
                <xdr:rowOff>0</xdr:rowOff>
              </from>
              <to>
                <xdr:col>6</xdr:col>
                <xdr:colOff>97971</xdr:colOff>
                <xdr:row>0</xdr:row>
                <xdr:rowOff>0</xdr:rowOff>
              </to>
            </anchor>
          </controlPr>
        </control>
      </mc:Choice>
      <mc:Fallback>
        <control shapeId="3132" r:id="rId38" name="MultipleReportManagerInfotb1"/>
      </mc:Fallback>
    </mc:AlternateContent>
    <mc:AlternateContent xmlns:mc="http://schemas.openxmlformats.org/markup-compatibility/2006">
      <mc:Choice Requires="x14">
        <control shapeId="3133" r:id="rId40" name="ReportSubmitManagerControltb1">
          <controlPr defaultSize="0" autoLine="0" autoPict="0" r:id="rId41">
            <anchor moveWithCells="1" sizeWithCells="1">
              <from>
                <xdr:col>0</xdr:col>
                <xdr:colOff>0</xdr:colOff>
                <xdr:row>0</xdr:row>
                <xdr:rowOff>0</xdr:rowOff>
              </from>
              <to>
                <xdr:col>6</xdr:col>
                <xdr:colOff>97971</xdr:colOff>
                <xdr:row>0</xdr:row>
                <xdr:rowOff>0</xdr:rowOff>
              </to>
            </anchor>
          </controlPr>
        </control>
      </mc:Choice>
      <mc:Fallback>
        <control shapeId="3133" r:id="rId40" name="ReportSubmitManagerControltb1"/>
      </mc:Fallback>
    </mc:AlternateContent>
    <mc:AlternateContent xmlns:mc="http://schemas.openxmlformats.org/markup-compatibility/2006">
      <mc:Choice Requires="x14">
        <control shapeId="3134" r:id="rId42" name="ReportSubmitControl_1tb1">
          <controlPr defaultSize="0" autoLine="0" autoPict="0" r:id="rId43">
            <anchor moveWithCells="1" sizeWithCells="1">
              <from>
                <xdr:col>0</xdr:col>
                <xdr:colOff>0</xdr:colOff>
                <xdr:row>0</xdr:row>
                <xdr:rowOff>0</xdr:rowOff>
              </from>
              <to>
                <xdr:col>6</xdr:col>
                <xdr:colOff>97971</xdr:colOff>
                <xdr:row>0</xdr:row>
                <xdr:rowOff>0</xdr:rowOff>
              </to>
            </anchor>
          </controlPr>
        </control>
      </mc:Choice>
      <mc:Fallback>
        <control shapeId="3134" r:id="rId42" name="ReportSubmitControl_1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13" sqref="K13"/>
    </sheetView>
  </sheetViews>
  <sheetFormatPr defaultRowHeight="14.6" x14ac:dyDescent="0.4"/>
  <cols>
    <col min="1" max="6" width="1.3828125" bestFit="1" customWidth="1"/>
    <col min="7" max="7" width="10.15234375" bestFit="1" customWidth="1"/>
    <col min="8" max="8" width="11.84375" bestFit="1" customWidth="1"/>
    <col min="9" max="9" width="12.613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1" customFormat="1" ht="28.3" x14ac:dyDescent="0.4">
      <c r="A1" s="70" t="s">
        <v>28</v>
      </c>
      <c r="B1" s="71"/>
      <c r="C1" s="71"/>
      <c r="D1" s="71"/>
      <c r="E1" s="71"/>
      <c r="F1" s="71"/>
      <c r="G1" s="71"/>
      <c r="H1" s="71"/>
      <c r="I1" s="71"/>
      <c r="J1" s="71"/>
      <c r="K1" s="72" t="str">
        <f>" "&amp;IFERROR(IF(SOP_Favorite_Name&lt;&gt;" ",SOP_Favorite_Name,IF(SOP_Template_Name&lt;&gt;" ",SOP_Template_Name,"Ad Hoc Planning View")),"Offline")</f>
        <v xml:space="preserve"> Main and Details for KFs</v>
      </c>
      <c r="L1" s="72"/>
      <c r="M1" s="72"/>
      <c r="N1" s="72"/>
      <c r="O1" s="72"/>
      <c r="P1" s="72"/>
      <c r="Q1" s="73" t="str">
        <f>"User: "&amp;_xll.EPMUser()&amp;"   |    Planning Area: "&amp;IFERROR(SOP_Planning_Area,"Offline")&amp;"
"&amp;"Template: "&amp;IFERROR(SOP_Template_Name,"none")</f>
        <v>User: #Error, no current connection.   |    Planning Area: SAP6
Template: template name</v>
      </c>
      <c r="R1" s="73"/>
      <c r="S1" s="73"/>
      <c r="T1" s="73"/>
      <c r="U1" s="73"/>
      <c r="V1" s="73"/>
      <c r="W1" s="33"/>
      <c r="X1" s="34"/>
      <c r="Y1" s="34"/>
      <c r="Z1" s="34"/>
      <c r="AA1" s="34"/>
      <c r="AB1" s="34"/>
      <c r="AC1" s="34"/>
      <c r="AD1" s="34"/>
      <c r="AE1" s="35"/>
      <c r="AF1" s="35"/>
      <c r="AG1" s="35"/>
      <c r="AH1" s="35"/>
      <c r="AI1" s="35"/>
      <c r="AJ1" s="35"/>
      <c r="AK1" s="35"/>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7"/>
      <c r="BS1" s="37"/>
      <c r="BT1" s="37"/>
      <c r="BU1" s="37"/>
      <c r="BV1" s="37"/>
      <c r="BW1" s="37"/>
      <c r="BX1" s="37"/>
      <c r="BY1" s="37"/>
      <c r="BZ1" s="37"/>
      <c r="CA1" s="37"/>
      <c r="CB1" s="37"/>
      <c r="CC1" s="37"/>
      <c r="CD1" s="37"/>
    </row>
    <row r="2" spans="1:82" s="21" customFormat="1" ht="60" customHeight="1" x14ac:dyDescent="0.4">
      <c r="A2" s="74"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(3 criteria):
Product ID = HT_003
Customer ID ≠ CA1000; CA2000; US9001; US9002
Brand ID = ConsumersChoice Kitchen Products; ConsumersChoice Television
</v>
      </c>
      <c r="B2" s="74"/>
      <c r="C2" s="74"/>
      <c r="D2" s="74"/>
      <c r="E2" s="74"/>
      <c r="F2" s="74"/>
      <c r="G2" s="74"/>
      <c r="H2" s="74"/>
      <c r="I2" s="74"/>
      <c r="J2" s="74"/>
      <c r="K2" s="75" t="str">
        <f>"  Last Refresh: "&amp;IFERROR(YEAR(SOP_Refresh_Timestamp)&amp;"-"&amp;TEXT(SOP_Refresh_Timestamp,"MMM")&amp;"-"&amp;DAY(SOP_Refresh_Timestamp)&amp;"   "&amp;TEXT(SOP_Refresh_Timestamp,"HH:MM:SS"),"Offline")</f>
        <v xml:space="preserve">  Last Refresh: 2022-Feb-4   09:23:17</v>
      </c>
      <c r="L2" s="75"/>
      <c r="M2" s="75"/>
      <c r="N2" s="75"/>
      <c r="O2" s="75"/>
      <c r="P2" s="75"/>
      <c r="Q2" s="75"/>
      <c r="R2" s="75"/>
      <c r="S2" s="75"/>
      <c r="T2" s="75"/>
      <c r="U2" s="75"/>
      <c r="V2" s="75"/>
      <c r="W2" s="33"/>
      <c r="X2" s="34"/>
      <c r="Y2" s="34"/>
      <c r="Z2" s="34"/>
      <c r="AA2" s="34"/>
      <c r="AB2" s="34"/>
      <c r="AC2" s="34"/>
      <c r="AD2" s="34"/>
      <c r="AE2" s="35"/>
      <c r="AF2" s="35"/>
      <c r="AG2" s="35"/>
      <c r="AH2" s="35"/>
      <c r="AI2" s="35"/>
      <c r="AJ2" s="35"/>
      <c r="AK2" s="35"/>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7"/>
      <c r="BS2" s="37"/>
      <c r="BT2" s="37"/>
      <c r="BU2" s="37"/>
      <c r="BV2" s="37"/>
      <c r="BW2" s="37"/>
      <c r="BX2" s="37"/>
      <c r="BY2" s="37"/>
      <c r="BZ2" s="37"/>
      <c r="CA2" s="37"/>
      <c r="CB2" s="37"/>
      <c r="CC2" s="37"/>
      <c r="CD2" s="37"/>
    </row>
    <row r="3" spans="1:82" s="22" customFormat="1" x14ac:dyDescent="0.4">
      <c r="A3" s="39" t="str">
        <f>SOP_Heading10</f>
        <v xml:space="preserve"> </v>
      </c>
      <c r="B3" s="39" t="str">
        <f>SOP_Heading9</f>
        <v xml:space="preserve"> </v>
      </c>
      <c r="C3" s="39" t="str">
        <f>SOP_Heading8</f>
        <v xml:space="preserve"> </v>
      </c>
      <c r="D3" s="39" t="str">
        <f>SOP_Heading7</f>
        <v xml:space="preserve"> </v>
      </c>
      <c r="E3" s="39" t="str">
        <f>SOP_Heading6</f>
        <v xml:space="preserve"> </v>
      </c>
      <c r="F3" s="39" t="str">
        <f>SOP_Heading5</f>
        <v xml:space="preserve"> </v>
      </c>
      <c r="G3" s="39" t="str">
        <f>SOP_Heading4</f>
        <v xml:space="preserve"> </v>
      </c>
      <c r="H3" s="39" t="str">
        <f>SOP_Heading3</f>
        <v>Product ID</v>
      </c>
      <c r="I3" s="39" t="str">
        <f>SOP_Heading2</f>
        <v>Location ID</v>
      </c>
      <c r="J3" s="39" t="str">
        <f>SOP_Heading1</f>
        <v>Key Figure</v>
      </c>
      <c r="K3" s="25" t="str">
        <f xml:space="preserve"> _xll.EPMOlapMemberO("[PERIODID3].[].[70613]","","JAN 2021","","000")</f>
        <v>JAN 2021</v>
      </c>
      <c r="L3" s="25" t="str">
        <f xml:space="preserve"> _xll.EPMOlapMemberO("[PERIODID3].[].[70614]","","FEB 2021","","000")</f>
        <v>FEB 2021</v>
      </c>
      <c r="M3" s="25" t="str">
        <f xml:space="preserve"> _xll.EPMOlapMemberO("[PERIODID3].[].[70615]","","MAR 2021","","000")</f>
        <v>MAR 2021</v>
      </c>
      <c r="N3" s="25" t="str">
        <f xml:space="preserve"> _xll.EPMOlapMemberO("[PERIODID3].[].[70616]","","APR 2021","","000")</f>
        <v>APR 2021</v>
      </c>
      <c r="O3" s="25" t="str">
        <f xml:space="preserve"> _xll.EPMOlapMemberO("[PERIODID3].[].[70617]","","MAY 2021","","000")</f>
        <v>MAY 2021</v>
      </c>
      <c r="P3" s="25" t="str">
        <f xml:space="preserve"> _xll.EPMOlapMemberO("[PERIODID3].[].[70618]","","JUN 2021","","000")</f>
        <v>JUN 2021</v>
      </c>
      <c r="Q3" s="25" t="str">
        <f xml:space="preserve"> _xll.EPMOlapMemberO("[PERIODID3].[].[70619]","","JUL 2021","","000")</f>
        <v>JUL 2021</v>
      </c>
      <c r="R3" s="25" t="str">
        <f xml:space="preserve"> _xll.EPMOlapMemberO("[PERIODID3].[].[70620]","","AUG 2021","","000")</f>
        <v>AUG 2021</v>
      </c>
      <c r="S3" s="25" t="str">
        <f xml:space="preserve"> _xll.EPMOlapMemberO("[PERIODID3].[].[70621]","","SEP 2021","","000")</f>
        <v>SEP 2021</v>
      </c>
      <c r="T3" s="25" t="str">
        <f xml:space="preserve"> _xll.EPMOlapMemberO("[PERIODID3].[].[70622]","","OCT 2021","","000")</f>
        <v>OCT 2021</v>
      </c>
      <c r="U3" s="25" t="str">
        <f xml:space="preserve"> _xll.EPMOlapMemberO("[PERIODID3].[].[70623]","","NOV 2021","","000")</f>
        <v>NOV 2021</v>
      </c>
      <c r="V3" s="25" t="str">
        <f xml:space="preserve"> _xll.EPMOlapMemberO("[PERIODID3].[].[70624]","","DEC 2021","","000")</f>
        <v>DEC 2021</v>
      </c>
      <c r="W3"/>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row>
    <row r="4" spans="1:82" x14ac:dyDescent="0.4">
      <c r="A4" s="38"/>
      <c r="B4" s="38"/>
      <c r="C4" s="38"/>
      <c r="D4" s="38"/>
      <c r="E4" s="38"/>
      <c r="F4" s="38"/>
      <c r="H4" s="20" t="str">
        <f xml:space="preserve"> _xll.EPMOlapMemberO("[PRDID].[].[HT_003]","","HT_003","","000")</f>
        <v>HT_003</v>
      </c>
      <c r="I4" s="20" t="str">
        <f xml:space="preserve"> _xll.EPMOlapMemberO("[LOCID].[].[HD_DC_CA_E]","","HD_DC_CA_E","","000")</f>
        <v>HD_DC_CA_E</v>
      </c>
      <c r="J4" s="20" t="str">
        <f xml:space="preserve"> _xll.EPMOlapMemberO("[KEY_FIGURES].[].[CONSENSUSDEMAND]","","Consensus Demand without Promotion","","000")</f>
        <v>Consensus Demand without Promotion</v>
      </c>
      <c r="K4" s="27"/>
      <c r="L4" s="27"/>
      <c r="M4" s="27"/>
      <c r="N4" s="27"/>
      <c r="O4" s="27"/>
      <c r="P4" s="27"/>
      <c r="Q4" s="27"/>
      <c r="R4" s="27"/>
      <c r="S4" s="27"/>
      <c r="T4" s="27"/>
      <c r="U4" s="27"/>
      <c r="V4" s="27"/>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row>
    <row r="5" spans="1:82" x14ac:dyDescent="0.4">
      <c r="A5" s="38"/>
      <c r="B5" s="38"/>
      <c r="C5" s="38"/>
      <c r="D5" s="38"/>
      <c r="E5" s="38"/>
      <c r="F5" s="38"/>
      <c r="H5" s="20"/>
      <c r="I5" s="20"/>
      <c r="J5" s="20" t="str">
        <f xml:space="preserve"> _xll.EPMOlapMemberO("[KEY_FIGURES].[].[FINALCONSENSUSDEMAND]","","Consensus Demand","","000")</f>
        <v>Consensus Demand</v>
      </c>
      <c r="K5" s="23">
        <v>0</v>
      </c>
      <c r="L5" s="23">
        <v>0</v>
      </c>
      <c r="M5" s="23">
        <v>0</v>
      </c>
      <c r="N5" s="23">
        <v>0</v>
      </c>
      <c r="O5" s="23">
        <v>0</v>
      </c>
      <c r="P5" s="23"/>
      <c r="Q5" s="23"/>
      <c r="R5" s="23"/>
      <c r="S5" s="23"/>
      <c r="T5" s="23"/>
      <c r="U5" s="23"/>
      <c r="V5" s="23"/>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row>
    <row r="6" spans="1:82" x14ac:dyDescent="0.4">
      <c r="A6" s="38"/>
      <c r="B6" s="38"/>
      <c r="C6" s="38"/>
      <c r="D6" s="38"/>
      <c r="E6" s="38"/>
      <c r="F6" s="38"/>
      <c r="H6" s="20"/>
      <c r="I6" s="20"/>
      <c r="J6" s="20" t="str">
        <f xml:space="preserve"> _xll.EPMOlapMemberO("[KEY_FIGURES].[].[DEMANDPLANNINGQTY]","","Demand Planning Qty","","000")</f>
        <v>Demand Planning Qty</v>
      </c>
      <c r="K6" s="23">
        <v>0</v>
      </c>
      <c r="L6" s="23">
        <v>0</v>
      </c>
      <c r="M6" s="23">
        <v>0</v>
      </c>
      <c r="N6" s="23">
        <v>0</v>
      </c>
      <c r="O6" s="23">
        <v>0</v>
      </c>
      <c r="P6" s="23"/>
      <c r="Q6" s="23"/>
      <c r="R6" s="23"/>
      <c r="S6" s="23"/>
      <c r="T6" s="23"/>
      <c r="U6" s="23"/>
      <c r="V6" s="23"/>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row>
    <row r="7" spans="1:82" x14ac:dyDescent="0.4">
      <c r="A7" s="38"/>
      <c r="B7" s="38"/>
      <c r="C7" s="38"/>
      <c r="D7" s="38"/>
      <c r="E7" s="38"/>
      <c r="F7" s="38"/>
      <c r="H7" s="20"/>
      <c r="I7" s="20"/>
      <c r="J7" s="20" t="str">
        <f xml:space="preserve"> _xll.EPMOlapMemberO("[KEY_FIGURES].[].[ADJDELIVQTY]","","Delivered Qty Adjusted","","000")</f>
        <v>Delivered Qty Adjusted</v>
      </c>
      <c r="K7" s="27"/>
      <c r="L7" s="27"/>
      <c r="M7" s="27"/>
      <c r="N7" s="27"/>
      <c r="O7" s="27"/>
      <c r="P7" s="27"/>
      <c r="Q7" s="27"/>
      <c r="R7" s="27"/>
      <c r="S7" s="27"/>
      <c r="T7" s="27"/>
      <c r="U7" s="27"/>
      <c r="V7" s="27"/>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row>
    <row r="8" spans="1:82" x14ac:dyDescent="0.4">
      <c r="A8" s="38"/>
      <c r="B8" s="38"/>
      <c r="C8" s="38"/>
      <c r="D8" s="38"/>
      <c r="E8" s="38"/>
      <c r="F8" s="38"/>
      <c r="H8" s="20"/>
      <c r="I8" s="20"/>
      <c r="J8" s="20" t="str">
        <f xml:space="preserve"> _xll.EPMOlapMemberO("[KEY_FIGURES].[].[ACTUALSPRICE]","","Actuals Price","","000")</f>
        <v>Actuals Price</v>
      </c>
      <c r="K8" s="23"/>
      <c r="L8" s="23"/>
      <c r="M8" s="23"/>
      <c r="N8" s="23"/>
      <c r="O8" s="23"/>
      <c r="P8" s="23"/>
      <c r="Q8" s="23"/>
      <c r="R8" s="23"/>
      <c r="S8" s="23"/>
      <c r="T8" s="23"/>
      <c r="U8" s="23"/>
      <c r="V8" s="23"/>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row>
    <row r="9" spans="1:82" x14ac:dyDescent="0.4">
      <c r="A9" s="38"/>
      <c r="B9" s="38"/>
      <c r="C9" s="38"/>
      <c r="D9" s="38"/>
      <c r="E9" s="38"/>
      <c r="F9" s="38"/>
      <c r="H9" s="20"/>
      <c r="I9" s="20"/>
      <c r="J9" s="20" t="str">
        <f xml:space="preserve"> _xll.EPMOlapMemberO("[KEY_FIGURES].[].[ACTUALSREV]","","Actuals Revenue","","000")</f>
        <v>Actuals Revenue</v>
      </c>
      <c r="K9" s="27"/>
      <c r="L9" s="27"/>
      <c r="M9" s="27"/>
      <c r="N9" s="27"/>
      <c r="O9" s="27"/>
      <c r="P9" s="27"/>
      <c r="Q9" s="27"/>
      <c r="R9" s="27"/>
      <c r="S9" s="27"/>
      <c r="T9" s="27"/>
      <c r="U9" s="27"/>
      <c r="V9" s="27"/>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row>
    <row r="10" spans="1:82" x14ac:dyDescent="0.4">
      <c r="A10" s="38"/>
      <c r="B10" s="38"/>
      <c r="C10" s="38"/>
      <c r="D10" s="38"/>
      <c r="E10" s="38"/>
      <c r="F10" s="38"/>
      <c r="H10" s="20"/>
      <c r="I10" s="20"/>
      <c r="J10" s="20" t="str">
        <f xml:space="preserve"> _xll.EPMOlapMemberO("[KEY_FIGURES].[].[RBCALCULATEDNEGATIV]","","Calculated Stored Negativ","","000")</f>
        <v>Calculated Stored Negativ</v>
      </c>
      <c r="K10" s="27"/>
      <c r="L10" s="27"/>
      <c r="M10" s="27"/>
      <c r="N10" s="27"/>
      <c r="O10" s="27"/>
      <c r="P10" s="27"/>
      <c r="Q10" s="27"/>
      <c r="R10" s="27"/>
      <c r="S10" s="27"/>
      <c r="T10" s="27"/>
      <c r="U10" s="27"/>
      <c r="V10" s="27"/>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row>
    <row r="11" spans="1:82" x14ac:dyDescent="0.4">
      <c r="A11" s="38"/>
      <c r="B11" s="38"/>
      <c r="C11" s="38"/>
      <c r="D11" s="38"/>
      <c r="E11" s="38"/>
      <c r="F11" s="38"/>
      <c r="H11" s="20"/>
      <c r="I11" s="20"/>
      <c r="J11" s="20" t="str">
        <f xml:space="preserve"> _xll.EPMOlapMemberO("[KEY_FIGURES].[].[CONSENSUSDEMANDREV]","","Consensus Demand Plan Revenue","","000")</f>
        <v>Consensus Demand Plan Revenue</v>
      </c>
      <c r="K11" s="23"/>
      <c r="L11" s="23"/>
      <c r="M11" s="23"/>
      <c r="N11" s="23"/>
      <c r="O11" s="23"/>
      <c r="P11" s="23"/>
      <c r="Q11" s="23"/>
      <c r="R11" s="23"/>
      <c r="S11" s="23"/>
      <c r="T11" s="23"/>
      <c r="U11" s="23"/>
      <c r="V11" s="23"/>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row>
    <row r="12" spans="1:82" x14ac:dyDescent="0.4">
      <c r="A12" s="38"/>
      <c r="B12" s="38"/>
      <c r="C12" s="38"/>
      <c r="D12" s="38"/>
      <c r="E12" s="38"/>
      <c r="F12" s="38"/>
      <c r="H12" s="20"/>
      <c r="I12" s="20" t="str">
        <f xml:space="preserve"> _xll.EPMOlapMemberO("[LOCID].[].[HD_DC_FR]","","HD_DC_FR","","000")</f>
        <v>HD_DC_FR</v>
      </c>
      <c r="J12" s="20" t="str">
        <f xml:space="preserve"> _xll.EPMOlapMemberO("[KEY_FIGURES].[].[CONSENSUSDEMAND]","","Consensus Demand without Promotion","","000")</f>
        <v>Consensus Demand without Promotion</v>
      </c>
      <c r="K12" s="27"/>
      <c r="L12" s="27"/>
      <c r="M12" s="27"/>
      <c r="N12" s="27"/>
      <c r="O12" s="27"/>
      <c r="P12" s="27"/>
      <c r="Q12" s="27"/>
      <c r="R12" s="27"/>
      <c r="S12" s="27"/>
      <c r="T12" s="27"/>
      <c r="U12" s="27"/>
      <c r="V12" s="27"/>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row>
    <row r="13" spans="1:82" x14ac:dyDescent="0.4">
      <c r="A13" s="38"/>
      <c r="B13" s="38"/>
      <c r="C13" s="38"/>
      <c r="D13" s="38"/>
      <c r="E13" s="38"/>
      <c r="F13" s="38"/>
      <c r="H13" s="20"/>
      <c r="I13" s="20"/>
      <c r="J13" s="20" t="str">
        <f xml:space="preserve"> _xll.EPMOlapMemberO("[KEY_FIGURES].[].[FINALCONSENSUSDEMAND]","","Consensus Demand","","000")</f>
        <v>Consensus Demand</v>
      </c>
      <c r="K13" s="23">
        <v>0</v>
      </c>
      <c r="L13" s="23">
        <v>0</v>
      </c>
      <c r="M13" s="23">
        <v>0</v>
      </c>
      <c r="N13" s="23">
        <v>0</v>
      </c>
      <c r="O13" s="23">
        <v>0</v>
      </c>
      <c r="P13" s="23"/>
      <c r="Q13" s="23"/>
      <c r="R13" s="23"/>
      <c r="S13" s="23"/>
      <c r="T13" s="23"/>
      <c r="U13" s="23"/>
      <c r="V13" s="23"/>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row>
    <row r="14" spans="1:82" x14ac:dyDescent="0.4">
      <c r="A14" s="38"/>
      <c r="B14" s="38"/>
      <c r="C14" s="38"/>
      <c r="D14" s="38"/>
      <c r="E14" s="38"/>
      <c r="F14" s="38"/>
      <c r="H14" s="20"/>
      <c r="I14" s="20"/>
      <c r="J14" s="20" t="str">
        <f xml:space="preserve"> _xll.EPMOlapMemberO("[KEY_FIGURES].[].[DEMANDPLANNINGQTY]","","Demand Planning Qty","","000")</f>
        <v>Demand Planning Qty</v>
      </c>
      <c r="K14" s="23">
        <v>0</v>
      </c>
      <c r="L14" s="23">
        <v>0</v>
      </c>
      <c r="M14" s="23">
        <v>0</v>
      </c>
      <c r="N14" s="23">
        <v>0</v>
      </c>
      <c r="O14" s="23">
        <v>0</v>
      </c>
      <c r="P14" s="23"/>
      <c r="Q14" s="23"/>
      <c r="R14" s="23"/>
      <c r="S14" s="23"/>
      <c r="T14" s="23"/>
      <c r="U14" s="23"/>
      <c r="V14" s="23"/>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row>
    <row r="15" spans="1:82" x14ac:dyDescent="0.4">
      <c r="A15" s="38"/>
      <c r="B15" s="38"/>
      <c r="C15" s="38"/>
      <c r="D15" s="38"/>
      <c r="E15" s="38"/>
      <c r="F15" s="38"/>
      <c r="H15" s="20"/>
      <c r="I15" s="20"/>
      <c r="J15" s="20" t="str">
        <f xml:space="preserve"> _xll.EPMOlapMemberO("[KEY_FIGURES].[].[ADJDELIVQTY]","","Delivered Qty Adjusted","","000")</f>
        <v>Delivered Qty Adjusted</v>
      </c>
      <c r="K15" s="27"/>
      <c r="L15" s="27"/>
      <c r="M15" s="27"/>
      <c r="N15" s="27"/>
      <c r="O15" s="27"/>
      <c r="P15" s="27"/>
      <c r="Q15" s="27"/>
      <c r="R15" s="27"/>
      <c r="S15" s="27"/>
      <c r="T15" s="27"/>
      <c r="U15" s="27"/>
      <c r="V15" s="27"/>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row>
    <row r="16" spans="1:82" x14ac:dyDescent="0.4">
      <c r="A16" s="38"/>
      <c r="B16" s="38"/>
      <c r="C16" s="38"/>
      <c r="D16" s="38"/>
      <c r="E16" s="38"/>
      <c r="F16" s="38"/>
      <c r="H16" s="20"/>
      <c r="I16" s="20"/>
      <c r="J16" s="20" t="str">
        <f xml:space="preserve"> _xll.EPMOlapMemberO("[KEY_FIGURES].[].[ACTUALSPRICE]","","Actuals Price","","000")</f>
        <v>Actuals Price</v>
      </c>
      <c r="K16" s="23"/>
      <c r="L16" s="23"/>
      <c r="M16" s="23"/>
      <c r="N16" s="23"/>
      <c r="O16" s="23"/>
      <c r="P16" s="23"/>
      <c r="Q16" s="23"/>
      <c r="R16" s="23"/>
      <c r="S16" s="23"/>
      <c r="T16" s="23"/>
      <c r="U16" s="23"/>
      <c r="V16" s="23"/>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row>
    <row r="17" spans="1:82" x14ac:dyDescent="0.4">
      <c r="A17" s="38"/>
      <c r="B17" s="38"/>
      <c r="C17" s="38"/>
      <c r="D17" s="38"/>
      <c r="E17" s="38"/>
      <c r="F17" s="38"/>
      <c r="H17" s="20"/>
      <c r="I17" s="20"/>
      <c r="J17" s="20" t="str">
        <f xml:space="preserve"> _xll.EPMOlapMemberO("[KEY_FIGURES].[].[ACTUALSREV]","","Actuals Revenue","","000")</f>
        <v>Actuals Revenue</v>
      </c>
      <c r="K17" s="27"/>
      <c r="L17" s="27"/>
      <c r="M17" s="27"/>
      <c r="N17" s="27"/>
      <c r="O17" s="27"/>
      <c r="P17" s="27"/>
      <c r="Q17" s="27"/>
      <c r="R17" s="27"/>
      <c r="S17" s="27"/>
      <c r="T17" s="27"/>
      <c r="U17" s="27"/>
      <c r="V17" s="27"/>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row>
    <row r="18" spans="1:82" x14ac:dyDescent="0.4">
      <c r="A18" s="38"/>
      <c r="B18" s="38"/>
      <c r="C18" s="38"/>
      <c r="D18" s="38"/>
      <c r="E18" s="38"/>
      <c r="F18" s="38"/>
      <c r="H18" s="20"/>
      <c r="I18" s="20"/>
      <c r="J18" s="20" t="str">
        <f xml:space="preserve"> _xll.EPMOlapMemberO("[KEY_FIGURES].[].[RBCALCULATEDNEGATIV]","","Calculated Stored Negativ","","000")</f>
        <v>Calculated Stored Negativ</v>
      </c>
      <c r="K18" s="27"/>
      <c r="L18" s="27"/>
      <c r="M18" s="27"/>
      <c r="N18" s="27"/>
      <c r="O18" s="27"/>
      <c r="P18" s="27"/>
      <c r="Q18" s="27"/>
      <c r="R18" s="27"/>
      <c r="S18" s="27"/>
      <c r="T18" s="27"/>
      <c r="U18" s="27"/>
      <c r="V18" s="27"/>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row>
    <row r="19" spans="1:82" x14ac:dyDescent="0.4">
      <c r="A19" s="38"/>
      <c r="B19" s="38"/>
      <c r="C19" s="38"/>
      <c r="D19" s="38"/>
      <c r="E19" s="38"/>
      <c r="F19" s="38"/>
      <c r="H19" s="20"/>
      <c r="I19" s="20"/>
      <c r="J19" s="20" t="str">
        <f xml:space="preserve"> _xll.EPMOlapMemberO("[KEY_FIGURES].[].[CONSENSUSDEMANDREV]","","Consensus Demand Plan Revenue","","000")</f>
        <v>Consensus Demand Plan Revenue</v>
      </c>
      <c r="K19" s="23"/>
      <c r="L19" s="23"/>
      <c r="M19" s="23"/>
      <c r="N19" s="23"/>
      <c r="O19" s="23"/>
      <c r="P19" s="23"/>
      <c r="Q19" s="23"/>
      <c r="R19" s="23"/>
      <c r="S19" s="23"/>
      <c r="T19" s="23"/>
      <c r="U19" s="23"/>
      <c r="V19" s="23"/>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row>
    <row r="20" spans="1:82" x14ac:dyDescent="0.4">
      <c r="A20" s="38"/>
      <c r="B20" s="38"/>
      <c r="C20" s="38"/>
      <c r="D20" s="38"/>
      <c r="E20" s="38"/>
      <c r="F20" s="38"/>
      <c r="H20" s="20"/>
      <c r="I20" s="20" t="str">
        <f xml:space="preserve"> _xll.EPMOlapMemberO("[LOCID].[].[HD_DC_US_E]","","HD_DC_US_E","","000")</f>
        <v>HD_DC_US_E</v>
      </c>
      <c r="J20" s="20" t="str">
        <f xml:space="preserve"> _xll.EPMOlapMemberO("[KEY_FIGURES].[].[CONSENSUSDEMAND]","","Consensus Demand without Promotion","","000")</f>
        <v>Consensus Demand without Promotion</v>
      </c>
      <c r="K20" s="27"/>
      <c r="L20" s="27"/>
      <c r="M20" s="27"/>
      <c r="N20" s="27"/>
      <c r="O20" s="27"/>
      <c r="P20" s="27"/>
      <c r="Q20" s="27"/>
      <c r="R20" s="27"/>
      <c r="S20" s="27"/>
      <c r="T20" s="27"/>
      <c r="U20" s="27"/>
      <c r="V20" s="27"/>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row>
    <row r="21" spans="1:82" x14ac:dyDescent="0.4">
      <c r="A21" s="38"/>
      <c r="B21" s="38"/>
      <c r="C21" s="38"/>
      <c r="D21" s="38"/>
      <c r="E21" s="38"/>
      <c r="F21" s="38"/>
      <c r="H21" s="20"/>
      <c r="I21" s="20"/>
      <c r="J21" s="20" t="str">
        <f xml:space="preserve"> _xll.EPMOlapMemberO("[KEY_FIGURES].[].[FINALCONSENSUSDEMAND]","","Consensus Demand","","000")</f>
        <v>Consensus Demand</v>
      </c>
      <c r="K21" s="23">
        <v>0</v>
      </c>
      <c r="L21" s="23">
        <v>0</v>
      </c>
      <c r="M21" s="23">
        <v>0</v>
      </c>
      <c r="N21" s="23">
        <v>0</v>
      </c>
      <c r="O21" s="23">
        <v>0</v>
      </c>
      <c r="P21" s="23"/>
      <c r="Q21" s="23"/>
      <c r="R21" s="23"/>
      <c r="S21" s="23"/>
      <c r="T21" s="23"/>
      <c r="U21" s="23"/>
      <c r="V21" s="23"/>
      <c r="X21" s="38"/>
      <c r="Y21" s="38"/>
      <c r="Z21" s="38"/>
      <c r="AA21" s="38"/>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row>
    <row r="22" spans="1:82" x14ac:dyDescent="0.4">
      <c r="A22" s="38"/>
      <c r="B22" s="38"/>
      <c r="C22" s="38"/>
      <c r="D22" s="38"/>
      <c r="E22" s="38"/>
      <c r="F22" s="38"/>
      <c r="H22" s="20"/>
      <c r="I22" s="20"/>
      <c r="J22" s="20" t="str">
        <f xml:space="preserve"> _xll.EPMOlapMemberO("[KEY_FIGURES].[].[DEMANDPLANNINGQTY]","","Demand Planning Qty","","000")</f>
        <v>Demand Planning Qty</v>
      </c>
      <c r="K22" s="23">
        <v>0</v>
      </c>
      <c r="L22" s="23">
        <v>0</v>
      </c>
      <c r="M22" s="23">
        <v>0</v>
      </c>
      <c r="N22" s="23">
        <v>0</v>
      </c>
      <c r="O22" s="23">
        <v>0</v>
      </c>
      <c r="P22" s="23"/>
      <c r="Q22" s="23"/>
      <c r="R22" s="23"/>
      <c r="S22" s="23"/>
      <c r="T22" s="23"/>
      <c r="U22" s="23"/>
      <c r="V22" s="23"/>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row>
    <row r="23" spans="1:82" x14ac:dyDescent="0.4">
      <c r="A23" s="38"/>
      <c r="B23" s="38"/>
      <c r="C23" s="38"/>
      <c r="D23" s="38"/>
      <c r="E23" s="38"/>
      <c r="F23" s="38"/>
      <c r="H23" s="20"/>
      <c r="I23" s="20"/>
      <c r="J23" s="20" t="str">
        <f xml:space="preserve"> _xll.EPMOlapMemberO("[KEY_FIGURES].[].[ADJDELIVQTY]","","Delivered Qty Adjusted","","000")</f>
        <v>Delivered Qty Adjusted</v>
      </c>
      <c r="K23" s="27"/>
      <c r="L23" s="27"/>
      <c r="M23" s="27"/>
      <c r="N23" s="27"/>
      <c r="O23" s="27"/>
      <c r="P23" s="27"/>
      <c r="Q23" s="27"/>
      <c r="R23" s="27"/>
      <c r="S23" s="27"/>
      <c r="T23" s="27"/>
      <c r="U23" s="27"/>
      <c r="V23" s="27"/>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row>
    <row r="24" spans="1:82" x14ac:dyDescent="0.4">
      <c r="A24" s="38"/>
      <c r="B24" s="38"/>
      <c r="C24" s="38"/>
      <c r="D24" s="38"/>
      <c r="E24" s="38"/>
      <c r="F24" s="38"/>
      <c r="H24" s="20"/>
      <c r="I24" s="20"/>
      <c r="J24" s="20" t="str">
        <f xml:space="preserve"> _xll.EPMOlapMemberO("[KEY_FIGURES].[].[ACTUALSPRICE]","","Actuals Price","","000")</f>
        <v>Actuals Price</v>
      </c>
      <c r="K24" s="23"/>
      <c r="L24" s="23"/>
      <c r="M24" s="23"/>
      <c r="N24" s="23"/>
      <c r="O24" s="23"/>
      <c r="P24" s="23"/>
      <c r="Q24" s="23"/>
      <c r="R24" s="23"/>
      <c r="S24" s="23"/>
      <c r="T24" s="23"/>
      <c r="U24" s="23"/>
      <c r="V24" s="23"/>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row>
    <row r="25" spans="1:82" x14ac:dyDescent="0.4">
      <c r="A25" s="38"/>
      <c r="B25" s="38"/>
      <c r="C25" s="38"/>
      <c r="D25" s="38"/>
      <c r="E25" s="38"/>
      <c r="F25" s="38"/>
      <c r="H25" s="20"/>
      <c r="I25" s="20"/>
      <c r="J25" s="20" t="str">
        <f xml:space="preserve"> _xll.EPMOlapMemberO("[KEY_FIGURES].[].[ACTUALSREV]","","Actuals Revenue","","000")</f>
        <v>Actuals Revenue</v>
      </c>
      <c r="K25" s="27"/>
      <c r="L25" s="27"/>
      <c r="M25" s="27"/>
      <c r="N25" s="27"/>
      <c r="O25" s="27"/>
      <c r="P25" s="27"/>
      <c r="Q25" s="27"/>
      <c r="R25" s="27"/>
      <c r="S25" s="27"/>
      <c r="T25" s="27"/>
      <c r="U25" s="27"/>
      <c r="V25" s="27"/>
      <c r="X25" s="38"/>
      <c r="Y25" s="38"/>
      <c r="Z25" s="38"/>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row>
    <row r="26" spans="1:82" x14ac:dyDescent="0.4">
      <c r="A26" s="38"/>
      <c r="B26" s="38"/>
      <c r="C26" s="38"/>
      <c r="D26" s="38"/>
      <c r="E26" s="38"/>
      <c r="F26" s="38"/>
      <c r="H26" s="20"/>
      <c r="I26" s="20"/>
      <c r="J26" s="20" t="str">
        <f xml:space="preserve"> _xll.EPMOlapMemberO("[KEY_FIGURES].[].[RBCALCULATEDNEGATIV]","","Calculated Stored Negativ","","000")</f>
        <v>Calculated Stored Negativ</v>
      </c>
      <c r="K26" s="27"/>
      <c r="L26" s="27"/>
      <c r="M26" s="27"/>
      <c r="N26" s="27"/>
      <c r="O26" s="27"/>
      <c r="P26" s="27"/>
      <c r="Q26" s="27"/>
      <c r="R26" s="27"/>
      <c r="S26" s="27"/>
      <c r="T26" s="27"/>
      <c r="U26" s="27"/>
      <c r="V26" s="27"/>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row>
    <row r="27" spans="1:82" x14ac:dyDescent="0.4">
      <c r="A27" s="38"/>
      <c r="B27" s="38"/>
      <c r="C27" s="38"/>
      <c r="D27" s="38"/>
      <c r="E27" s="38"/>
      <c r="F27" s="38"/>
      <c r="H27" s="20"/>
      <c r="I27" s="20"/>
      <c r="J27" s="20" t="str">
        <f xml:space="preserve"> _xll.EPMOlapMemberO("[KEY_FIGURES].[].[CONSENSUSDEMANDREV]","","Consensus Demand Plan Revenue","","000")</f>
        <v>Consensus Demand Plan Revenue</v>
      </c>
      <c r="K27" s="23"/>
      <c r="L27" s="23"/>
      <c r="M27" s="23"/>
      <c r="N27" s="23"/>
      <c r="O27" s="23"/>
      <c r="P27" s="23"/>
      <c r="Q27" s="23"/>
      <c r="R27" s="23"/>
      <c r="S27" s="23"/>
      <c r="T27" s="23"/>
      <c r="U27" s="23"/>
      <c r="V27" s="23"/>
      <c r="X27" s="38"/>
      <c r="Y27" s="38"/>
      <c r="Z27" s="38"/>
      <c r="AA27" s="38"/>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row>
    <row r="28" spans="1:82" x14ac:dyDescent="0.4">
      <c r="A28" s="38"/>
      <c r="B28" s="38"/>
      <c r="C28" s="38"/>
      <c r="D28" s="38"/>
      <c r="E28" s="38"/>
      <c r="F28" s="38"/>
      <c r="H28" s="20"/>
      <c r="I28" s="20" t="str">
        <f xml:space="preserve"> _xll.EPMOlapMemberO("[LOCID].[].[HD_DC_US_W]","","HD_DC_US_W","","000")</f>
        <v>HD_DC_US_W</v>
      </c>
      <c r="J28" s="20" t="str">
        <f xml:space="preserve"> _xll.EPMOlapMemberO("[KEY_FIGURES].[].[CONSENSUSDEMAND]","","Consensus Demand without Promotion","","000")</f>
        <v>Consensus Demand without Promotion</v>
      </c>
      <c r="K28" s="27"/>
      <c r="L28" s="27"/>
      <c r="M28" s="27"/>
      <c r="N28" s="27"/>
      <c r="O28" s="27"/>
      <c r="P28" s="27"/>
      <c r="Q28" s="27"/>
      <c r="R28" s="27"/>
      <c r="S28" s="27"/>
      <c r="T28" s="27"/>
      <c r="U28" s="27"/>
      <c r="V28" s="27"/>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row>
    <row r="29" spans="1:82" x14ac:dyDescent="0.4">
      <c r="A29" s="38"/>
      <c r="B29" s="38"/>
      <c r="C29" s="38"/>
      <c r="D29" s="38"/>
      <c r="E29" s="38"/>
      <c r="F29" s="38"/>
      <c r="H29" s="20"/>
      <c r="I29" s="20"/>
      <c r="J29" s="20" t="str">
        <f xml:space="preserve"> _xll.EPMOlapMemberO("[KEY_FIGURES].[].[FINALCONSENSUSDEMAND]","","Consensus Demand","","000")</f>
        <v>Consensus Demand</v>
      </c>
      <c r="K29" s="23">
        <v>0</v>
      </c>
      <c r="L29" s="23">
        <v>0</v>
      </c>
      <c r="M29" s="23">
        <v>0</v>
      </c>
      <c r="N29" s="23">
        <v>0</v>
      </c>
      <c r="O29" s="23">
        <v>0</v>
      </c>
      <c r="P29" s="23"/>
      <c r="Q29" s="23"/>
      <c r="R29" s="23"/>
      <c r="S29" s="23"/>
      <c r="T29" s="23"/>
      <c r="U29" s="23"/>
      <c r="V29" s="23"/>
      <c r="X29" s="38"/>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row>
    <row r="30" spans="1:82" x14ac:dyDescent="0.4">
      <c r="A30" s="38"/>
      <c r="B30" s="38"/>
      <c r="C30" s="38"/>
      <c r="D30" s="38"/>
      <c r="E30" s="38"/>
      <c r="F30" s="38"/>
      <c r="H30" s="20"/>
      <c r="I30" s="20"/>
      <c r="J30" s="20" t="str">
        <f xml:space="preserve"> _xll.EPMOlapMemberO("[KEY_FIGURES].[].[DEMANDPLANNINGQTY]","","Demand Planning Qty","","000")</f>
        <v>Demand Planning Qty</v>
      </c>
      <c r="K30" s="23">
        <v>0</v>
      </c>
      <c r="L30" s="23">
        <v>0</v>
      </c>
      <c r="M30" s="23">
        <v>0</v>
      </c>
      <c r="N30" s="23">
        <v>0</v>
      </c>
      <c r="O30" s="23">
        <v>0</v>
      </c>
      <c r="P30" s="23"/>
      <c r="Q30" s="23"/>
      <c r="R30" s="23"/>
      <c r="S30" s="23"/>
      <c r="T30" s="23"/>
      <c r="U30" s="23"/>
      <c r="V30" s="23"/>
      <c r="X30" s="38"/>
      <c r="Y30" s="38"/>
      <c r="Z30" s="38"/>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row>
    <row r="31" spans="1:82" x14ac:dyDescent="0.4">
      <c r="A31" s="38"/>
      <c r="B31" s="38"/>
      <c r="C31" s="38"/>
      <c r="D31" s="38"/>
      <c r="E31" s="38"/>
      <c r="F31" s="38"/>
      <c r="H31" s="20"/>
      <c r="I31" s="20"/>
      <c r="J31" s="20" t="str">
        <f xml:space="preserve"> _xll.EPMOlapMemberO("[KEY_FIGURES].[].[ADJDELIVQTY]","","Delivered Qty Adjusted","","000")</f>
        <v>Delivered Qty Adjusted</v>
      </c>
      <c r="K31" s="27"/>
      <c r="L31" s="27"/>
      <c r="M31" s="27"/>
      <c r="N31" s="27"/>
      <c r="O31" s="27"/>
      <c r="P31" s="27"/>
      <c r="Q31" s="27"/>
      <c r="R31" s="27"/>
      <c r="S31" s="27"/>
      <c r="T31" s="27"/>
      <c r="U31" s="27"/>
      <c r="V31" s="27"/>
      <c r="X31" s="38"/>
      <c r="Y31" s="38"/>
      <c r="Z31" s="38"/>
      <c r="AA31" s="38"/>
      <c r="AB31" s="38"/>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row>
    <row r="32" spans="1:82" x14ac:dyDescent="0.4">
      <c r="A32" s="38"/>
      <c r="B32" s="38"/>
      <c r="C32" s="38"/>
      <c r="D32" s="38"/>
      <c r="E32" s="38"/>
      <c r="F32" s="38"/>
      <c r="H32" s="20"/>
      <c r="I32" s="20"/>
      <c r="J32" s="20" t="str">
        <f xml:space="preserve"> _xll.EPMOlapMemberO("[KEY_FIGURES].[].[ACTUALSPRICE]","","Actuals Price","","000")</f>
        <v>Actuals Price</v>
      </c>
      <c r="K32" s="23"/>
      <c r="L32" s="23"/>
      <c r="M32" s="23"/>
      <c r="N32" s="23"/>
      <c r="O32" s="23"/>
      <c r="P32" s="23"/>
      <c r="Q32" s="23"/>
      <c r="R32" s="23"/>
      <c r="S32" s="23"/>
      <c r="T32" s="23"/>
      <c r="U32" s="23"/>
      <c r="V32" s="23"/>
      <c r="X32" s="38"/>
      <c r="Y32" s="38"/>
      <c r="Z32" s="38"/>
      <c r="AA32" s="38"/>
      <c r="AB32" s="38"/>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row>
    <row r="33" spans="1:82" x14ac:dyDescent="0.4">
      <c r="A33" s="38"/>
      <c r="B33" s="38"/>
      <c r="C33" s="38"/>
      <c r="D33" s="38"/>
      <c r="E33" s="38"/>
      <c r="F33" s="38"/>
      <c r="H33" s="20"/>
      <c r="I33" s="20"/>
      <c r="J33" s="20" t="str">
        <f xml:space="preserve"> _xll.EPMOlapMemberO("[KEY_FIGURES].[].[ACTUALSREV]","","Actuals Revenue","","000")</f>
        <v>Actuals Revenue</v>
      </c>
      <c r="K33" s="27"/>
      <c r="L33" s="27"/>
      <c r="M33" s="27"/>
      <c r="N33" s="27"/>
      <c r="O33" s="27"/>
      <c r="P33" s="27"/>
      <c r="Q33" s="27"/>
      <c r="R33" s="27"/>
      <c r="S33" s="27"/>
      <c r="T33" s="27"/>
      <c r="U33" s="27"/>
      <c r="V33" s="27"/>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row>
    <row r="34" spans="1:82" x14ac:dyDescent="0.4">
      <c r="A34" s="38"/>
      <c r="B34" s="38"/>
      <c r="C34" s="38"/>
      <c r="D34" s="38"/>
      <c r="E34" s="38"/>
      <c r="F34" s="38"/>
      <c r="H34" s="20"/>
      <c r="I34" s="20"/>
      <c r="J34" s="20" t="str">
        <f xml:space="preserve"> _xll.EPMOlapMemberO("[KEY_FIGURES].[].[RBCALCULATEDNEGATIV]","","Calculated Stored Negativ","","000")</f>
        <v>Calculated Stored Negativ</v>
      </c>
      <c r="K34" s="27"/>
      <c r="L34" s="27"/>
      <c r="M34" s="27"/>
      <c r="N34" s="27"/>
      <c r="O34" s="27"/>
      <c r="P34" s="27"/>
      <c r="Q34" s="27"/>
      <c r="R34" s="27"/>
      <c r="S34" s="27"/>
      <c r="T34" s="27"/>
      <c r="U34" s="27"/>
      <c r="V34" s="27"/>
      <c r="X34" s="38"/>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row>
    <row r="35" spans="1:82" x14ac:dyDescent="0.4">
      <c r="A35" s="38"/>
      <c r="B35" s="38"/>
      <c r="C35" s="38"/>
      <c r="D35" s="38"/>
      <c r="E35" s="38"/>
      <c r="F35" s="38"/>
      <c r="H35" s="20"/>
      <c r="I35" s="20"/>
      <c r="J35" s="20" t="str">
        <f xml:space="preserve"> _xll.EPMOlapMemberO("[KEY_FIGURES].[].[CONSENSUSDEMANDREV]","","Consensus Demand Plan Revenue","","000")</f>
        <v>Consensus Demand Plan Revenue</v>
      </c>
      <c r="K35" s="23"/>
      <c r="L35" s="23"/>
      <c r="M35" s="23"/>
      <c r="N35" s="23"/>
      <c r="O35" s="23"/>
      <c r="P35" s="23"/>
      <c r="Q35" s="23"/>
      <c r="R35" s="23"/>
      <c r="S35" s="23"/>
      <c r="T35" s="23"/>
      <c r="U35" s="23"/>
      <c r="V35" s="23"/>
      <c r="X35" s="38"/>
      <c r="Y35" s="38"/>
      <c r="Z35" s="38"/>
      <c r="AA35" s="38"/>
      <c r="AB35" s="38"/>
      <c r="AC35" s="38"/>
      <c r="AD35" s="38"/>
      <c r="AE35" s="38"/>
      <c r="AF35" s="38"/>
      <c r="AG35" s="38"/>
      <c r="AH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c r="BZ35" s="38"/>
      <c r="CA35" s="38"/>
      <c r="CB35" s="38"/>
      <c r="CC35" s="38"/>
      <c r="CD35" s="38"/>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34" r:id="rId7" name="AnalyzerDynReportDC000tb1">
          <controlPr defaultSize="0" autoLine="0" r:id="rId8">
            <anchor moveWithCells="1">
              <from>
                <xdr:col>10</xdr:col>
                <xdr:colOff>0</xdr:colOff>
                <xdr:row>3</xdr:row>
                <xdr:rowOff>0</xdr:rowOff>
              </from>
              <to>
                <xdr:col>11</xdr:col>
                <xdr:colOff>310243</xdr:colOff>
                <xdr:row>3</xdr:row>
                <xdr:rowOff>5443</xdr:rowOff>
              </to>
            </anchor>
          </controlPr>
        </control>
      </mc:Choice>
      <mc:Fallback>
        <control shapeId="9234" r:id="rId7" name="AnalyzerDynReportDC000tb1"/>
      </mc:Fallback>
    </mc:AlternateContent>
    <mc:AlternateContent xmlns:mc="http://schemas.openxmlformats.org/markup-compatibility/2006">
      <mc:Choice Requires="x14">
        <control shapeId="9233" r:id="rId9" name="AnalyzerDynReportHC000tb1">
          <controlPr defaultSize="0" autoLine="0" r:id="rId10">
            <anchor moveWithCells="1">
              <from>
                <xdr:col>10</xdr:col>
                <xdr:colOff>0</xdr:colOff>
                <xdr:row>3</xdr:row>
                <xdr:rowOff>0</xdr:rowOff>
              </from>
              <to>
                <xdr:col>11</xdr:col>
                <xdr:colOff>310243</xdr:colOff>
                <xdr:row>3</xdr:row>
                <xdr:rowOff>5443</xdr:rowOff>
              </to>
            </anchor>
          </controlPr>
        </control>
      </mc:Choice>
      <mc:Fallback>
        <control shapeId="9233" r:id="rId9" name="AnalyzerDynReportHC000tb1"/>
      </mc:Fallback>
    </mc:AlternateContent>
    <mc:AlternateContent xmlns:mc="http://schemas.openxmlformats.org/markup-compatibility/2006">
      <mc:Choice Requires="x14">
        <control shapeId="9232" r:id="rId11" name="ReportSubmitControl_1DCtb1">
          <controlPr defaultSize="0" autoLine="0" r:id="rId12">
            <anchor moveWithCells="1">
              <from>
                <xdr:col>10</xdr:col>
                <xdr:colOff>0</xdr:colOff>
                <xdr:row>3</xdr:row>
                <xdr:rowOff>0</xdr:rowOff>
              </from>
              <to>
                <xdr:col>11</xdr:col>
                <xdr:colOff>310243</xdr:colOff>
                <xdr:row>3</xdr:row>
                <xdr:rowOff>5443</xdr:rowOff>
              </to>
            </anchor>
          </controlPr>
        </control>
      </mc:Choice>
      <mc:Fallback>
        <control shapeId="9232" r:id="rId11" name="ReportSubmitControl_1DCtb1"/>
      </mc:Fallback>
    </mc:AlternateContent>
    <mc:AlternateContent xmlns:mc="http://schemas.openxmlformats.org/markup-compatibility/2006">
      <mc:Choice Requires="x14">
        <control shapeId="9231" r:id="rId13" name="ReportSubmitControl_1HCtb1">
          <controlPr defaultSize="0" autoLine="0" r:id="rId14">
            <anchor moveWithCells="1">
              <from>
                <xdr:col>10</xdr:col>
                <xdr:colOff>0</xdr:colOff>
                <xdr:row>3</xdr:row>
                <xdr:rowOff>0</xdr:rowOff>
              </from>
              <to>
                <xdr:col>11</xdr:col>
                <xdr:colOff>310243</xdr:colOff>
                <xdr:row>3</xdr:row>
                <xdr:rowOff>5443</xdr:rowOff>
              </to>
            </anchor>
          </controlPr>
        </control>
      </mc:Choice>
      <mc:Fallback>
        <control shapeId="9231" r:id="rId13" name="ReportSubmitControl_1HCtb1"/>
      </mc:Fallback>
    </mc:AlternateContent>
    <mc:AlternateContent xmlns:mc="http://schemas.openxmlformats.org/markup-compatibility/2006">
      <mc:Choice Requires="x14">
        <control shapeId="9230" r:id="rId15" name="ReportSubmitManagerControlDCtb1">
          <controlPr defaultSize="0" autoLine="0" r:id="rId16">
            <anchor moveWithCells="1">
              <from>
                <xdr:col>10</xdr:col>
                <xdr:colOff>0</xdr:colOff>
                <xdr:row>3</xdr:row>
                <xdr:rowOff>0</xdr:rowOff>
              </from>
              <to>
                <xdr:col>11</xdr:col>
                <xdr:colOff>310243</xdr:colOff>
                <xdr:row>3</xdr:row>
                <xdr:rowOff>5443</xdr:rowOff>
              </to>
            </anchor>
          </controlPr>
        </control>
      </mc:Choice>
      <mc:Fallback>
        <control shapeId="9230" r:id="rId15" name="ReportSubmitManagerControlDCtb1"/>
      </mc:Fallback>
    </mc:AlternateContent>
    <mc:AlternateContent xmlns:mc="http://schemas.openxmlformats.org/markup-compatibility/2006">
      <mc:Choice Requires="x14">
        <control shapeId="9229" r:id="rId17" name="ReportSubmitManagerControlHCtb1">
          <controlPr defaultSize="0" autoLine="0" r:id="rId18">
            <anchor moveWithCells="1">
              <from>
                <xdr:col>10</xdr:col>
                <xdr:colOff>0</xdr:colOff>
                <xdr:row>3</xdr:row>
                <xdr:rowOff>0</xdr:rowOff>
              </from>
              <to>
                <xdr:col>11</xdr:col>
                <xdr:colOff>310243</xdr:colOff>
                <xdr:row>3</xdr:row>
                <xdr:rowOff>5443</xdr:rowOff>
              </to>
            </anchor>
          </controlPr>
        </control>
      </mc:Choice>
      <mc:Fallback>
        <control shapeId="9229" r:id="rId17" name="ReportSubmitManagerControlHCtb1"/>
      </mc:Fallback>
    </mc:AlternateContent>
    <mc:AlternateContent xmlns:mc="http://schemas.openxmlformats.org/markup-compatibility/2006">
      <mc:Choice Requires="x14">
        <control shapeId="9228" r:id="rId19" name="MultipleReportManagerInfoDCtb1">
          <controlPr defaultSize="0" autoLine="0" r:id="rId20">
            <anchor moveWithCells="1">
              <from>
                <xdr:col>10</xdr:col>
                <xdr:colOff>0</xdr:colOff>
                <xdr:row>3</xdr:row>
                <xdr:rowOff>0</xdr:rowOff>
              </from>
              <to>
                <xdr:col>11</xdr:col>
                <xdr:colOff>310243</xdr:colOff>
                <xdr:row>3</xdr:row>
                <xdr:rowOff>5443</xdr:rowOff>
              </to>
            </anchor>
          </controlPr>
        </control>
      </mc:Choice>
      <mc:Fallback>
        <control shapeId="9228" r:id="rId19" name="MultipleReportManagerInfoDCtb1"/>
      </mc:Fallback>
    </mc:AlternateContent>
    <mc:AlternateContent xmlns:mc="http://schemas.openxmlformats.org/markup-compatibility/2006">
      <mc:Choice Requires="x14">
        <control shapeId="9227" r:id="rId21" name="MultipleReportManagerInfoHCtb1">
          <controlPr defaultSize="0" autoLine="0" r:id="rId22">
            <anchor moveWithCells="1">
              <from>
                <xdr:col>10</xdr:col>
                <xdr:colOff>0</xdr:colOff>
                <xdr:row>3</xdr:row>
                <xdr:rowOff>0</xdr:rowOff>
              </from>
              <to>
                <xdr:col>11</xdr:col>
                <xdr:colOff>310243</xdr:colOff>
                <xdr:row>3</xdr:row>
                <xdr:rowOff>5443</xdr:rowOff>
              </to>
            </anchor>
          </controlPr>
        </control>
      </mc:Choice>
      <mc:Fallback>
        <control shapeId="9227" r:id="rId21" name="MultipleReportManagerInfoHCtb1"/>
      </mc:Fallback>
    </mc:AlternateContent>
    <mc:AlternateContent xmlns:mc="http://schemas.openxmlformats.org/markup-compatibility/2006">
      <mc:Choice Requires="x14">
        <control shapeId="9226" r:id="rId23" name="ConnectionDescriptorsInfoDCtb1">
          <controlPr defaultSize="0" autoLine="0" r:id="rId24">
            <anchor moveWithCells="1">
              <from>
                <xdr:col>10</xdr:col>
                <xdr:colOff>0</xdr:colOff>
                <xdr:row>3</xdr:row>
                <xdr:rowOff>0</xdr:rowOff>
              </from>
              <to>
                <xdr:col>11</xdr:col>
                <xdr:colOff>310243</xdr:colOff>
                <xdr:row>3</xdr:row>
                <xdr:rowOff>5443</xdr:rowOff>
              </to>
            </anchor>
          </controlPr>
        </control>
      </mc:Choice>
      <mc:Fallback>
        <control shapeId="9226" r:id="rId23" name="ConnectionDescriptorsInfoDCtb1"/>
      </mc:Fallback>
    </mc:AlternateContent>
    <mc:AlternateContent xmlns:mc="http://schemas.openxmlformats.org/markup-compatibility/2006">
      <mc:Choice Requires="x14">
        <control shapeId="9225" r:id="rId25" name="ConnectionDescriptorsInfoHCtb1">
          <controlPr defaultSize="0" autoLine="0" r:id="rId26">
            <anchor moveWithCells="1">
              <from>
                <xdr:col>10</xdr:col>
                <xdr:colOff>0</xdr:colOff>
                <xdr:row>3</xdr:row>
                <xdr:rowOff>0</xdr:rowOff>
              </from>
              <to>
                <xdr:col>11</xdr:col>
                <xdr:colOff>310243</xdr:colOff>
                <xdr:row>3</xdr:row>
                <xdr:rowOff>5443</xdr:rowOff>
              </to>
            </anchor>
          </controlPr>
        </control>
      </mc:Choice>
      <mc:Fallback>
        <control shapeId="9225" r:id="rId25" name="ConnectionDescriptorsInfoHCtb1"/>
      </mc:Fallback>
    </mc:AlternateContent>
    <mc:AlternateContent xmlns:mc="http://schemas.openxmlformats.org/markup-compatibility/2006">
      <mc:Choice Requires="x14">
        <control shapeId="9224" r:id="rId27" name="ReportSubmitControl_1tb1">
          <controlPr defaultSize="0" autoLine="0" autoPict="0" r:id="rId28">
            <anchor moveWithCells="1" sizeWithCells="1">
              <from>
                <xdr:col>0</xdr:col>
                <xdr:colOff>0</xdr:colOff>
                <xdr:row>0</xdr:row>
                <xdr:rowOff>0</xdr:rowOff>
              </from>
              <to>
                <xdr:col>6</xdr:col>
                <xdr:colOff>97971</xdr:colOff>
                <xdr:row>0</xdr:row>
                <xdr:rowOff>0</xdr:rowOff>
              </to>
            </anchor>
          </controlPr>
        </control>
      </mc:Choice>
      <mc:Fallback>
        <control shapeId="9224" r:id="rId27" name="ReportSubmitControl_1tb1"/>
      </mc:Fallback>
    </mc:AlternateContent>
    <mc:AlternateContent xmlns:mc="http://schemas.openxmlformats.org/markup-compatibility/2006">
      <mc:Choice Requires="x14">
        <control shapeId="9223" r:id="rId29" name="ReportSubmitManagerControltb1">
          <controlPr defaultSize="0" autoLine="0" autoPict="0" r:id="rId30">
            <anchor moveWithCells="1" sizeWithCells="1">
              <from>
                <xdr:col>0</xdr:col>
                <xdr:colOff>0</xdr:colOff>
                <xdr:row>0</xdr:row>
                <xdr:rowOff>0</xdr:rowOff>
              </from>
              <to>
                <xdr:col>6</xdr:col>
                <xdr:colOff>97971</xdr:colOff>
                <xdr:row>0</xdr:row>
                <xdr:rowOff>0</xdr:rowOff>
              </to>
            </anchor>
          </controlPr>
        </control>
      </mc:Choice>
      <mc:Fallback>
        <control shapeId="9223" r:id="rId29" name="ReportSubmitManagerControltb1"/>
      </mc:Fallback>
    </mc:AlternateContent>
    <mc:AlternateContent xmlns:mc="http://schemas.openxmlformats.org/markup-compatibility/2006">
      <mc:Choice Requires="x14">
        <control shapeId="9222" r:id="rId31" name="MultipleReportManagerInfotb1">
          <controlPr defaultSize="0" autoLine="0" autoPict="0" r:id="rId32">
            <anchor moveWithCells="1" sizeWithCells="1">
              <from>
                <xdr:col>0</xdr:col>
                <xdr:colOff>0</xdr:colOff>
                <xdr:row>0</xdr:row>
                <xdr:rowOff>0</xdr:rowOff>
              </from>
              <to>
                <xdr:col>6</xdr:col>
                <xdr:colOff>97971</xdr:colOff>
                <xdr:row>0</xdr:row>
                <xdr:rowOff>0</xdr:rowOff>
              </to>
            </anchor>
          </controlPr>
        </control>
      </mc:Choice>
      <mc:Fallback>
        <control shapeId="9222" r:id="rId31" name="MultipleReportManagerInfotb1"/>
      </mc:Fallback>
    </mc:AlternateContent>
    <mc:AlternateContent xmlns:mc="http://schemas.openxmlformats.org/markup-compatibility/2006">
      <mc:Choice Requires="x14">
        <control shapeId="9221" r:id="rId33" name="ConnectionDescriptorsInfotb1">
          <controlPr defaultSize="0" autoLine="0" autoPict="0" r:id="rId34">
            <anchor moveWithCells="1" sizeWithCells="1">
              <from>
                <xdr:col>0</xdr:col>
                <xdr:colOff>0</xdr:colOff>
                <xdr:row>0</xdr:row>
                <xdr:rowOff>0</xdr:rowOff>
              </from>
              <to>
                <xdr:col>6</xdr:col>
                <xdr:colOff>97971</xdr:colOff>
                <xdr:row>0</xdr:row>
                <xdr:rowOff>0</xdr:rowOff>
              </to>
            </anchor>
          </controlPr>
        </control>
      </mc:Choice>
      <mc:Fallback>
        <control shapeId="9221" r:id="rId33" name="ConnectionDescriptorsInfotb1"/>
      </mc:Fallback>
    </mc:AlternateContent>
    <mc:AlternateContent xmlns:mc="http://schemas.openxmlformats.org/markup-compatibility/2006">
      <mc:Choice Requires="x14">
        <control shapeId="9220" r:id="rId35" name="AnalyzerDynReport000tb1">
          <controlPr defaultSize="0" autoLine="0" autoPict="0" r:id="rId36">
            <anchor moveWithCells="1" sizeWithCells="1">
              <from>
                <xdr:col>0</xdr:col>
                <xdr:colOff>0</xdr:colOff>
                <xdr:row>0</xdr:row>
                <xdr:rowOff>0</xdr:rowOff>
              </from>
              <to>
                <xdr:col>6</xdr:col>
                <xdr:colOff>97971</xdr:colOff>
                <xdr:row>0</xdr:row>
                <xdr:rowOff>0</xdr:rowOff>
              </to>
            </anchor>
          </controlPr>
        </control>
      </mc:Choice>
      <mc:Fallback>
        <control shapeId="9220" r:id="rId35" name="AnalyzerDynReport000tb1"/>
      </mc:Fallback>
    </mc:AlternateContent>
    <mc:AlternateContent xmlns:mc="http://schemas.openxmlformats.org/markup-compatibility/2006">
      <mc:Choice Requires="x14">
        <control shapeId="9219" r:id="rId37" name="TextBox2">
          <controlPr defaultSize="0" disabled="1" autoLine="0" r:id="rId38">
            <anchor>
              <from>
                <xdr:col>8</xdr:col>
                <xdr:colOff>631371</xdr:colOff>
                <xdr:row>2</xdr:row>
                <xdr:rowOff>152400</xdr:rowOff>
              </from>
              <to>
                <xdr:col>8</xdr:col>
                <xdr:colOff>636814</xdr:colOff>
                <xdr:row>2</xdr:row>
                <xdr:rowOff>157843</xdr:rowOff>
              </to>
            </anchor>
          </controlPr>
        </control>
      </mc:Choice>
      <mc:Fallback>
        <control shapeId="9219" r:id="rId37" name="TextBox2"/>
      </mc:Fallback>
    </mc:AlternateContent>
    <mc:AlternateContent xmlns:mc="http://schemas.openxmlformats.org/markup-compatibility/2006">
      <mc:Choice Requires="x14">
        <control shapeId="9218" r:id="rId39" name="TextBox1">
          <controlPr defaultSize="0" disabled="1" autoLine="0" r:id="rId40">
            <anchor>
              <from>
                <xdr:col>0</xdr:col>
                <xdr:colOff>38100</xdr:colOff>
                <xdr:row>2</xdr:row>
                <xdr:rowOff>152400</xdr:rowOff>
              </from>
              <to>
                <xdr:col>0</xdr:col>
                <xdr:colOff>43543</xdr:colOff>
                <xdr:row>2</xdr:row>
                <xdr:rowOff>157843</xdr:rowOff>
              </to>
            </anchor>
          </controlPr>
        </control>
      </mc:Choice>
      <mc:Fallback>
        <control shapeId="9218" r:id="rId39" name="TextBox1"/>
      </mc:Fallback>
    </mc:AlternateContent>
    <mc:AlternateContent xmlns:mc="http://schemas.openxmlformats.org/markup-compatibility/2006">
      <mc:Choice Requires="x14">
        <control shapeId="9217" r:id="rId41" name="FPMExcelClientSheetOptionstb1">
          <controlPr defaultSize="0" autoLine="0" r:id="rId42">
            <anchor moveWithCells="1" sizeWithCells="1">
              <from>
                <xdr:col>0</xdr:col>
                <xdr:colOff>0</xdr:colOff>
                <xdr:row>0</xdr:row>
                <xdr:rowOff>0</xdr:rowOff>
              </from>
              <to>
                <xdr:col>0</xdr:col>
                <xdr:colOff>0</xdr:colOff>
                <xdr:row>0</xdr:row>
                <xdr:rowOff>0</xdr:rowOff>
              </to>
            </anchor>
          </controlPr>
        </control>
      </mc:Choice>
      <mc:Fallback>
        <control shapeId="9217" r:id="rId41" name="FPMExcelClientSheetOptions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FA2C-506F-468C-A947-936616649321}">
  <sheetPr codeName="Sheet6"/>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61328125" bestFit="1" customWidth="1"/>
    <col min="10" max="10" width="33.61328125" bestFit="1" customWidth="1"/>
    <col min="11" max="11" width="8.53515625" bestFit="1" customWidth="1"/>
    <col min="12" max="12" width="8.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1" customFormat="1" ht="28.3" x14ac:dyDescent="0.4">
      <c r="A1" s="70" t="s">
        <v>28</v>
      </c>
      <c r="B1" s="71"/>
      <c r="C1" s="71"/>
      <c r="D1" s="71"/>
      <c r="E1" s="71"/>
      <c r="F1" s="71"/>
      <c r="G1" s="71"/>
      <c r="H1" s="71"/>
      <c r="I1" s="71"/>
      <c r="J1" s="71"/>
      <c r="K1" s="72" t="str">
        <f>" "&amp;IFERROR(IF(SOP_Favorite_Name&lt;&gt;" ",SOP_Favorite_Name,IF(SOP_Template_Name&lt;&gt;" ",SOP_Template_Name,"Ad Hoc Planning View")),"Offline")</f>
        <v xml:space="preserve"> Main and Details for KFs</v>
      </c>
      <c r="L1" s="72"/>
      <c r="M1" s="72"/>
      <c r="N1" s="72"/>
      <c r="O1" s="72"/>
      <c r="P1" s="72"/>
      <c r="Q1" s="73" t="str">
        <f>"User: "&amp;_xll.EPMUser()&amp;"   |    Planning Area: "&amp;IFERROR(SOP_Planning_Area,"Offline")&amp;"
"&amp;"Template: "&amp;IFERROR(SOP_Template_Name,"none")</f>
        <v>User: #Error, no current connection.   |    Planning Area: SAP6
Template: template name</v>
      </c>
      <c r="R1" s="73"/>
      <c r="S1" s="73"/>
      <c r="T1" s="73"/>
      <c r="U1" s="73"/>
      <c r="V1" s="73"/>
      <c r="W1" s="33"/>
      <c r="X1" s="34"/>
      <c r="Y1" s="34"/>
      <c r="Z1" s="34"/>
      <c r="AA1" s="34"/>
      <c r="AB1" s="34"/>
      <c r="AC1" s="34"/>
      <c r="AD1" s="34"/>
      <c r="AE1" s="35"/>
      <c r="AF1" s="35"/>
      <c r="AG1" s="35"/>
      <c r="AH1" s="35"/>
      <c r="AI1" s="35"/>
      <c r="AJ1" s="35"/>
      <c r="AK1" s="35"/>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7"/>
      <c r="BS1" s="37"/>
      <c r="BT1" s="37"/>
      <c r="BU1" s="37"/>
      <c r="BV1" s="37"/>
      <c r="BW1" s="37"/>
      <c r="BX1" s="37"/>
      <c r="BY1" s="37"/>
      <c r="BZ1" s="37"/>
      <c r="CA1" s="37"/>
      <c r="CB1" s="37"/>
      <c r="CC1" s="37"/>
      <c r="CD1" s="37"/>
    </row>
    <row r="2" spans="1:82" s="21" customFormat="1" ht="60" customHeight="1" x14ac:dyDescent="0.4">
      <c r="A2" s="74"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(3 criteria):
Product ID = HT_003
Customer ID ≠ CA1000; CA2000; US9001; US9002
Brand ID = ConsumersChoice Kitchen Products; ConsumersChoice Television
</v>
      </c>
      <c r="B2" s="74"/>
      <c r="C2" s="74"/>
      <c r="D2" s="74"/>
      <c r="E2" s="74"/>
      <c r="F2" s="74"/>
      <c r="G2" s="74"/>
      <c r="H2" s="74"/>
      <c r="I2" s="74"/>
      <c r="J2" s="74"/>
      <c r="K2" s="75" t="str">
        <f>"  Last Refresh: "&amp;IFERROR(YEAR(SOP_Refresh_Timestamp)&amp;"-"&amp;TEXT(SOP_Refresh_Timestamp,"MMM")&amp;"-"&amp;DAY(SOP_Refresh_Timestamp)&amp;"   "&amp;TEXT(SOP_Refresh_Timestamp,"HH:MM:SS"),"Offline")</f>
        <v xml:space="preserve">  Last Refresh: 2022-Feb-4   09:23:17</v>
      </c>
      <c r="L2" s="75"/>
      <c r="M2" s="75"/>
      <c r="N2" s="75"/>
      <c r="O2" s="75"/>
      <c r="P2" s="75"/>
      <c r="Q2" s="75"/>
      <c r="R2" s="75"/>
      <c r="S2" s="75"/>
      <c r="T2" s="75"/>
      <c r="U2" s="75"/>
      <c r="V2" s="75"/>
      <c r="W2" s="33"/>
      <c r="X2" s="34"/>
      <c r="Y2" s="34"/>
      <c r="Z2" s="34"/>
      <c r="AA2" s="34"/>
      <c r="AB2" s="34"/>
      <c r="AC2" s="34"/>
      <c r="AD2" s="34"/>
      <c r="AE2" s="35"/>
      <c r="AF2" s="35"/>
      <c r="AG2" s="35"/>
      <c r="AH2" s="35"/>
      <c r="AI2" s="35"/>
      <c r="AJ2" s="35"/>
      <c r="AK2" s="35"/>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7"/>
      <c r="BS2" s="37"/>
      <c r="BT2" s="37"/>
      <c r="BU2" s="37"/>
      <c r="BV2" s="37"/>
      <c r="BW2" s="37"/>
      <c r="BX2" s="37"/>
      <c r="BY2" s="37"/>
      <c r="BZ2" s="37"/>
      <c r="CA2" s="37"/>
      <c r="CB2" s="37"/>
      <c r="CC2" s="37"/>
      <c r="CD2" s="37"/>
    </row>
    <row r="3" spans="1:82" s="22" customFormat="1" x14ac:dyDescent="0.4">
      <c r="A3" s="39" t="str">
        <f>SOP_Heading10</f>
        <v xml:space="preserve"> </v>
      </c>
      <c r="B3" s="39" t="str">
        <f>SOP_Heading9</f>
        <v xml:space="preserve"> </v>
      </c>
      <c r="C3" s="39" t="str">
        <f>SOP_Heading8</f>
        <v xml:space="preserve"> </v>
      </c>
      <c r="D3" s="39" t="str">
        <f>SOP_Heading7</f>
        <v xml:space="preserve"> </v>
      </c>
      <c r="E3" s="39" t="str">
        <f>SOP_Heading6</f>
        <v xml:space="preserve"> </v>
      </c>
      <c r="F3" s="39" t="str">
        <f>SOP_Heading5</f>
        <v xml:space="preserve"> </v>
      </c>
      <c r="G3" s="39" t="str">
        <f>SOP_Heading4</f>
        <v xml:space="preserve"> </v>
      </c>
      <c r="H3" s="39" t="str">
        <f>SOP_Heading3</f>
        <v>Product ID</v>
      </c>
      <c r="I3" s="39" t="str">
        <f>SOP_Heading2</f>
        <v>Location ID</v>
      </c>
      <c r="J3" s="39" t="str">
        <f>SOP_Heading1</f>
        <v>Key Figure</v>
      </c>
      <c r="K3" s="25" t="str">
        <f xml:space="preserve"> _xll.EPMOlapMemberO("[PERIODID3].[].[70613]","","JAN 2021","","000")</f>
        <v>JAN 2021</v>
      </c>
      <c r="L3" s="25" t="str">
        <f xml:space="preserve"> _xll.EPMOlapMemberO("[PERIODID3].[].[70614]","","FEB 2021","","000")</f>
        <v>FEB 2021</v>
      </c>
      <c r="M3" s="25" t="str">
        <f xml:space="preserve"> _xll.EPMOlapMemberO("[PERIODID3].[].[70615]","","MAR 2021","","000")</f>
        <v>MAR 2021</v>
      </c>
      <c r="N3" s="25" t="str">
        <f xml:space="preserve"> _xll.EPMOlapMemberO("[PERIODID3].[].[70616]","","APR 2021","","000")</f>
        <v>APR 2021</v>
      </c>
      <c r="O3" s="25" t="str">
        <f xml:space="preserve"> _xll.EPMOlapMemberO("[PERIODID3].[].[70617]","","MAY 2021","","000")</f>
        <v>MAY 2021</v>
      </c>
      <c r="P3" s="25" t="str">
        <f xml:space="preserve"> _xll.EPMOlapMemberO("[PERIODID3].[].[70618]","","JUN 2021","","000")</f>
        <v>JUN 2021</v>
      </c>
      <c r="Q3" s="25" t="str">
        <f xml:space="preserve"> _xll.EPMOlapMemberO("[PERIODID3].[].[70619]","","JUL 2021","","000")</f>
        <v>JUL 2021</v>
      </c>
      <c r="R3" s="25" t="str">
        <f xml:space="preserve"> _xll.EPMOlapMemberO("[PERIODID3].[].[70620]","","AUG 2021","","000")</f>
        <v>AUG 2021</v>
      </c>
      <c r="S3" s="25" t="str">
        <f xml:space="preserve"> _xll.EPMOlapMemberO("[PERIODID3].[].[70621]","","SEP 2021","","000")</f>
        <v>SEP 2021</v>
      </c>
      <c r="T3" s="25" t="str">
        <f xml:space="preserve"> _xll.EPMOlapMemberO("[PERIODID3].[].[70622]","","OCT 2021","","000")</f>
        <v>OCT 2021</v>
      </c>
      <c r="U3" s="25" t="str">
        <f xml:space="preserve"> _xll.EPMOlapMemberO("[PERIODID3].[].[70623]","","NOV 2021","","000")</f>
        <v>NOV 2021</v>
      </c>
      <c r="V3" s="25" t="str">
        <f xml:space="preserve"> _xll.EPMOlapMemberO("[PERIODID3].[].[70624]","","DEC 2021","","000")</f>
        <v>DEC 2021</v>
      </c>
      <c r="W3"/>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row>
    <row r="4" spans="1:82" x14ac:dyDescent="0.4">
      <c r="A4" s="38"/>
      <c r="B4" s="38"/>
      <c r="C4" s="38"/>
      <c r="D4" s="38"/>
      <c r="E4" s="38"/>
      <c r="F4" s="38"/>
      <c r="H4" s="20" t="str">
        <f xml:space="preserve"> _xll.EPMOlapMemberO("[PRDID].[].[HT_003]","","HT_003","","000")</f>
        <v>HT_003</v>
      </c>
      <c r="I4" s="20" t="str">
        <f xml:space="preserve"> _xll.EPMOlapMemberO("[LOCID].[].[HD_DC_CA_E]","","HD_DC_CA_E","","000")</f>
        <v>HD_DC_CA_E</v>
      </c>
      <c r="J4" s="20" t="str">
        <f xml:space="preserve"> _xll.EPMOlapMemberO("[KEY_FIGURES].[].[CONSENSUSDEMAND]","","Consensus Demand without Promotion","","000")</f>
        <v>Consensus Demand without Promotion</v>
      </c>
      <c r="K4" s="27"/>
      <c r="L4" s="27"/>
      <c r="M4" s="27"/>
      <c r="N4" s="27"/>
      <c r="O4" s="27"/>
      <c r="P4" s="27"/>
      <c r="Q4" s="27"/>
      <c r="R4" s="27"/>
      <c r="S4" s="27"/>
      <c r="T4" s="27"/>
      <c r="U4" s="27"/>
      <c r="V4" s="27"/>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row>
    <row r="5" spans="1:82" x14ac:dyDescent="0.4">
      <c r="A5" s="38"/>
      <c r="B5" s="38"/>
      <c r="C5" s="38"/>
      <c r="D5" s="38"/>
      <c r="E5" s="38"/>
      <c r="F5" s="38"/>
      <c r="H5" s="20"/>
      <c r="I5" s="20"/>
      <c r="J5" s="20" t="str">
        <f xml:space="preserve"> _xll.EPMOlapMemberO("[KEY_FIGURES].[].[FINALCONSENSUSDEMAND]","","Consensus Demand","","000")</f>
        <v>Consensus Demand</v>
      </c>
      <c r="K5" s="23">
        <v>0</v>
      </c>
      <c r="L5" s="23">
        <v>0</v>
      </c>
      <c r="M5" s="23">
        <v>0</v>
      </c>
      <c r="N5" s="23">
        <v>0</v>
      </c>
      <c r="O5" s="23">
        <v>0</v>
      </c>
      <c r="P5" s="23"/>
      <c r="Q5" s="23"/>
      <c r="R5" s="23"/>
      <c r="S5" s="23"/>
      <c r="T5" s="23"/>
      <c r="U5" s="23"/>
      <c r="V5" s="23"/>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row>
    <row r="6" spans="1:82" x14ac:dyDescent="0.4">
      <c r="A6" s="38"/>
      <c r="B6" s="38"/>
      <c r="C6" s="38"/>
      <c r="D6" s="38"/>
      <c r="E6" s="38"/>
      <c r="F6" s="38"/>
      <c r="H6" s="20"/>
      <c r="I6" s="20"/>
      <c r="J6" s="20" t="str">
        <f xml:space="preserve"> _xll.EPMOlapMemberO("[KEY_FIGURES].[].[DEMANDPLANNINGQTY]","","Demand Planning Qty","","000")</f>
        <v>Demand Planning Qty</v>
      </c>
      <c r="K6" s="23">
        <v>0</v>
      </c>
      <c r="L6" s="23">
        <v>0</v>
      </c>
      <c r="M6" s="23">
        <v>0</v>
      </c>
      <c r="N6" s="23">
        <v>0</v>
      </c>
      <c r="O6" s="23">
        <v>0</v>
      </c>
      <c r="P6" s="23"/>
      <c r="Q6" s="23"/>
      <c r="R6" s="23"/>
      <c r="S6" s="23"/>
      <c r="T6" s="23"/>
      <c r="U6" s="23"/>
      <c r="V6" s="23"/>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row>
    <row r="7" spans="1:82" x14ac:dyDescent="0.4">
      <c r="A7" s="38"/>
      <c r="B7" s="38"/>
      <c r="C7" s="38"/>
      <c r="D7" s="38"/>
      <c r="E7" s="38"/>
      <c r="F7" s="38"/>
      <c r="H7" s="20"/>
      <c r="I7" s="20"/>
      <c r="J7" s="20" t="str">
        <f xml:space="preserve"> _xll.EPMOlapMemberO("[KEY_FIGURES].[].[ADJDELIVQTY]","","Delivered Qty Adjusted","","000")</f>
        <v>Delivered Qty Adjusted</v>
      </c>
      <c r="K7" s="27"/>
      <c r="L7" s="27"/>
      <c r="M7" s="27"/>
      <c r="N7" s="27"/>
      <c r="O7" s="27"/>
      <c r="P7" s="27"/>
      <c r="Q7" s="27"/>
      <c r="R7" s="27"/>
      <c r="S7" s="27"/>
      <c r="T7" s="27"/>
      <c r="U7" s="27"/>
      <c r="V7" s="27"/>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row>
    <row r="8" spans="1:82" x14ac:dyDescent="0.4">
      <c r="A8" s="38"/>
      <c r="B8" s="38"/>
      <c r="C8" s="38"/>
      <c r="D8" s="38"/>
      <c r="E8" s="38"/>
      <c r="F8" s="38"/>
      <c r="H8" s="20"/>
      <c r="I8" s="20"/>
      <c r="J8" s="20" t="str">
        <f xml:space="preserve"> _xll.EPMOlapMemberO("[KEY_FIGURES].[].[ACTUALSPRICE]","","Actuals Price","","000")</f>
        <v>Actuals Price</v>
      </c>
      <c r="K8" s="23"/>
      <c r="L8" s="23"/>
      <c r="M8" s="23"/>
      <c r="N8" s="23"/>
      <c r="O8" s="23"/>
      <c r="P8" s="23"/>
      <c r="Q8" s="23"/>
      <c r="R8" s="23"/>
      <c r="S8" s="23"/>
      <c r="T8" s="23"/>
      <c r="U8" s="23"/>
      <c r="V8" s="23"/>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row>
    <row r="9" spans="1:82" x14ac:dyDescent="0.4">
      <c r="A9" s="38"/>
      <c r="B9" s="38"/>
      <c r="C9" s="38"/>
      <c r="D9" s="38"/>
      <c r="E9" s="38"/>
      <c r="F9" s="38"/>
      <c r="H9" s="20"/>
      <c r="I9" s="20"/>
      <c r="J9" s="20" t="str">
        <f xml:space="preserve"> _xll.EPMOlapMemberO("[KEY_FIGURES].[].[ACTUALSREV]","","Actuals Revenue","","000")</f>
        <v>Actuals Revenue</v>
      </c>
      <c r="K9" s="27"/>
      <c r="L9" s="27"/>
      <c r="M9" s="27"/>
      <c r="N9" s="27"/>
      <c r="O9" s="27"/>
      <c r="P9" s="27"/>
      <c r="Q9" s="27"/>
      <c r="R9" s="27"/>
      <c r="S9" s="27"/>
      <c r="T9" s="27"/>
      <c r="U9" s="27"/>
      <c r="V9" s="27"/>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row>
    <row r="10" spans="1:82" x14ac:dyDescent="0.4">
      <c r="A10" s="38"/>
      <c r="B10" s="38"/>
      <c r="C10" s="38"/>
      <c r="D10" s="38"/>
      <c r="E10" s="38"/>
      <c r="F10" s="38"/>
      <c r="H10" s="20"/>
      <c r="I10" s="20"/>
      <c r="J10" s="20" t="str">
        <f xml:space="preserve"> _xll.EPMOlapMemberO("[KEY_FIGURES].[].[RBCALCULATEDNEGATIV]","","Calculated Stored Negativ","","000")</f>
        <v>Calculated Stored Negativ</v>
      </c>
      <c r="K10" s="27"/>
      <c r="L10" s="27"/>
      <c r="M10" s="27"/>
      <c r="N10" s="27"/>
      <c r="O10" s="27"/>
      <c r="P10" s="27"/>
      <c r="Q10" s="27"/>
      <c r="R10" s="27"/>
      <c r="S10" s="27"/>
      <c r="T10" s="27"/>
      <c r="U10" s="27"/>
      <c r="V10" s="27"/>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row>
    <row r="11" spans="1:82" x14ac:dyDescent="0.4">
      <c r="A11" s="38"/>
      <c r="B11" s="38"/>
      <c r="C11" s="38"/>
      <c r="D11" s="38"/>
      <c r="E11" s="38"/>
      <c r="F11" s="38"/>
      <c r="H11" s="20"/>
      <c r="I11" s="20"/>
      <c r="J11" s="20" t="str">
        <f xml:space="preserve"> _xll.EPMOlapMemberO("[KEY_FIGURES].[].[CONSENSUSDEMANDREV]","","Consensus Demand Plan Revenue","","000")</f>
        <v>Consensus Demand Plan Revenue</v>
      </c>
      <c r="K11" s="23"/>
      <c r="L11" s="23"/>
      <c r="M11" s="23"/>
      <c r="N11" s="23"/>
      <c r="O11" s="23"/>
      <c r="P11" s="23"/>
      <c r="Q11" s="23"/>
      <c r="R11" s="23"/>
      <c r="S11" s="23"/>
      <c r="T11" s="23"/>
      <c r="U11" s="23"/>
      <c r="V11" s="23"/>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row>
    <row r="12" spans="1:82" x14ac:dyDescent="0.4">
      <c r="A12" s="38"/>
      <c r="B12" s="38"/>
      <c r="C12" s="38"/>
      <c r="D12" s="38"/>
      <c r="E12" s="38"/>
      <c r="F12" s="38"/>
      <c r="H12" s="20"/>
      <c r="I12" s="20" t="str">
        <f xml:space="preserve"> _xll.EPMOlapMemberO("[LOCID].[].[HD_DC_FR]","","HD_DC_FR","","000")</f>
        <v>HD_DC_FR</v>
      </c>
      <c r="J12" s="20" t="str">
        <f xml:space="preserve"> _xll.EPMOlapMemberO("[KEY_FIGURES].[].[CONSENSUSDEMAND]","","Consensus Demand without Promotion","","000")</f>
        <v>Consensus Demand without Promotion</v>
      </c>
      <c r="K12" s="27"/>
      <c r="L12" s="27"/>
      <c r="M12" s="27"/>
      <c r="N12" s="27"/>
      <c r="O12" s="27"/>
      <c r="P12" s="27"/>
      <c r="Q12" s="27"/>
      <c r="R12" s="27"/>
      <c r="S12" s="27"/>
      <c r="T12" s="27"/>
      <c r="U12" s="27"/>
      <c r="V12" s="27"/>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row>
    <row r="13" spans="1:82" x14ac:dyDescent="0.4">
      <c r="A13" s="38"/>
      <c r="B13" s="38"/>
      <c r="C13" s="38"/>
      <c r="D13" s="38"/>
      <c r="E13" s="38"/>
      <c r="F13" s="38"/>
      <c r="H13" s="20"/>
      <c r="I13" s="20"/>
      <c r="J13" s="20" t="str">
        <f xml:space="preserve"> _xll.EPMOlapMemberO("[KEY_FIGURES].[].[FINALCONSENSUSDEMAND]","","Consensus Demand","","000")</f>
        <v>Consensus Demand</v>
      </c>
      <c r="K13" s="23">
        <v>0</v>
      </c>
      <c r="L13" s="23">
        <v>0</v>
      </c>
      <c r="M13" s="23">
        <v>0</v>
      </c>
      <c r="N13" s="23">
        <v>0</v>
      </c>
      <c r="O13" s="23">
        <v>0</v>
      </c>
      <c r="P13" s="23"/>
      <c r="Q13" s="23"/>
      <c r="R13" s="23"/>
      <c r="S13" s="23"/>
      <c r="T13" s="23"/>
      <c r="U13" s="23"/>
      <c r="V13" s="23"/>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row>
    <row r="14" spans="1:82" x14ac:dyDescent="0.4">
      <c r="A14" s="38"/>
      <c r="B14" s="38"/>
      <c r="C14" s="38"/>
      <c r="D14" s="38"/>
      <c r="E14" s="38"/>
      <c r="F14" s="38"/>
      <c r="H14" s="20"/>
      <c r="I14" s="20"/>
      <c r="J14" s="20" t="str">
        <f xml:space="preserve"> _xll.EPMOlapMemberO("[KEY_FIGURES].[].[DEMANDPLANNINGQTY]","","Demand Planning Qty","","000")</f>
        <v>Demand Planning Qty</v>
      </c>
      <c r="K14" s="23">
        <v>0</v>
      </c>
      <c r="L14" s="23">
        <v>0</v>
      </c>
      <c r="M14" s="23">
        <v>0</v>
      </c>
      <c r="N14" s="23">
        <v>0</v>
      </c>
      <c r="O14" s="23">
        <v>0</v>
      </c>
      <c r="P14" s="23"/>
      <c r="Q14" s="23"/>
      <c r="R14" s="23"/>
      <c r="S14" s="23"/>
      <c r="T14" s="23"/>
      <c r="U14" s="23"/>
      <c r="V14" s="23"/>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row>
    <row r="15" spans="1:82" x14ac:dyDescent="0.4">
      <c r="A15" s="38"/>
      <c r="B15" s="38"/>
      <c r="C15" s="38"/>
      <c r="D15" s="38"/>
      <c r="E15" s="38"/>
      <c r="F15" s="38"/>
      <c r="H15" s="20"/>
      <c r="I15" s="20"/>
      <c r="J15" s="20" t="str">
        <f xml:space="preserve"> _xll.EPMOlapMemberO("[KEY_FIGURES].[].[ADJDELIVQTY]","","Delivered Qty Adjusted","","000")</f>
        <v>Delivered Qty Adjusted</v>
      </c>
      <c r="K15" s="27"/>
      <c r="L15" s="27"/>
      <c r="M15" s="27"/>
      <c r="N15" s="27"/>
      <c r="O15" s="27"/>
      <c r="P15" s="27"/>
      <c r="Q15" s="27"/>
      <c r="R15" s="27"/>
      <c r="S15" s="27"/>
      <c r="T15" s="27"/>
      <c r="U15" s="27"/>
      <c r="V15" s="27"/>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row>
    <row r="16" spans="1:82" x14ac:dyDescent="0.4">
      <c r="A16" s="38"/>
      <c r="B16" s="38"/>
      <c r="C16" s="38"/>
      <c r="D16" s="38"/>
      <c r="E16" s="38"/>
      <c r="F16" s="38"/>
      <c r="H16" s="20"/>
      <c r="I16" s="20"/>
      <c r="J16" s="20" t="str">
        <f xml:space="preserve"> _xll.EPMOlapMemberO("[KEY_FIGURES].[].[ACTUALSPRICE]","","Actuals Price","","000")</f>
        <v>Actuals Price</v>
      </c>
      <c r="K16" s="23"/>
      <c r="L16" s="23"/>
      <c r="M16" s="23"/>
      <c r="N16" s="23"/>
      <c r="O16" s="23"/>
      <c r="P16" s="23"/>
      <c r="Q16" s="23"/>
      <c r="R16" s="23"/>
      <c r="S16" s="23"/>
      <c r="T16" s="23"/>
      <c r="U16" s="23"/>
      <c r="V16" s="23"/>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row>
    <row r="17" spans="1:82" x14ac:dyDescent="0.4">
      <c r="A17" s="38"/>
      <c r="B17" s="38"/>
      <c r="C17" s="38"/>
      <c r="D17" s="38"/>
      <c r="E17" s="38"/>
      <c r="F17" s="38"/>
      <c r="H17" s="20"/>
      <c r="I17" s="20"/>
      <c r="J17" s="20" t="str">
        <f xml:space="preserve"> _xll.EPMOlapMemberO("[KEY_FIGURES].[].[ACTUALSREV]","","Actuals Revenue","","000")</f>
        <v>Actuals Revenue</v>
      </c>
      <c r="K17" s="27"/>
      <c r="L17" s="27"/>
      <c r="M17" s="27"/>
      <c r="N17" s="27"/>
      <c r="O17" s="27"/>
      <c r="P17" s="27"/>
      <c r="Q17" s="27"/>
      <c r="R17" s="27"/>
      <c r="S17" s="27"/>
      <c r="T17" s="27"/>
      <c r="U17" s="27"/>
      <c r="V17" s="27"/>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row>
    <row r="18" spans="1:82" x14ac:dyDescent="0.4">
      <c r="A18" s="38"/>
      <c r="B18" s="38"/>
      <c r="C18" s="38"/>
      <c r="D18" s="38"/>
      <c r="E18" s="38"/>
      <c r="F18" s="38"/>
      <c r="H18" s="20"/>
      <c r="I18" s="20"/>
      <c r="J18" s="20" t="str">
        <f xml:space="preserve"> _xll.EPMOlapMemberO("[KEY_FIGURES].[].[RBCALCULATEDNEGATIV]","","Calculated Stored Negativ","","000")</f>
        <v>Calculated Stored Negativ</v>
      </c>
      <c r="K18" s="27"/>
      <c r="L18" s="27"/>
      <c r="M18" s="27"/>
      <c r="N18" s="27"/>
      <c r="O18" s="27"/>
      <c r="P18" s="27"/>
      <c r="Q18" s="27"/>
      <c r="R18" s="27"/>
      <c r="S18" s="27"/>
      <c r="T18" s="27"/>
      <c r="U18" s="27"/>
      <c r="V18" s="27"/>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row>
    <row r="19" spans="1:82" x14ac:dyDescent="0.4">
      <c r="A19" s="38"/>
      <c r="B19" s="38"/>
      <c r="C19" s="38"/>
      <c r="D19" s="38"/>
      <c r="E19" s="38"/>
      <c r="F19" s="38"/>
      <c r="H19" s="20"/>
      <c r="I19" s="20"/>
      <c r="J19" s="20" t="str">
        <f xml:space="preserve"> _xll.EPMOlapMemberO("[KEY_FIGURES].[].[CONSENSUSDEMANDREV]","","Consensus Demand Plan Revenue","","000")</f>
        <v>Consensus Demand Plan Revenue</v>
      </c>
      <c r="K19" s="23"/>
      <c r="L19" s="23"/>
      <c r="M19" s="23"/>
      <c r="N19" s="23"/>
      <c r="O19" s="23"/>
      <c r="P19" s="23"/>
      <c r="Q19" s="23"/>
      <c r="R19" s="23"/>
      <c r="S19" s="23"/>
      <c r="T19" s="23"/>
      <c r="U19" s="23"/>
      <c r="V19" s="23"/>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row>
    <row r="20" spans="1:82" x14ac:dyDescent="0.4">
      <c r="A20" s="38"/>
      <c r="B20" s="38"/>
      <c r="C20" s="38"/>
      <c r="D20" s="38"/>
      <c r="E20" s="38"/>
      <c r="F20" s="38"/>
      <c r="H20" s="20"/>
      <c r="I20" s="20" t="str">
        <f xml:space="preserve"> _xll.EPMOlapMemberO("[LOCID].[].[HD_DC_US_E]","","HD_DC_US_E","","000")</f>
        <v>HD_DC_US_E</v>
      </c>
      <c r="J20" s="20" t="str">
        <f xml:space="preserve"> _xll.EPMOlapMemberO("[KEY_FIGURES].[].[CONSENSUSDEMAND]","","Consensus Demand without Promotion","","000")</f>
        <v>Consensus Demand without Promotion</v>
      </c>
      <c r="K20" s="27"/>
      <c r="L20" s="27"/>
      <c r="M20" s="27"/>
      <c r="N20" s="27"/>
      <c r="O20" s="27"/>
      <c r="P20" s="27"/>
      <c r="Q20" s="27"/>
      <c r="R20" s="27"/>
      <c r="S20" s="27"/>
      <c r="T20" s="27"/>
      <c r="U20" s="27"/>
      <c r="V20" s="27"/>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row>
    <row r="21" spans="1:82" x14ac:dyDescent="0.4">
      <c r="A21" s="38"/>
      <c r="B21" s="38"/>
      <c r="C21" s="38"/>
      <c r="D21" s="38"/>
      <c r="E21" s="38"/>
      <c r="F21" s="38"/>
      <c r="H21" s="20"/>
      <c r="I21" s="20"/>
      <c r="J21" s="20" t="str">
        <f xml:space="preserve"> _xll.EPMOlapMemberO("[KEY_FIGURES].[].[FINALCONSENSUSDEMAND]","","Consensus Demand","","000")</f>
        <v>Consensus Demand</v>
      </c>
      <c r="K21" s="23">
        <v>0</v>
      </c>
      <c r="L21" s="23">
        <v>0</v>
      </c>
      <c r="M21" s="23">
        <v>0</v>
      </c>
      <c r="N21" s="23">
        <v>0</v>
      </c>
      <c r="O21" s="23">
        <v>0</v>
      </c>
      <c r="P21" s="23"/>
      <c r="Q21" s="23"/>
      <c r="R21" s="23"/>
      <c r="S21" s="23"/>
      <c r="T21" s="23"/>
      <c r="U21" s="23"/>
      <c r="V21" s="23"/>
      <c r="X21" s="38"/>
      <c r="Y21" s="38"/>
      <c r="Z21" s="38"/>
      <c r="AA21" s="38"/>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row>
    <row r="22" spans="1:82" x14ac:dyDescent="0.4">
      <c r="A22" s="38"/>
      <c r="B22" s="38"/>
      <c r="C22" s="38"/>
      <c r="D22" s="38"/>
      <c r="E22" s="38"/>
      <c r="F22" s="38"/>
      <c r="H22" s="20"/>
      <c r="I22" s="20"/>
      <c r="J22" s="20" t="str">
        <f xml:space="preserve"> _xll.EPMOlapMemberO("[KEY_FIGURES].[].[DEMANDPLANNINGQTY]","","Demand Planning Qty","","000")</f>
        <v>Demand Planning Qty</v>
      </c>
      <c r="K22" s="23">
        <v>0</v>
      </c>
      <c r="L22" s="23">
        <v>0</v>
      </c>
      <c r="M22" s="23">
        <v>0</v>
      </c>
      <c r="N22" s="23">
        <v>0</v>
      </c>
      <c r="O22" s="23">
        <v>0</v>
      </c>
      <c r="P22" s="23"/>
      <c r="Q22" s="23"/>
      <c r="R22" s="23"/>
      <c r="S22" s="23"/>
      <c r="T22" s="23"/>
      <c r="U22" s="23"/>
      <c r="V22" s="23"/>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row>
    <row r="23" spans="1:82" x14ac:dyDescent="0.4">
      <c r="A23" s="38"/>
      <c r="B23" s="38"/>
      <c r="C23" s="38"/>
      <c r="D23" s="38"/>
      <c r="E23" s="38"/>
      <c r="F23" s="38"/>
      <c r="H23" s="20"/>
      <c r="I23" s="20"/>
      <c r="J23" s="20" t="str">
        <f xml:space="preserve"> _xll.EPMOlapMemberO("[KEY_FIGURES].[].[ADJDELIVQTY]","","Delivered Qty Adjusted","","000")</f>
        <v>Delivered Qty Adjusted</v>
      </c>
      <c r="K23" s="27"/>
      <c r="L23" s="27"/>
      <c r="M23" s="27"/>
      <c r="N23" s="27"/>
      <c r="O23" s="27"/>
      <c r="P23" s="27"/>
      <c r="Q23" s="27"/>
      <c r="R23" s="27"/>
      <c r="S23" s="27"/>
      <c r="T23" s="27"/>
      <c r="U23" s="27"/>
      <c r="V23" s="27"/>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row>
    <row r="24" spans="1:82" x14ac:dyDescent="0.4">
      <c r="A24" s="38"/>
      <c r="B24" s="38"/>
      <c r="C24" s="38"/>
      <c r="D24" s="38"/>
      <c r="E24" s="38"/>
      <c r="F24" s="38"/>
      <c r="H24" s="20"/>
      <c r="I24" s="20"/>
      <c r="J24" s="20" t="str">
        <f xml:space="preserve"> _xll.EPMOlapMemberO("[KEY_FIGURES].[].[ACTUALSPRICE]","","Actuals Price","","000")</f>
        <v>Actuals Price</v>
      </c>
      <c r="K24" s="23"/>
      <c r="L24" s="23"/>
      <c r="M24" s="23"/>
      <c r="N24" s="23"/>
      <c r="O24" s="23"/>
      <c r="P24" s="23"/>
      <c r="Q24" s="23"/>
      <c r="R24" s="23"/>
      <c r="S24" s="23"/>
      <c r="T24" s="23"/>
      <c r="U24" s="23"/>
      <c r="V24" s="23"/>
      <c r="X24" s="38"/>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row>
    <row r="25" spans="1:82" x14ac:dyDescent="0.4">
      <c r="A25" s="38"/>
      <c r="B25" s="38"/>
      <c r="C25" s="38"/>
      <c r="D25" s="38"/>
      <c r="E25" s="38"/>
      <c r="F25" s="38"/>
      <c r="H25" s="20"/>
      <c r="I25" s="20"/>
      <c r="J25" s="20" t="str">
        <f xml:space="preserve"> _xll.EPMOlapMemberO("[KEY_FIGURES].[].[ACTUALSREV]","","Actuals Revenue","","000")</f>
        <v>Actuals Revenue</v>
      </c>
      <c r="K25" s="27"/>
      <c r="L25" s="27"/>
      <c r="M25" s="27"/>
      <c r="N25" s="27"/>
      <c r="O25" s="27"/>
      <c r="P25" s="27"/>
      <c r="Q25" s="27"/>
      <c r="R25" s="27"/>
      <c r="S25" s="27"/>
      <c r="T25" s="27"/>
      <c r="U25" s="27"/>
      <c r="V25" s="27"/>
      <c r="X25" s="38"/>
      <c r="Y25" s="38"/>
      <c r="Z25" s="38"/>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row>
    <row r="26" spans="1:82" x14ac:dyDescent="0.4">
      <c r="A26" s="38"/>
      <c r="B26" s="38"/>
      <c r="C26" s="38"/>
      <c r="D26" s="38"/>
      <c r="E26" s="38"/>
      <c r="F26" s="38"/>
      <c r="H26" s="20"/>
      <c r="I26" s="20"/>
      <c r="J26" s="20" t="str">
        <f xml:space="preserve"> _xll.EPMOlapMemberO("[KEY_FIGURES].[].[RBCALCULATEDNEGATIV]","","Calculated Stored Negativ","","000")</f>
        <v>Calculated Stored Negativ</v>
      </c>
      <c r="K26" s="27"/>
      <c r="L26" s="27"/>
      <c r="M26" s="27"/>
      <c r="N26" s="27"/>
      <c r="O26" s="27"/>
      <c r="P26" s="27"/>
      <c r="Q26" s="27"/>
      <c r="R26" s="27"/>
      <c r="S26" s="27"/>
      <c r="T26" s="27"/>
      <c r="U26" s="27"/>
      <c r="V26" s="27"/>
      <c r="X26" s="38"/>
      <c r="Y26" s="38"/>
      <c r="Z26" s="38"/>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row>
    <row r="27" spans="1:82" x14ac:dyDescent="0.4">
      <c r="A27" s="38"/>
      <c r="B27" s="38"/>
      <c r="C27" s="38"/>
      <c r="D27" s="38"/>
      <c r="E27" s="38"/>
      <c r="F27" s="38"/>
      <c r="H27" s="20"/>
      <c r="I27" s="20"/>
      <c r="J27" s="20" t="str">
        <f xml:space="preserve"> _xll.EPMOlapMemberO("[KEY_FIGURES].[].[CONSENSUSDEMANDREV]","","Consensus Demand Plan Revenue","","000")</f>
        <v>Consensus Demand Plan Revenue</v>
      </c>
      <c r="K27" s="23"/>
      <c r="L27" s="23"/>
      <c r="M27" s="23"/>
      <c r="N27" s="23"/>
      <c r="O27" s="23"/>
      <c r="P27" s="23"/>
      <c r="Q27" s="23"/>
      <c r="R27" s="23"/>
      <c r="S27" s="23"/>
      <c r="T27" s="23"/>
      <c r="U27" s="23"/>
      <c r="V27" s="23"/>
      <c r="X27" s="38"/>
      <c r="Y27" s="38"/>
      <c r="Z27" s="38"/>
      <c r="AA27" s="38"/>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row>
    <row r="28" spans="1:82" x14ac:dyDescent="0.4">
      <c r="A28" s="38"/>
      <c r="B28" s="38"/>
      <c r="C28" s="38"/>
      <c r="D28" s="38"/>
      <c r="E28" s="38"/>
      <c r="F28" s="38"/>
      <c r="H28" s="20"/>
      <c r="I28" s="20" t="str">
        <f xml:space="preserve"> _xll.EPMOlapMemberO("[LOCID].[].[HD_DC_US_W]","","HD_DC_US_W","","000")</f>
        <v>HD_DC_US_W</v>
      </c>
      <c r="J28" s="20" t="str">
        <f xml:space="preserve"> _xll.EPMOlapMemberO("[KEY_FIGURES].[].[CONSENSUSDEMAND]","","Consensus Demand without Promotion","","000")</f>
        <v>Consensus Demand without Promotion</v>
      </c>
      <c r="K28" s="27"/>
      <c r="L28" s="27"/>
      <c r="M28" s="27"/>
      <c r="N28" s="27"/>
      <c r="O28" s="27"/>
      <c r="P28" s="27"/>
      <c r="Q28" s="27"/>
      <c r="R28" s="27"/>
      <c r="S28" s="27"/>
      <c r="T28" s="27"/>
      <c r="U28" s="27"/>
      <c r="V28" s="27"/>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row>
    <row r="29" spans="1:82" x14ac:dyDescent="0.4">
      <c r="A29" s="38"/>
      <c r="B29" s="38"/>
      <c r="C29" s="38"/>
      <c r="D29" s="38"/>
      <c r="E29" s="38"/>
      <c r="F29" s="38"/>
      <c r="H29" s="20"/>
      <c r="I29" s="20"/>
      <c r="J29" s="20" t="str">
        <f xml:space="preserve"> _xll.EPMOlapMemberO("[KEY_FIGURES].[].[FINALCONSENSUSDEMAND]","","Consensus Demand","","000")</f>
        <v>Consensus Demand</v>
      </c>
      <c r="K29" s="23">
        <v>0</v>
      </c>
      <c r="L29" s="23">
        <v>0</v>
      </c>
      <c r="M29" s="23">
        <v>0</v>
      </c>
      <c r="N29" s="23">
        <v>0</v>
      </c>
      <c r="O29" s="23">
        <v>0</v>
      </c>
      <c r="P29" s="23"/>
      <c r="Q29" s="23"/>
      <c r="R29" s="23"/>
      <c r="S29" s="23"/>
      <c r="T29" s="23"/>
      <c r="U29" s="23"/>
      <c r="V29" s="23"/>
      <c r="X29" s="38"/>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row>
    <row r="30" spans="1:82" x14ac:dyDescent="0.4">
      <c r="A30" s="38"/>
      <c r="B30" s="38"/>
      <c r="C30" s="38"/>
      <c r="D30" s="38"/>
      <c r="E30" s="38"/>
      <c r="F30" s="38"/>
      <c r="H30" s="20"/>
      <c r="I30" s="20"/>
      <c r="J30" s="20" t="str">
        <f xml:space="preserve"> _xll.EPMOlapMemberO("[KEY_FIGURES].[].[DEMANDPLANNINGQTY]","","Demand Planning Qty","","000")</f>
        <v>Demand Planning Qty</v>
      </c>
      <c r="K30" s="23">
        <v>0</v>
      </c>
      <c r="L30" s="23">
        <v>0</v>
      </c>
      <c r="M30" s="23">
        <v>0</v>
      </c>
      <c r="N30" s="23">
        <v>0</v>
      </c>
      <c r="O30" s="23">
        <v>0</v>
      </c>
      <c r="P30" s="23"/>
      <c r="Q30" s="23"/>
      <c r="R30" s="23"/>
      <c r="S30" s="23"/>
      <c r="T30" s="23"/>
      <c r="U30" s="23"/>
      <c r="V30" s="23"/>
      <c r="X30" s="38"/>
      <c r="Y30" s="38"/>
      <c r="Z30" s="38"/>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row>
    <row r="31" spans="1:82" x14ac:dyDescent="0.4">
      <c r="A31" s="38"/>
      <c r="B31" s="38"/>
      <c r="C31" s="38"/>
      <c r="D31" s="38"/>
      <c r="E31" s="38"/>
      <c r="F31" s="38"/>
      <c r="H31" s="20"/>
      <c r="I31" s="20"/>
      <c r="J31" s="20" t="str">
        <f xml:space="preserve"> _xll.EPMOlapMemberO("[KEY_FIGURES].[].[ADJDELIVQTY]","","Delivered Qty Adjusted","","000")</f>
        <v>Delivered Qty Adjusted</v>
      </c>
      <c r="K31" s="27"/>
      <c r="L31" s="27"/>
      <c r="M31" s="27"/>
      <c r="N31" s="27"/>
      <c r="O31" s="27"/>
      <c r="P31" s="27"/>
      <c r="Q31" s="27"/>
      <c r="R31" s="27"/>
      <c r="S31" s="27"/>
      <c r="T31" s="27"/>
      <c r="U31" s="27"/>
      <c r="V31" s="27"/>
      <c r="X31" s="38"/>
      <c r="Y31" s="38"/>
      <c r="Z31" s="38"/>
      <c r="AA31" s="38"/>
      <c r="AB31" s="38"/>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row>
    <row r="32" spans="1:82" x14ac:dyDescent="0.4">
      <c r="A32" s="38"/>
      <c r="B32" s="38"/>
      <c r="C32" s="38"/>
      <c r="D32" s="38"/>
      <c r="E32" s="38"/>
      <c r="F32" s="38"/>
      <c r="H32" s="20"/>
      <c r="I32" s="20"/>
      <c r="J32" s="20" t="str">
        <f xml:space="preserve"> _xll.EPMOlapMemberO("[KEY_FIGURES].[].[ACTUALSPRICE]","","Actuals Price","","000")</f>
        <v>Actuals Price</v>
      </c>
      <c r="K32" s="23"/>
      <c r="L32" s="23"/>
      <c r="M32" s="23"/>
      <c r="N32" s="23"/>
      <c r="O32" s="23"/>
      <c r="P32" s="23"/>
      <c r="Q32" s="23"/>
      <c r="R32" s="23"/>
      <c r="S32" s="23"/>
      <c r="T32" s="23"/>
      <c r="U32" s="23"/>
      <c r="V32" s="23"/>
      <c r="X32" s="38"/>
      <c r="Y32" s="38"/>
      <c r="Z32" s="38"/>
      <c r="AA32" s="38"/>
      <c r="AB32" s="38"/>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row>
    <row r="33" spans="1:82" x14ac:dyDescent="0.4">
      <c r="A33" s="38"/>
      <c r="B33" s="38"/>
      <c r="C33" s="38"/>
      <c r="D33" s="38"/>
      <c r="E33" s="38"/>
      <c r="F33" s="38"/>
      <c r="H33" s="20"/>
      <c r="I33" s="20"/>
      <c r="J33" s="20" t="str">
        <f xml:space="preserve"> _xll.EPMOlapMemberO("[KEY_FIGURES].[].[ACTUALSREV]","","Actuals Revenue","","000")</f>
        <v>Actuals Revenue</v>
      </c>
      <c r="K33" s="27"/>
      <c r="L33" s="27"/>
      <c r="M33" s="27"/>
      <c r="N33" s="27"/>
      <c r="O33" s="27"/>
      <c r="P33" s="27"/>
      <c r="Q33" s="27"/>
      <c r="R33" s="27"/>
      <c r="S33" s="27"/>
      <c r="T33" s="27"/>
      <c r="U33" s="27"/>
      <c r="V33" s="27"/>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row>
    <row r="34" spans="1:82" x14ac:dyDescent="0.4">
      <c r="A34" s="38"/>
      <c r="B34" s="38"/>
      <c r="C34" s="38"/>
      <c r="D34" s="38"/>
      <c r="E34" s="38"/>
      <c r="F34" s="38"/>
      <c r="H34" s="20"/>
      <c r="I34" s="20"/>
      <c r="J34" s="20" t="str">
        <f xml:space="preserve"> _xll.EPMOlapMemberO("[KEY_FIGURES].[].[RBCALCULATEDNEGATIV]","","Calculated Stored Negativ","","000")</f>
        <v>Calculated Stored Negativ</v>
      </c>
      <c r="K34" s="27"/>
      <c r="L34" s="27"/>
      <c r="M34" s="27"/>
      <c r="N34" s="27"/>
      <c r="O34" s="27"/>
      <c r="P34" s="27"/>
      <c r="Q34" s="27"/>
      <c r="R34" s="27"/>
      <c r="S34" s="27"/>
      <c r="T34" s="27"/>
      <c r="U34" s="27"/>
      <c r="V34" s="27"/>
      <c r="X34" s="38"/>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row>
    <row r="35" spans="1:82" x14ac:dyDescent="0.4">
      <c r="A35" s="38"/>
      <c r="B35" s="38"/>
      <c r="C35" s="38"/>
      <c r="D35" s="38"/>
      <c r="E35" s="38"/>
      <c r="F35" s="38"/>
      <c r="H35" s="20"/>
      <c r="I35" s="20"/>
      <c r="J35" s="20" t="str">
        <f xml:space="preserve"> _xll.EPMOlapMemberO("[KEY_FIGURES].[].[CONSENSUSDEMANDREV]","","Consensus Demand Plan Revenue","","000")</f>
        <v>Consensus Demand Plan Revenue</v>
      </c>
      <c r="K35" s="23"/>
      <c r="L35" s="23"/>
      <c r="M35" s="23"/>
      <c r="N35" s="23"/>
      <c r="O35" s="23"/>
      <c r="P35" s="23"/>
      <c r="Q35" s="23"/>
      <c r="R35" s="23"/>
      <c r="S35" s="23"/>
      <c r="T35" s="23"/>
      <c r="U35" s="23"/>
      <c r="V35" s="23"/>
      <c r="X35" s="38"/>
      <c r="Y35" s="38"/>
      <c r="Z35" s="38"/>
      <c r="AA35" s="38"/>
      <c r="AB35" s="38"/>
      <c r="AC35" s="38"/>
      <c r="AD35" s="38"/>
      <c r="AE35" s="38"/>
      <c r="AF35" s="38"/>
      <c r="AG35" s="38"/>
      <c r="AH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c r="BZ35" s="38"/>
      <c r="CA35" s="38"/>
      <c r="CB35" s="38"/>
      <c r="CC35" s="38"/>
      <c r="CD35" s="38"/>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11282" r:id="rId7" name="AnalyzerDynReportDC000tb1">
          <controlPr defaultSize="0" autoLine="0" r:id="rId8">
            <anchor moveWithCells="1">
              <from>
                <xdr:col>10</xdr:col>
                <xdr:colOff>0</xdr:colOff>
                <xdr:row>3</xdr:row>
                <xdr:rowOff>0</xdr:rowOff>
              </from>
              <to>
                <xdr:col>11</xdr:col>
                <xdr:colOff>288471</xdr:colOff>
                <xdr:row>3</xdr:row>
                <xdr:rowOff>10886</xdr:rowOff>
              </to>
            </anchor>
          </controlPr>
        </control>
      </mc:Choice>
      <mc:Fallback>
        <control shapeId="11282" r:id="rId7" name="AnalyzerDynReportDC000tb1"/>
      </mc:Fallback>
    </mc:AlternateContent>
    <mc:AlternateContent xmlns:mc="http://schemas.openxmlformats.org/markup-compatibility/2006">
      <mc:Choice Requires="x14">
        <control shapeId="11281" r:id="rId9" name="AnalyzerDynReportHC000tb1">
          <controlPr defaultSize="0" autoLine="0" r:id="rId10">
            <anchor moveWithCells="1">
              <from>
                <xdr:col>10</xdr:col>
                <xdr:colOff>0</xdr:colOff>
                <xdr:row>3</xdr:row>
                <xdr:rowOff>0</xdr:rowOff>
              </from>
              <to>
                <xdr:col>11</xdr:col>
                <xdr:colOff>288471</xdr:colOff>
                <xdr:row>3</xdr:row>
                <xdr:rowOff>10886</xdr:rowOff>
              </to>
            </anchor>
          </controlPr>
        </control>
      </mc:Choice>
      <mc:Fallback>
        <control shapeId="11281" r:id="rId9" name="AnalyzerDynReportHC000tb1"/>
      </mc:Fallback>
    </mc:AlternateContent>
    <mc:AlternateContent xmlns:mc="http://schemas.openxmlformats.org/markup-compatibility/2006">
      <mc:Choice Requires="x14">
        <control shapeId="11280" r:id="rId11" name="ReportSubmitControl_1DCtb1">
          <controlPr defaultSize="0" autoLine="0" r:id="rId12">
            <anchor moveWithCells="1">
              <from>
                <xdr:col>10</xdr:col>
                <xdr:colOff>0</xdr:colOff>
                <xdr:row>3</xdr:row>
                <xdr:rowOff>0</xdr:rowOff>
              </from>
              <to>
                <xdr:col>11</xdr:col>
                <xdr:colOff>288471</xdr:colOff>
                <xdr:row>3</xdr:row>
                <xdr:rowOff>10886</xdr:rowOff>
              </to>
            </anchor>
          </controlPr>
        </control>
      </mc:Choice>
      <mc:Fallback>
        <control shapeId="11280" r:id="rId11" name="ReportSubmitControl_1DCtb1"/>
      </mc:Fallback>
    </mc:AlternateContent>
    <mc:AlternateContent xmlns:mc="http://schemas.openxmlformats.org/markup-compatibility/2006">
      <mc:Choice Requires="x14">
        <control shapeId="11279" r:id="rId13" name="ReportSubmitControl_1HCtb1">
          <controlPr defaultSize="0" autoLine="0" r:id="rId14">
            <anchor moveWithCells="1">
              <from>
                <xdr:col>10</xdr:col>
                <xdr:colOff>0</xdr:colOff>
                <xdr:row>3</xdr:row>
                <xdr:rowOff>0</xdr:rowOff>
              </from>
              <to>
                <xdr:col>11</xdr:col>
                <xdr:colOff>288471</xdr:colOff>
                <xdr:row>3</xdr:row>
                <xdr:rowOff>10886</xdr:rowOff>
              </to>
            </anchor>
          </controlPr>
        </control>
      </mc:Choice>
      <mc:Fallback>
        <control shapeId="11279" r:id="rId13" name="ReportSubmitControl_1HCtb1"/>
      </mc:Fallback>
    </mc:AlternateContent>
    <mc:AlternateContent xmlns:mc="http://schemas.openxmlformats.org/markup-compatibility/2006">
      <mc:Choice Requires="x14">
        <control shapeId="11278" r:id="rId15" name="ReportSubmitManagerControlDCtb1">
          <controlPr defaultSize="0" autoLine="0" r:id="rId16">
            <anchor moveWithCells="1">
              <from>
                <xdr:col>10</xdr:col>
                <xdr:colOff>0</xdr:colOff>
                <xdr:row>3</xdr:row>
                <xdr:rowOff>0</xdr:rowOff>
              </from>
              <to>
                <xdr:col>11</xdr:col>
                <xdr:colOff>288471</xdr:colOff>
                <xdr:row>3</xdr:row>
                <xdr:rowOff>10886</xdr:rowOff>
              </to>
            </anchor>
          </controlPr>
        </control>
      </mc:Choice>
      <mc:Fallback>
        <control shapeId="11278" r:id="rId15" name="ReportSubmitManagerControlDCtb1"/>
      </mc:Fallback>
    </mc:AlternateContent>
    <mc:AlternateContent xmlns:mc="http://schemas.openxmlformats.org/markup-compatibility/2006">
      <mc:Choice Requires="x14">
        <control shapeId="11277" r:id="rId17" name="ReportSubmitManagerControlHCtb1">
          <controlPr defaultSize="0" autoLine="0" r:id="rId18">
            <anchor moveWithCells="1">
              <from>
                <xdr:col>10</xdr:col>
                <xdr:colOff>0</xdr:colOff>
                <xdr:row>3</xdr:row>
                <xdr:rowOff>0</xdr:rowOff>
              </from>
              <to>
                <xdr:col>11</xdr:col>
                <xdr:colOff>288471</xdr:colOff>
                <xdr:row>3</xdr:row>
                <xdr:rowOff>10886</xdr:rowOff>
              </to>
            </anchor>
          </controlPr>
        </control>
      </mc:Choice>
      <mc:Fallback>
        <control shapeId="11277" r:id="rId17" name="ReportSubmitManagerControlHCtb1"/>
      </mc:Fallback>
    </mc:AlternateContent>
    <mc:AlternateContent xmlns:mc="http://schemas.openxmlformats.org/markup-compatibility/2006">
      <mc:Choice Requires="x14">
        <control shapeId="11276" r:id="rId19" name="MultipleReportManagerInfoDCtb1">
          <controlPr defaultSize="0" autoLine="0" r:id="rId20">
            <anchor moveWithCells="1">
              <from>
                <xdr:col>10</xdr:col>
                <xdr:colOff>0</xdr:colOff>
                <xdr:row>3</xdr:row>
                <xdr:rowOff>0</xdr:rowOff>
              </from>
              <to>
                <xdr:col>11</xdr:col>
                <xdr:colOff>288471</xdr:colOff>
                <xdr:row>3</xdr:row>
                <xdr:rowOff>10886</xdr:rowOff>
              </to>
            </anchor>
          </controlPr>
        </control>
      </mc:Choice>
      <mc:Fallback>
        <control shapeId="11276" r:id="rId19" name="MultipleReportManagerInfoDCtb1"/>
      </mc:Fallback>
    </mc:AlternateContent>
    <mc:AlternateContent xmlns:mc="http://schemas.openxmlformats.org/markup-compatibility/2006">
      <mc:Choice Requires="x14">
        <control shapeId="11275" r:id="rId21" name="MultipleReportManagerInfoHCtb1">
          <controlPr defaultSize="0" autoLine="0" r:id="rId22">
            <anchor moveWithCells="1">
              <from>
                <xdr:col>10</xdr:col>
                <xdr:colOff>0</xdr:colOff>
                <xdr:row>3</xdr:row>
                <xdr:rowOff>0</xdr:rowOff>
              </from>
              <to>
                <xdr:col>11</xdr:col>
                <xdr:colOff>288471</xdr:colOff>
                <xdr:row>3</xdr:row>
                <xdr:rowOff>10886</xdr:rowOff>
              </to>
            </anchor>
          </controlPr>
        </control>
      </mc:Choice>
      <mc:Fallback>
        <control shapeId="11275" r:id="rId21" name="MultipleReportManagerInfoHCtb1"/>
      </mc:Fallback>
    </mc:AlternateContent>
    <mc:AlternateContent xmlns:mc="http://schemas.openxmlformats.org/markup-compatibility/2006">
      <mc:Choice Requires="x14">
        <control shapeId="11274" r:id="rId23" name="ConnectionDescriptorsInfoDCtb1">
          <controlPr defaultSize="0" autoLine="0" r:id="rId24">
            <anchor moveWithCells="1">
              <from>
                <xdr:col>10</xdr:col>
                <xdr:colOff>0</xdr:colOff>
                <xdr:row>3</xdr:row>
                <xdr:rowOff>0</xdr:rowOff>
              </from>
              <to>
                <xdr:col>11</xdr:col>
                <xdr:colOff>288471</xdr:colOff>
                <xdr:row>3</xdr:row>
                <xdr:rowOff>10886</xdr:rowOff>
              </to>
            </anchor>
          </controlPr>
        </control>
      </mc:Choice>
      <mc:Fallback>
        <control shapeId="11274" r:id="rId23" name="ConnectionDescriptorsInfoDCtb1"/>
      </mc:Fallback>
    </mc:AlternateContent>
    <mc:AlternateContent xmlns:mc="http://schemas.openxmlformats.org/markup-compatibility/2006">
      <mc:Choice Requires="x14">
        <control shapeId="11273" r:id="rId25" name="ConnectionDescriptorsInfoHCtb1">
          <controlPr defaultSize="0" autoLine="0" r:id="rId26">
            <anchor moveWithCells="1">
              <from>
                <xdr:col>10</xdr:col>
                <xdr:colOff>0</xdr:colOff>
                <xdr:row>3</xdr:row>
                <xdr:rowOff>0</xdr:rowOff>
              </from>
              <to>
                <xdr:col>11</xdr:col>
                <xdr:colOff>288471</xdr:colOff>
                <xdr:row>3</xdr:row>
                <xdr:rowOff>10886</xdr:rowOff>
              </to>
            </anchor>
          </controlPr>
        </control>
      </mc:Choice>
      <mc:Fallback>
        <control shapeId="11273" r:id="rId25" name="ConnectionDescriptorsInfoHCtb1"/>
      </mc:Fallback>
    </mc:AlternateContent>
    <mc:AlternateContent xmlns:mc="http://schemas.openxmlformats.org/markup-compatibility/2006">
      <mc:Choice Requires="x14">
        <control shapeId="11272" r:id="rId27" name="ReportSubmitControl_1tb1">
          <controlPr defaultSize="0" autoLine="0" r:id="rId28">
            <anchor moveWithCells="1" sizeWithCells="1">
              <from>
                <xdr:col>0</xdr:col>
                <xdr:colOff>0</xdr:colOff>
                <xdr:row>0</xdr:row>
                <xdr:rowOff>0</xdr:rowOff>
              </from>
              <to>
                <xdr:col>6</xdr:col>
                <xdr:colOff>97971</xdr:colOff>
                <xdr:row>0</xdr:row>
                <xdr:rowOff>0</xdr:rowOff>
              </to>
            </anchor>
          </controlPr>
        </control>
      </mc:Choice>
      <mc:Fallback>
        <control shapeId="11272" r:id="rId27" name="ReportSubmitControl_1tb1"/>
      </mc:Fallback>
    </mc:AlternateContent>
    <mc:AlternateContent xmlns:mc="http://schemas.openxmlformats.org/markup-compatibility/2006">
      <mc:Choice Requires="x14">
        <control shapeId="11271" r:id="rId29" name="ReportSubmitManagerControltb1">
          <controlPr defaultSize="0" autoLine="0" r:id="rId30">
            <anchor moveWithCells="1" sizeWithCells="1">
              <from>
                <xdr:col>0</xdr:col>
                <xdr:colOff>0</xdr:colOff>
                <xdr:row>0</xdr:row>
                <xdr:rowOff>0</xdr:rowOff>
              </from>
              <to>
                <xdr:col>6</xdr:col>
                <xdr:colOff>97971</xdr:colOff>
                <xdr:row>0</xdr:row>
                <xdr:rowOff>0</xdr:rowOff>
              </to>
            </anchor>
          </controlPr>
        </control>
      </mc:Choice>
      <mc:Fallback>
        <control shapeId="11271" r:id="rId29" name="ReportSubmitManagerControltb1"/>
      </mc:Fallback>
    </mc:AlternateContent>
    <mc:AlternateContent xmlns:mc="http://schemas.openxmlformats.org/markup-compatibility/2006">
      <mc:Choice Requires="x14">
        <control shapeId="11270" r:id="rId31" name="MultipleReportManagerInfotb1">
          <controlPr defaultSize="0" autoLine="0" r:id="rId32">
            <anchor moveWithCells="1" sizeWithCells="1">
              <from>
                <xdr:col>0</xdr:col>
                <xdr:colOff>0</xdr:colOff>
                <xdr:row>0</xdr:row>
                <xdr:rowOff>0</xdr:rowOff>
              </from>
              <to>
                <xdr:col>6</xdr:col>
                <xdr:colOff>97971</xdr:colOff>
                <xdr:row>0</xdr:row>
                <xdr:rowOff>0</xdr:rowOff>
              </to>
            </anchor>
          </controlPr>
        </control>
      </mc:Choice>
      <mc:Fallback>
        <control shapeId="11270" r:id="rId31" name="MultipleReportManagerInfotb1"/>
      </mc:Fallback>
    </mc:AlternateContent>
    <mc:AlternateContent xmlns:mc="http://schemas.openxmlformats.org/markup-compatibility/2006">
      <mc:Choice Requires="x14">
        <control shapeId="11269" r:id="rId33" name="ConnectionDescriptorsInfotb1">
          <controlPr defaultSize="0" autoLine="0" r:id="rId34">
            <anchor moveWithCells="1" sizeWithCells="1">
              <from>
                <xdr:col>0</xdr:col>
                <xdr:colOff>0</xdr:colOff>
                <xdr:row>0</xdr:row>
                <xdr:rowOff>0</xdr:rowOff>
              </from>
              <to>
                <xdr:col>6</xdr:col>
                <xdr:colOff>97971</xdr:colOff>
                <xdr:row>0</xdr:row>
                <xdr:rowOff>0</xdr:rowOff>
              </to>
            </anchor>
          </controlPr>
        </control>
      </mc:Choice>
      <mc:Fallback>
        <control shapeId="11269" r:id="rId33" name="ConnectionDescriptorsInfotb1"/>
      </mc:Fallback>
    </mc:AlternateContent>
    <mc:AlternateContent xmlns:mc="http://schemas.openxmlformats.org/markup-compatibility/2006">
      <mc:Choice Requires="x14">
        <control shapeId="11268" r:id="rId35" name="AnalyzerDynReport000tb1">
          <controlPr defaultSize="0" autoLine="0" r:id="rId36">
            <anchor moveWithCells="1" sizeWithCells="1">
              <from>
                <xdr:col>0</xdr:col>
                <xdr:colOff>0</xdr:colOff>
                <xdr:row>0</xdr:row>
                <xdr:rowOff>0</xdr:rowOff>
              </from>
              <to>
                <xdr:col>6</xdr:col>
                <xdr:colOff>97971</xdr:colOff>
                <xdr:row>0</xdr:row>
                <xdr:rowOff>0</xdr:rowOff>
              </to>
            </anchor>
          </controlPr>
        </control>
      </mc:Choice>
      <mc:Fallback>
        <control shapeId="11268" r:id="rId35" name="AnalyzerDynReport000tb1"/>
      </mc:Fallback>
    </mc:AlternateContent>
    <mc:AlternateContent xmlns:mc="http://schemas.openxmlformats.org/markup-compatibility/2006">
      <mc:Choice Requires="x14">
        <control shapeId="11267" r:id="rId37" name="TextBox2">
          <controlPr defaultSize="0" disabled="1" autoLine="0" r:id="rId38">
            <anchor>
              <from>
                <xdr:col>8</xdr:col>
                <xdr:colOff>631371</xdr:colOff>
                <xdr:row>2</xdr:row>
                <xdr:rowOff>152400</xdr:rowOff>
              </from>
              <to>
                <xdr:col>8</xdr:col>
                <xdr:colOff>642257</xdr:colOff>
                <xdr:row>2</xdr:row>
                <xdr:rowOff>163286</xdr:rowOff>
              </to>
            </anchor>
          </controlPr>
        </control>
      </mc:Choice>
      <mc:Fallback>
        <control shapeId="11267" r:id="rId37" name="TextBox2"/>
      </mc:Fallback>
    </mc:AlternateContent>
    <mc:AlternateContent xmlns:mc="http://schemas.openxmlformats.org/markup-compatibility/2006">
      <mc:Choice Requires="x14">
        <control shapeId="11265" r:id="rId39" name="FPMExcelClientSheetOptionstb1">
          <controlPr defaultSize="0" autoLine="0" r:id="rId40">
            <anchor moveWithCells="1" sizeWithCells="1">
              <from>
                <xdr:col>0</xdr:col>
                <xdr:colOff>0</xdr:colOff>
                <xdr:row>0</xdr:row>
                <xdr:rowOff>0</xdr:rowOff>
              </from>
              <to>
                <xdr:col>0</xdr:col>
                <xdr:colOff>0</xdr:colOff>
                <xdr:row>0</xdr:row>
                <xdr:rowOff>0</xdr:rowOff>
              </to>
            </anchor>
          </controlPr>
        </control>
      </mc:Choice>
      <mc:Fallback>
        <control shapeId="11265" r:id="rId39"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Main and Details for KFs</favorite>
  <bookSettings xmlns="">
    <scenarios>
      <value>__BASELINE</value>
    </scenarios>
    <simulations>
      <value>__PLAN</value>
    </simulations>
    <planningUnits>
      <planningVersion>__BASELINE</planningVersion>
      <planningScenario>__PLAN</planningScenario>
      <timeRelativeFromDays>0</timeRelativeFromDays>
      <timeRelativeToDays>695</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planningLevels>
      <keyFigures>
        <value>CONSENSUSDEMAND</value>
        <value>DEMANDPLANNINGQTY</value>
        <value>FINALCONSENSUSDEMAND</value>
      </keyFigures>
      <conversions>
        <conversion>
          <dimension>CURRTOID</dimension>
          <member>EUR</member>
        </conversion>
        <conversion>
          <dimension>UOMTOID</dimension>
          <member>PC</member>
        </conversion>
      </conversions>
      <rowAxis>
        <value>PRDID</value>
        <value>KEY_FIGURES</value>
      </rowAxis>
      <columnAxis>
        <value>PERIODID3</value>
      </columnAxis>
      <alerts/>
      <dimsDispOptnId>
        <value>LOCID</value>
        <value>CUSTID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s>
    </settings>
    <filter>
      <name>test</name>
      <id>2271616</id>
      <conditions>
        <condition>
          <dimension>CUSTID</dimension>
          <operator>NE</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2>
  <report_Sheet5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FINALCONSENSUSDEMAND</value>
        <value>DEMANDPLANNINGQTY</value>
        <value>ADJDELIVQTY</value>
        <value>ACTUALSPRICE</value>
        <value>ACTUALSREV</value>
        <value>RBCALCULATEDNEGATIV</value>
        <value>CONSENSUSDEMANDREV</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CUSTID</value>
        <value>LOCID</value>
      </dimsDispOptnId>
      <dimsDispOptnBoth>
        <value>CUSTID</value>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HT_003</value>
          </values>
          <relations/>
        </condition>
        <condition>
          <dimension>CUSTID</dimension>
          <operator>NE</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5>
  <report_Sheet6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FINALCONSENSUSDEMAND</value>
        <value>DEMANDPLANNINGQTY</value>
        <value>ADJDELIVQTY</value>
        <value>ACTUALSPRICE</value>
        <value>ACTUALSREV</value>
        <value>RBCALCULATEDNEGATIV</value>
        <value>CONSENSUSDEMANDREV</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CUSTID</value>
        <value>LOCID</value>
      </dimsDispOptnId>
      <dimsDispOptnBoth>
        <value>CUSTID</value>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HT_003</value>
          </values>
          <relations/>
        </condition>
        <condition>
          <dimension>CUSTID</dimension>
          <operator>NE</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6>
</config>
</file>

<file path=customXml/itemProps1.xml><?xml version="1.0" encoding="utf-8"?>
<ds:datastoreItem xmlns:ds="http://schemas.openxmlformats.org/officeDocument/2006/customXml" ds:itemID="{CFD5673E-5F34-485D-966E-DE8138F0BE72}">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4</vt:i4>
      </vt:variant>
    </vt:vector>
  </HeadingPairs>
  <TitlesOfParts>
    <vt:vector size="4" baseType="lpstr">
      <vt:lpstr>IBPFormattingSheet</vt:lpstr>
      <vt:lpstr>Main</vt:lpstr>
      <vt:lpstr>DEMANDPLANNINGQTY</vt:lpstr>
      <vt:lpstr>CONSENSUSDEMAND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2023-08-16T11:32:18Z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2b11f830-cff2-461c-bc3c-9163d7c5120a</vt:lpwstr>
  </property>
</Properties>
</file>