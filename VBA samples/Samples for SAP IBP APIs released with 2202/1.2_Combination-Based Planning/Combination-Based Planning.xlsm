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2_Combination-based Planning/"/>
    </mc:Choice>
  </mc:AlternateContent>
  <xr:revisionPtr revIDLastSave="122" documentId="8_{8BC2BD13-B3AC-458C-A1AC-31085DF971DF}" xr6:coauthVersionLast="46" xr6:coauthVersionMax="46" xr10:uidLastSave="{EE08EDA8-FDA7-41D8-9445-98756C735D80}"/>
  <bookViews>
    <workbookView xWindow="-37520" yWindow="-2950" windowWidth="28800" windowHeight="15410" tabRatio="374" firstSheet="1" activeTab="1" xr2:uid="{00000000-000D-0000-FFFF-FFFF00000000}"/>
  </bookViews>
  <sheets>
    <sheet name="IBPFormattingSheet" sheetId="7" state="hidden" r:id="rId1"/>
    <sheet name="Planning" sheetId="5" r:id="rId2"/>
    <sheet name="List"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List!$H$3:$V$3</definedName>
    <definedName name="_xlnm._FilterDatabase" localSheetId="1" hidden="1">Planning!$H$4:$V$4</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"Combination-based Planning"</definedName>
    <definedName name="SOP_Filter" localSheetId="2">{"Product ID = HT_001; HT_002; HT_003; HT_004; HT_005"}</definedName>
    <definedName name="SOP_Filter" localSheetId="1">{"Product ID = HT_002","Location ID = HD_DC_CA_E"}</definedName>
    <definedName name="SOP_Filter">{" "}</definedName>
    <definedName name="SOP_Filter_Criteria_Count" localSheetId="2">1</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"Location ID"</definedName>
    <definedName name="SOP_Heading3" localSheetId="2">"Product ID"</definedName>
    <definedName name="SOP_Heading3" localSheetId="1">"Product ID"</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"SAP6"</definedName>
    <definedName name="SOP_Planning_Scope">"18.02.2022 - 31.12.2023 | Baseline | Base Version"</definedName>
    <definedName name="SOP_Refresh_Timestamp">44610.4958796296</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"template name"</definedName>
    <definedName name="SOP_UOMToID" localSheetId="2">"PC"</definedName>
    <definedName name="SOP_UOMToID" localSheetId="1">"PC"</definedName>
    <definedName name="SOP_Value_Based_Filter" localSheetId="2">{"Consensus Demand without Promotion is empty in at least one period from FEB 2021 to APR 2021."}</definedName>
    <definedName name="SOP_Value_Based_Filter" localSheetId="1">{" "}</definedName>
    <definedName name="SOP_Value_Based_Filter_Name" localSheetId="2">"(Ad Hoc Filter)"</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 i="5" l="1"/>
  <c r="H5" i="5"/>
  <c r="I5" i="5"/>
  <c r="J5" i="5"/>
  <c r="I7" i="9"/>
  <c r="I12" i="9"/>
  <c r="J5" i="9"/>
  <c r="J19" i="9"/>
  <c r="L3" i="9"/>
  <c r="I19" i="9"/>
  <c r="I16" i="9"/>
  <c r="J10" i="9"/>
  <c r="R3" i="9"/>
  <c r="O3" i="9"/>
  <c r="J15" i="9"/>
  <c r="U3" i="9"/>
  <c r="I17" i="9"/>
  <c r="H16" i="9"/>
  <c r="I11" i="9"/>
  <c r="J11" i="9"/>
  <c r="J8" i="9"/>
  <c r="K3" i="9"/>
  <c r="I9" i="9"/>
  <c r="T3" i="9"/>
  <c r="M3" i="9"/>
  <c r="J7" i="9"/>
  <c r="J14" i="9"/>
  <c r="Q3" i="9"/>
  <c r="P3" i="9"/>
  <c r="J9" i="9"/>
  <c r="H4" i="9"/>
  <c r="J17" i="9"/>
  <c r="I6" i="9"/>
  <c r="I18" i="9"/>
  <c r="I5" i="9"/>
  <c r="I4" i="9"/>
  <c r="V3" i="9"/>
  <c r="J18" i="9"/>
  <c r="N3" i="9"/>
  <c r="I13" i="9"/>
  <c r="J4" i="9"/>
  <c r="J12" i="9"/>
  <c r="I15" i="9"/>
  <c r="J13" i="9"/>
  <c r="J16" i="9"/>
  <c r="I14" i="9"/>
  <c r="H8" i="9"/>
  <c r="H12" i="9"/>
  <c r="S3" i="9"/>
  <c r="I10" i="9"/>
  <c r="I8" i="9"/>
  <c r="J6" i="9"/>
  <c r="Q4" i="5"/>
  <c r="L4" i="5"/>
  <c r="J6" i="5"/>
  <c r="M4" i="5"/>
  <c r="S4" i="5"/>
  <c r="K4" i="5"/>
  <c r="T4" i="5"/>
  <c r="R4" i="5"/>
  <c r="J7" i="5"/>
  <c r="N4" i="5"/>
  <c r="V4" i="5"/>
  <c r="U4" i="5"/>
  <c r="O4" i="5"/>
  <c r="J8" i="5"/>
  <c r="P4" i="5"/>
  <c r="J3" i="9" l="1"/>
  <c r="H3" i="9"/>
  <c r="I3" i="9"/>
  <c r="A3" i="9"/>
  <c r="B3" i="9"/>
  <c r="C3" i="9"/>
  <c r="D3" i="9"/>
  <c r="E3" i="9"/>
  <c r="F3" i="9"/>
  <c r="G3" i="9"/>
  <c r="A2" i="9"/>
  <c r="K2" i="9"/>
  <c r="K1" i="9"/>
  <c r="J4" i="5"/>
  <c r="H4" i="5"/>
  <c r="I4" i="5"/>
  <c r="A4" i="5"/>
  <c r="B4" i="5"/>
  <c r="C4" i="5"/>
  <c r="D4" i="5"/>
  <c r="E4" i="5"/>
  <c r="F4" i="5"/>
  <c r="G4" i="5"/>
  <c r="A2" i="5"/>
  <c r="K2" i="5"/>
  <c r="K1" i="5"/>
  <c r="Q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<sst xmlns="http://schemas.openxmlformats.org/spreadsheetml/2006/main" count="105" uniqueCount="32">
  <si>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</si>
  <si>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</si>
  <si>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</si>
  <si>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</si>
  <si>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</si>
  <si>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</si>
  <si>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</si>
  <si>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</si>
  <si>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</si>
  <si>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</si>
  <si>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</si>
  <si>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</si>
  <si>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</si>
  <si>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</si>
  <si>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</si>
  <si>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</si>
  <si>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</si>
  <si>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</si>
  <si>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</si>
  <si>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</si>
  <si>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</si>
  <si>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</si>
  <si>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</si>
  <si>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</si>
  <si>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</si>
  <si>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</si>
  <si>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</si>
  <si>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</si>
  <si>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</si>
  <si>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</si>
  <si>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</si>
  <si>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 xml:space="preserve">Integrated Business Planning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</si>
</sst>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8" borderId="0" applyNumberFormat="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5" fillId="10" borderId="0" xfId="0" applyFont="1" applyFill="1" applyBorder="1"/>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2"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10" borderId="0" xfId="0" applyFont="1" applyFill="1" applyBorder="1" applyAlignment="1" applyProtection="1">
      <alignment horizontal="right" vertical="center"/>
    </xf>
    <xf numFmtId="0" fontId="12" fillId="10" borderId="0" xfId="0" applyFont="1" applyFill="1" applyBorder="1" applyAlignment="1" applyProtection="1">
      <alignment horizontal="left" vertical="center"/>
    </xf>
    <xf numFmtId="0" fontId="15" fillId="10" borderId="0" xfId="0" applyFont="1" applyFill="1" applyProtection="1"/>
    <xf numFmtId="0" fontId="15" fillId="10" borderId="0" xfId="0" applyFont="1" applyFill="1" applyBorder="1" applyProtection="1"/>
    <xf numFmtId="0" fontId="15" fillId="10" borderId="0" xfId="1" applyFont="1" applyFill="1" applyBorder="1" applyAlignment="1" applyProtection="1"/>
    <xf numFmtId="0" fontId="0" fillId="6" borderId="0" xfId="0" applyFill="1" applyProtection="1"/>
    <xf numFmtId="0" fontId="0" fillId="0" borderId="0" xfId="0" applyProtection="1"/>
    <xf numFmtId="0" fontId="12" fillId="11" borderId="0" xfId="0" applyFont="1" applyFill="1" applyProtection="1"/>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0" fillId="6" borderId="0" xfId="0" applyFill="1" applyAlignment="1" applyProtection="1">
      <alignment horizontal="left" vertical="top" wrapText="1"/>
    </xf>
    <xf numFmtId="0" fontId="19" fillId="10" borderId="0" xfId="0" quotePrefix="1" applyFont="1" applyFill="1" applyBorder="1" applyAlignment="1" applyProtection="1">
      <alignment horizontal="left" vertical="top" wrapText="1" indent="5"/>
    </xf>
    <xf numFmtId="0" fontId="19" fillId="10" borderId="0" xfId="0" quotePrefix="1" applyFont="1" applyFill="1" applyBorder="1" applyAlignment="1" applyProtection="1">
      <alignment horizontal="left" vertical="top" indent="5"/>
    </xf>
    <xf numFmtId="0" fontId="20" fillId="10" borderId="0" xfId="0" applyFont="1" applyFill="1" applyBorder="1" applyAlignment="1" applyProtection="1">
      <alignment horizontal="left" vertical="center"/>
    </xf>
    <xf numFmtId="0" fontId="21" fillId="10" borderId="0" xfId="0" applyFont="1" applyFill="1" applyBorder="1" applyAlignment="1" applyProtection="1">
      <alignment horizontal="right" vertical="top" wrapText="1"/>
    </xf>
    <xf numFmtId="0" fontId="22" fillId="10" borderId="0" xfId="0" quotePrefix="1" applyFont="1" applyFill="1" applyBorder="1" applyAlignment="1" applyProtection="1">
      <alignment horizontal="left" vertical="top" wrapText="1" indent="5"/>
    </xf>
    <xf numFmtId="0" fontId="21" fillId="10"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8.png"/></Relationships>
</file>

<file path=xl/drawings/_rels/drawing3.xml.rels><?xml version="1.0" encoding="UTF-8" standalone="yes"?>
<Relationships xmlns="http://schemas.openxmlformats.org/package/2006/relationships"><Relationship Id="rId1"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15.emf"/><Relationship Id="rId18" Type="http://schemas.openxmlformats.org/officeDocument/2006/relationships/image" Target="../media/image10.emf"/><Relationship Id="rId3" Type="http://schemas.openxmlformats.org/officeDocument/2006/relationships/image" Target="../media/image22.emf"/><Relationship Id="rId21" Type="http://schemas.openxmlformats.org/officeDocument/2006/relationships/image" Target="../media/image7.emf"/><Relationship Id="rId7" Type="http://schemas.openxmlformats.org/officeDocument/2006/relationships/image" Target="../media/image26.emf"/><Relationship Id="rId12" Type="http://schemas.openxmlformats.org/officeDocument/2006/relationships/image" Target="../media/image16.emf"/><Relationship Id="rId17" Type="http://schemas.openxmlformats.org/officeDocument/2006/relationships/image" Target="../media/image11.emf"/><Relationship Id="rId2" Type="http://schemas.openxmlformats.org/officeDocument/2006/relationships/image" Target="../media/image21.emf"/><Relationship Id="rId16" Type="http://schemas.openxmlformats.org/officeDocument/2006/relationships/image" Target="../media/image12.emf"/><Relationship Id="rId20" Type="http://schemas.openxmlformats.org/officeDocument/2006/relationships/image" Target="../media/image8.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24.emf"/><Relationship Id="rId15" Type="http://schemas.openxmlformats.org/officeDocument/2006/relationships/image" Target="../media/image13.emf"/><Relationship Id="rId10" Type="http://schemas.openxmlformats.org/officeDocument/2006/relationships/image" Target="../media/image18.emf"/><Relationship Id="rId19" Type="http://schemas.openxmlformats.org/officeDocument/2006/relationships/image" Target="../media/image9.emf"/><Relationship Id="rId4" Type="http://schemas.openxmlformats.org/officeDocument/2006/relationships/image" Target="../media/image23.emf"/><Relationship Id="rId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31.emf"/><Relationship Id="rId3" Type="http://schemas.openxmlformats.org/officeDocument/2006/relationships/image" Target="../media/image22.emf"/><Relationship Id="rId7" Type="http://schemas.openxmlformats.org/officeDocument/2006/relationships/image" Target="../media/image37.emf"/><Relationship Id="rId12" Type="http://schemas.openxmlformats.org/officeDocument/2006/relationships/image" Target="../media/image32.emf"/><Relationship Id="rId2" Type="http://schemas.openxmlformats.org/officeDocument/2006/relationships/image" Target="../media/image41.emf"/><Relationship Id="rId16" Type="http://schemas.openxmlformats.org/officeDocument/2006/relationships/image" Target="../media/image44.emf"/><Relationship Id="rId1" Type="http://schemas.openxmlformats.org/officeDocument/2006/relationships/image" Target="../media/image42.emf"/><Relationship Id="rId6" Type="http://schemas.openxmlformats.org/officeDocument/2006/relationships/image" Target="../media/image38.emf"/><Relationship Id="rId11" Type="http://schemas.openxmlformats.org/officeDocument/2006/relationships/image" Target="../media/image33.emf"/><Relationship Id="rId5" Type="http://schemas.openxmlformats.org/officeDocument/2006/relationships/image" Target="../media/image39.emf"/><Relationship Id="rId15" Type="http://schemas.openxmlformats.org/officeDocument/2006/relationships/image" Target="../media/image43.emf"/><Relationship Id="rId10" Type="http://schemas.openxmlformats.org/officeDocument/2006/relationships/image" Target="../media/image34.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348343</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348343</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348343</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2</xdr:row>
          <xdr:rowOff>130629</xdr:rowOff>
        </xdr:from>
        <xdr:to>
          <xdr:col>12</xdr:col>
          <xdr:colOff>473529</xdr:colOff>
          <xdr:row>2</xdr:row>
          <xdr:rowOff>549729</xdr:rowOff>
        </xdr:to>
        <xdr:sp macro="" textlink="">
          <xdr:nvSpPr>
            <xdr:cNvPr id="3526" name="RefreshList"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533400</xdr:colOff>
          <xdr:row>2</xdr:row>
          <xdr:rowOff>136071</xdr:rowOff>
        </xdr:from>
        <xdr:to>
          <xdr:col>18</xdr:col>
          <xdr:colOff>157843</xdr:colOff>
          <xdr:row>2</xdr:row>
          <xdr:rowOff>555171</xdr:rowOff>
        </xdr:to>
        <xdr:sp macro="" textlink="">
          <xdr:nvSpPr>
            <xdr:cNvPr id="3527" name="NextItem" hidden="1">
              <a:extLst>
                <a:ext uri="{63B3BB69-23CF-44E3-9099-C40C66FF867C}">
                  <a14:compatExt spid="_x0000_s3527"/>
                </a:ext>
                <a:ext uri="{FF2B5EF4-FFF2-40B4-BE49-F238E27FC236}">
                  <a16:creationId xmlns:a16="http://schemas.microsoft.com/office/drawing/2014/main" id="{00000000-0008-0000-01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517071</xdr:colOff>
          <xdr:row>2</xdr:row>
          <xdr:rowOff>136071</xdr:rowOff>
        </xdr:from>
        <xdr:to>
          <xdr:col>21</xdr:col>
          <xdr:colOff>114300</xdr:colOff>
          <xdr:row>2</xdr:row>
          <xdr:rowOff>555171</xdr:rowOff>
        </xdr:to>
        <xdr:sp macro="" textlink="">
          <xdr:nvSpPr>
            <xdr:cNvPr id="3528" name="SaveAndNext" hidden="1">
              <a:extLst>
                <a:ext uri="{63B3BB69-23CF-44E3-9099-C40C66FF867C}">
                  <a14:compatExt spid="_x0000_s3528"/>
                </a:ext>
                <a:ext uri="{FF2B5EF4-FFF2-40B4-BE49-F238E27FC236}">
                  <a16:creationId xmlns:a16="http://schemas.microsoft.com/office/drawing/2014/main" id="{00000000-0008-0000-0100-0000C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70757</xdr:colOff>
          <xdr:row>2</xdr:row>
          <xdr:rowOff>130629</xdr:rowOff>
        </xdr:from>
        <xdr:to>
          <xdr:col>15</xdr:col>
          <xdr:colOff>250371</xdr:colOff>
          <xdr:row>2</xdr:row>
          <xdr:rowOff>555171</xdr:rowOff>
        </xdr:to>
        <xdr:sp macro="" textlink="">
          <xdr:nvSpPr>
            <xdr:cNvPr id="3561" name="PreviousItem"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2" name="ConnectionDescriptorsInfoHCtb1"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3" name="ConnectionDescriptorsInfoDCtb1" hidden="1">
              <a:extLst>
                <a:ext uri="{63B3BB69-23CF-44E3-9099-C40C66FF867C}">
                  <a14:compatExt spid="_x0000_s3563"/>
                </a:ext>
                <a:ext uri="{FF2B5EF4-FFF2-40B4-BE49-F238E27FC236}">
                  <a16:creationId xmlns:a16="http://schemas.microsoft.com/office/drawing/2014/main" id="{00000000-0008-0000-0100-0000EB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4" name="MultipleReportManagerInfoHCtb1"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5" name="MultipleReportManagerInfoDCtb1" hidden="1">
              <a:extLst>
                <a:ext uri="{63B3BB69-23CF-44E3-9099-C40C66FF867C}">
                  <a14:compatExt spid="_x0000_s3565"/>
                </a:ext>
                <a:ext uri="{FF2B5EF4-FFF2-40B4-BE49-F238E27FC236}">
                  <a16:creationId xmlns:a16="http://schemas.microsoft.com/office/drawing/2014/main" id="{00000000-0008-0000-0100-0000ED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6" name="ReportSubmitManagerControlHCtb1" hidden="1">
              <a:extLst>
                <a:ext uri="{63B3BB69-23CF-44E3-9099-C40C66FF867C}">
                  <a14:compatExt spid="_x0000_s3566"/>
                </a:ext>
                <a:ext uri="{FF2B5EF4-FFF2-40B4-BE49-F238E27FC236}">
                  <a16:creationId xmlns:a16="http://schemas.microsoft.com/office/drawing/2014/main" id="{00000000-0008-0000-0100-0000EE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7" name="ReportSubmitManagerControlDCtb1" hidden="1">
              <a:extLst>
                <a:ext uri="{63B3BB69-23CF-44E3-9099-C40C66FF867C}">
                  <a14:compatExt spid="_x0000_s3567"/>
                </a:ext>
                <a:ext uri="{FF2B5EF4-FFF2-40B4-BE49-F238E27FC236}">
                  <a16:creationId xmlns:a16="http://schemas.microsoft.com/office/drawing/2014/main" id="{00000000-0008-0000-0100-0000EF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8" name="ReportSubmitControl_1HCtb1" hidden="1">
              <a:extLst>
                <a:ext uri="{63B3BB69-23CF-44E3-9099-C40C66FF867C}">
                  <a14:compatExt spid="_x0000_s3568"/>
                </a:ext>
                <a:ext uri="{FF2B5EF4-FFF2-40B4-BE49-F238E27FC236}">
                  <a16:creationId xmlns:a16="http://schemas.microsoft.com/office/drawing/2014/main" id="{00000000-0008-0000-0100-0000F0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9" name="ReportSubmitControl_1DCtb1"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0" name="AnalyzerDynReportHC000tb1" hidden="1">
              <a:extLst>
                <a:ext uri="{63B3BB69-23CF-44E3-9099-C40C66FF867C}">
                  <a14:compatExt spid="_x0000_s3570"/>
                </a:ext>
                <a:ext uri="{FF2B5EF4-FFF2-40B4-BE49-F238E27FC236}">
                  <a16:creationId xmlns:a16="http://schemas.microsoft.com/office/drawing/2014/main" id="{00000000-0008-0000-0100-0000F2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1" name="AnalyzerDynReportDC000tb1" hidden="1">
              <a:extLst>
                <a:ext uri="{63B3BB69-23CF-44E3-9099-C40C66FF867C}">
                  <a14:compatExt spid="_x0000_s3571"/>
                </a:ext>
                <a:ext uri="{FF2B5EF4-FFF2-40B4-BE49-F238E27FC236}">
                  <a16:creationId xmlns:a16="http://schemas.microsoft.com/office/drawing/2014/main" id="{00000000-0008-0000-0100-0000F3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8" name="ConnectionDescriptorsInfoHCtb1" hidden="1">
              <a:extLst>
                <a:ext uri="{63B3BB69-23CF-44E3-9099-C40C66FF867C}">
                  <a14:compatExt spid="_x0000_s9248"/>
                </a:ext>
                <a:ext uri="{FF2B5EF4-FFF2-40B4-BE49-F238E27FC236}">
                  <a16:creationId xmlns:a16="http://schemas.microsoft.com/office/drawing/2014/main" id="{00000000-0008-0000-0200-00002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9" name="ConnectionDescriptorsInfoDCtb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0" name="MultipleReportManagerInfoHCtb1"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1" name="MultipleReportManagerInfoDCtb1"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2" name="ReportSubmitManagerControlHCtb1"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3" name="ReportSubmitManagerControlDCtb1"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4" name="AnalyzerDynReportHC000tb1"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5" name="AnalyzerDynReportDC000tb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5.emf"/><Relationship Id="rId50" Type="http://schemas.openxmlformats.org/officeDocument/2006/relationships/control" Target="../activeX/activeX26.xml"/><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9.xml"/><Relationship Id="rId29" Type="http://schemas.openxmlformats.org/officeDocument/2006/relationships/image" Target="../media/image16.emf"/><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6.emf"/><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control" Target="../activeX/activeX25.xml"/><Relationship Id="rId8" Type="http://schemas.openxmlformats.org/officeDocument/2006/relationships/control" Target="../activeX/activeX5.xml"/><Relationship Id="rId51" Type="http://schemas.openxmlformats.org/officeDocument/2006/relationships/image" Target="../media/image27.emf"/><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ntrol" Target="../activeX/activeX24.xml"/><Relationship Id="rId20" Type="http://schemas.openxmlformats.org/officeDocument/2006/relationships/control" Target="../activeX/activeX11.xml"/><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30.xml"/><Relationship Id="rId18" Type="http://schemas.openxmlformats.org/officeDocument/2006/relationships/image" Target="../media/image35.emf"/><Relationship Id="rId26" Type="http://schemas.openxmlformats.org/officeDocument/2006/relationships/image" Target="../media/image39.emf"/><Relationship Id="rId21" Type="http://schemas.openxmlformats.org/officeDocument/2006/relationships/control" Target="../activeX/activeX34.xml"/><Relationship Id="rId34" Type="http://schemas.openxmlformats.org/officeDocument/2006/relationships/image" Target="../media/image42.emf"/><Relationship Id="rId7" Type="http://schemas.openxmlformats.org/officeDocument/2006/relationships/control" Target="../activeX/activeX27.xml"/><Relationship Id="rId12" Type="http://schemas.openxmlformats.org/officeDocument/2006/relationships/image" Target="../media/image32.emf"/><Relationship Id="rId17" Type="http://schemas.openxmlformats.org/officeDocument/2006/relationships/control" Target="../activeX/activeX32.xml"/><Relationship Id="rId25" Type="http://schemas.openxmlformats.org/officeDocument/2006/relationships/control" Target="../activeX/activeX36.xml"/><Relationship Id="rId33" Type="http://schemas.openxmlformats.org/officeDocument/2006/relationships/control" Target="../activeX/activeX40.xml"/><Relationship Id="rId38" Type="http://schemas.openxmlformats.org/officeDocument/2006/relationships/image" Target="../media/image44.emf"/><Relationship Id="rId2" Type="http://schemas.openxmlformats.org/officeDocument/2006/relationships/customProperty" Target="../customProperty5.bin"/><Relationship Id="rId16" Type="http://schemas.openxmlformats.org/officeDocument/2006/relationships/image" Target="../media/image34.emf"/><Relationship Id="rId20" Type="http://schemas.openxmlformats.org/officeDocument/2006/relationships/image" Target="../media/image36.emf"/><Relationship Id="rId29" Type="http://schemas.openxmlformats.org/officeDocument/2006/relationships/control" Target="../activeX/activeX38.xml"/><Relationship Id="rId1" Type="http://schemas.openxmlformats.org/officeDocument/2006/relationships/printerSettings" Target="../printerSettings/printerSettings3.bin"/><Relationship Id="rId6" Type="http://schemas.openxmlformats.org/officeDocument/2006/relationships/image" Target="../media/image29.png"/><Relationship Id="rId11" Type="http://schemas.openxmlformats.org/officeDocument/2006/relationships/control" Target="../activeX/activeX29.xml"/><Relationship Id="rId24" Type="http://schemas.openxmlformats.org/officeDocument/2006/relationships/image" Target="../media/image38.emf"/><Relationship Id="rId32" Type="http://schemas.openxmlformats.org/officeDocument/2006/relationships/image" Target="../media/image41.emf"/><Relationship Id="rId37" Type="http://schemas.openxmlformats.org/officeDocument/2006/relationships/control" Target="../activeX/activeX42.xml"/><Relationship Id="rId5" Type="http://schemas.openxmlformats.org/officeDocument/2006/relationships/vmlDrawing" Target="../drawings/vmlDrawing3.vml"/><Relationship Id="rId15" Type="http://schemas.openxmlformats.org/officeDocument/2006/relationships/control" Target="../activeX/activeX31.xml"/><Relationship Id="rId23" Type="http://schemas.openxmlformats.org/officeDocument/2006/relationships/control" Target="../activeX/activeX35.xml"/><Relationship Id="rId28" Type="http://schemas.openxmlformats.org/officeDocument/2006/relationships/image" Target="../media/image40.emf"/><Relationship Id="rId36" Type="http://schemas.openxmlformats.org/officeDocument/2006/relationships/image" Target="../media/image43.emf"/><Relationship Id="rId10" Type="http://schemas.openxmlformats.org/officeDocument/2006/relationships/image" Target="../media/image31.emf"/><Relationship Id="rId19" Type="http://schemas.openxmlformats.org/officeDocument/2006/relationships/control" Target="../activeX/activeX33.xml"/><Relationship Id="rId31" Type="http://schemas.openxmlformats.org/officeDocument/2006/relationships/control" Target="../activeX/activeX39.xml"/><Relationship Id="rId4" Type="http://schemas.openxmlformats.org/officeDocument/2006/relationships/drawing" Target="../drawings/drawing3.xml"/><Relationship Id="rId9" Type="http://schemas.openxmlformats.org/officeDocument/2006/relationships/control" Target="../activeX/activeX28.xml"/><Relationship Id="rId14" Type="http://schemas.openxmlformats.org/officeDocument/2006/relationships/image" Target="../media/image33.emf"/><Relationship Id="rId22" Type="http://schemas.openxmlformats.org/officeDocument/2006/relationships/image" Target="../media/image37.emf"/><Relationship Id="rId27" Type="http://schemas.openxmlformats.org/officeDocument/2006/relationships/control" Target="../activeX/activeX37.xml"/><Relationship Id="rId30" Type="http://schemas.openxmlformats.org/officeDocument/2006/relationships/image" Target="../media/image22.emf"/><Relationship Id="rId35" Type="http://schemas.openxmlformats.org/officeDocument/2006/relationships/control" Target="../activeX/activeX41.xml"/><Relationship Id="rId8" Type="http://schemas.openxmlformats.org/officeDocument/2006/relationships/image" Target="../media/image30.emf"/><Relationship Id="rId3"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1" t="s">
        <v>24</v>
      </c>
      <c r="C1" s="81"/>
      <c r="D1" s="81"/>
      <c r="E1" s="81"/>
      <c r="F1" s="81"/>
      <c r="G1" s="81"/>
      <c r="H1" s="81"/>
      <c r="I1" s="81"/>
      <c r="J1" s="81"/>
      <c r="K1" s="81"/>
      <c r="L1" s="81"/>
    </row>
    <row r="2" spans="1:17" ht="15.75" customHeight="1" x14ac:dyDescent="0.35">
      <c r="A2" s="39"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2" t="s">
        <v>25</v>
      </c>
      <c r="C5" s="83"/>
      <c r="D5" s="83"/>
      <c r="E5" s="83"/>
      <c r="F5" s="83"/>
      <c r="G5" s="83"/>
      <c r="H5" s="83"/>
      <c r="I5" s="83"/>
      <c r="J5" s="83"/>
      <c r="K5" s="83"/>
      <c r="L5" s="84"/>
      <c r="Q5" s="23" t="s">
        <v>16</v>
      </c>
    </row>
    <row r="6" spans="1:17" ht="28.4" customHeight="1" thickBot="1" x14ac:dyDescent="0.4">
      <c r="A6" s="2"/>
      <c r="B6" s="85"/>
      <c r="C6" s="86"/>
      <c r="D6" s="86"/>
      <c r="E6" s="86"/>
      <c r="F6" s="86"/>
      <c r="G6" s="86"/>
      <c r="H6" s="86"/>
      <c r="I6" s="86"/>
      <c r="J6" s="86"/>
      <c r="K6" s="86"/>
      <c r="L6" s="87"/>
      <c r="Q6" s="24" t="s">
        <v>17</v>
      </c>
    </row>
    <row r="7" spans="1:17" ht="22" customHeight="1" x14ac:dyDescent="0.35">
      <c r="A7" s="2"/>
      <c r="B7" s="88" t="s">
        <v>8</v>
      </c>
      <c r="C7" s="19"/>
      <c r="D7" s="19"/>
      <c r="E7" s="19"/>
      <c r="F7" s="19"/>
      <c r="G7" s="19"/>
      <c r="H7" s="19"/>
      <c r="I7" s="19"/>
      <c r="J7" s="19"/>
      <c r="K7" s="19"/>
      <c r="L7" s="20"/>
      <c r="Q7" s="80" t="s">
        <v>18</v>
      </c>
    </row>
    <row r="8" spans="1:17" ht="18" customHeight="1" x14ac:dyDescent="0.35">
      <c r="A8" s="2"/>
      <c r="B8" s="64"/>
      <c r="C8" s="10"/>
      <c r="D8" s="10"/>
      <c r="E8" s="10"/>
      <c r="F8" s="10"/>
      <c r="G8" s="10"/>
      <c r="H8" s="10"/>
      <c r="I8" s="10"/>
      <c r="J8" s="10"/>
      <c r="K8" s="10"/>
      <c r="L8" s="11"/>
      <c r="Q8" s="80"/>
    </row>
    <row r="9" spans="1:17" ht="17.149999999999999" customHeight="1" x14ac:dyDescent="0.35">
      <c r="A9" s="2"/>
      <c r="B9" s="64"/>
      <c r="C9" s="5"/>
      <c r="D9" s="6"/>
      <c r="E9" s="66" t="s">
        <v>1</v>
      </c>
      <c r="F9" s="67"/>
      <c r="G9" s="68"/>
      <c r="H9" s="4" t="s">
        <v>2</v>
      </c>
      <c r="I9" s="66" t="s">
        <v>3</v>
      </c>
      <c r="J9" s="67"/>
      <c r="K9" s="68"/>
      <c r="L9" s="12" t="s">
        <v>2</v>
      </c>
      <c r="Q9" s="80"/>
    </row>
    <row r="10" spans="1:17" ht="5.15" customHeight="1" x14ac:dyDescent="0.35">
      <c r="A10" s="2"/>
      <c r="B10" s="64"/>
      <c r="C10" s="69"/>
      <c r="D10" s="10"/>
      <c r="E10" s="13"/>
      <c r="F10" s="13"/>
      <c r="G10" s="13"/>
      <c r="H10" s="8"/>
      <c r="I10" s="13"/>
      <c r="J10" s="13"/>
      <c r="K10" s="13"/>
      <c r="L10" s="11"/>
      <c r="Q10" s="80"/>
    </row>
    <row r="11" spans="1:17" ht="16" customHeight="1" x14ac:dyDescent="0.35">
      <c r="A11" s="2"/>
      <c r="B11" s="64"/>
      <c r="C11" s="70"/>
      <c r="D11" s="42" t="s">
        <v>5</v>
      </c>
      <c r="E11" s="13"/>
      <c r="F11" s="35">
        <v>10000</v>
      </c>
      <c r="G11" s="13"/>
      <c r="H11" s="45" t="s">
        <v>6</v>
      </c>
      <c r="I11" s="13"/>
      <c r="J11" s="38" t="s">
        <v>7</v>
      </c>
      <c r="K11" s="13"/>
      <c r="L11" s="16" t="s">
        <v>6</v>
      </c>
      <c r="Q11" s="80"/>
    </row>
    <row r="12" spans="1:17" ht="5.15" customHeight="1" thickBot="1" x14ac:dyDescent="0.4">
      <c r="A12" s="2"/>
      <c r="B12" s="65"/>
      <c r="C12" s="72"/>
      <c r="D12" s="17"/>
      <c r="E12" s="22"/>
      <c r="F12" s="22"/>
      <c r="G12" s="22"/>
      <c r="H12" s="21"/>
      <c r="I12" s="22"/>
      <c r="J12" s="22"/>
      <c r="K12" s="22"/>
      <c r="L12" s="18"/>
      <c r="Q12" s="80"/>
    </row>
    <row r="13" spans="1:17" ht="22" customHeight="1" x14ac:dyDescent="0.35">
      <c r="A13" s="2"/>
      <c r="B13" s="64" t="s">
        <v>4</v>
      </c>
      <c r="C13" s="10"/>
      <c r="D13" s="10"/>
      <c r="E13" s="10"/>
      <c r="F13" s="10"/>
      <c r="G13" s="10"/>
      <c r="H13" s="10"/>
      <c r="I13" s="10"/>
      <c r="J13" s="10"/>
      <c r="K13" s="10"/>
      <c r="L13" s="11"/>
      <c r="Q13" s="80"/>
    </row>
    <row r="14" spans="1:17" ht="18" customHeight="1" x14ac:dyDescent="0.35">
      <c r="A14" s="2"/>
      <c r="B14" s="64"/>
      <c r="C14" s="10"/>
      <c r="D14" s="10"/>
      <c r="E14" s="10"/>
      <c r="F14" s="10"/>
      <c r="G14" s="10"/>
      <c r="H14" s="10"/>
      <c r="I14" s="10"/>
      <c r="J14" s="10"/>
      <c r="K14" s="10"/>
      <c r="L14" s="11"/>
      <c r="Q14" s="80"/>
    </row>
    <row r="15" spans="1:17" ht="17.149999999999999" customHeight="1" x14ac:dyDescent="0.35">
      <c r="A15" s="2"/>
      <c r="B15" s="64"/>
      <c r="C15" s="5"/>
      <c r="D15" s="6"/>
      <c r="E15" s="66" t="s">
        <v>1</v>
      </c>
      <c r="F15" s="67"/>
      <c r="G15" s="68"/>
      <c r="H15" s="4" t="s">
        <v>2</v>
      </c>
      <c r="I15" s="66" t="s">
        <v>3</v>
      </c>
      <c r="J15" s="67"/>
      <c r="K15" s="68"/>
      <c r="L15" s="12" t="s">
        <v>2</v>
      </c>
      <c r="Q15" s="80"/>
    </row>
    <row r="16" spans="1:17" ht="5.15" customHeight="1" x14ac:dyDescent="0.35">
      <c r="A16" s="2"/>
      <c r="B16" s="64"/>
      <c r="C16" s="69"/>
      <c r="D16" s="10"/>
      <c r="E16" s="13"/>
      <c r="F16" s="13"/>
      <c r="G16" s="13"/>
      <c r="H16" s="8"/>
      <c r="I16" s="13"/>
      <c r="J16" s="13"/>
      <c r="K16" s="13"/>
      <c r="L16" s="11"/>
      <c r="Q16" s="80"/>
    </row>
    <row r="17" spans="1:17" ht="16" customHeight="1" x14ac:dyDescent="0.35">
      <c r="A17" s="2"/>
      <c r="B17" s="64"/>
      <c r="C17" s="70"/>
      <c r="D17" s="42" t="s">
        <v>5</v>
      </c>
      <c r="E17" s="13"/>
      <c r="F17" s="35">
        <v>10000</v>
      </c>
      <c r="G17" s="13"/>
      <c r="H17" s="45" t="s">
        <v>6</v>
      </c>
      <c r="I17" s="13"/>
      <c r="J17" s="29" t="s">
        <v>7</v>
      </c>
      <c r="K17" s="13"/>
      <c r="L17" s="16" t="s">
        <v>6</v>
      </c>
      <c r="Q17" s="80"/>
    </row>
    <row r="18" spans="1:17" ht="5.15" customHeight="1" thickBot="1" x14ac:dyDescent="0.4">
      <c r="A18" s="2"/>
      <c r="B18" s="89"/>
      <c r="C18" s="90"/>
      <c r="D18" s="49"/>
      <c r="E18" s="50"/>
      <c r="F18" s="50"/>
      <c r="G18" s="50"/>
      <c r="H18" s="51"/>
      <c r="I18" s="50"/>
      <c r="J18" s="50"/>
      <c r="K18" s="50"/>
      <c r="L18" s="52"/>
      <c r="Q18" s="80"/>
    </row>
    <row r="19" spans="1:17" ht="9" customHeight="1" x14ac:dyDescent="0.35">
      <c r="A19" s="2"/>
      <c r="B19" s="2"/>
      <c r="C19" s="2"/>
      <c r="D19" s="2"/>
      <c r="E19" s="2"/>
      <c r="F19" s="2"/>
      <c r="G19" s="2"/>
      <c r="H19" s="2"/>
      <c r="I19" s="2"/>
      <c r="J19" s="2"/>
      <c r="K19" s="2"/>
      <c r="L19" s="2"/>
      <c r="Q19" s="80"/>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3" t="s">
        <v>9</v>
      </c>
      <c r="C22" s="74"/>
      <c r="D22" s="74"/>
      <c r="E22" s="74"/>
      <c r="F22" s="74"/>
      <c r="G22" s="74"/>
      <c r="H22" s="74"/>
      <c r="I22" s="74"/>
      <c r="J22" s="74"/>
      <c r="K22" s="74"/>
      <c r="L22" s="75"/>
      <c r="Q22" s="80" t="s">
        <v>28</v>
      </c>
    </row>
    <row r="23" spans="1:17" ht="28.4" customHeight="1" thickBot="1" x14ac:dyDescent="0.4">
      <c r="A23" s="2"/>
      <c r="B23" s="76"/>
      <c r="C23" s="77"/>
      <c r="D23" s="77"/>
      <c r="E23" s="77"/>
      <c r="F23" s="77"/>
      <c r="G23" s="77"/>
      <c r="H23" s="77"/>
      <c r="I23" s="77"/>
      <c r="J23" s="77"/>
      <c r="K23" s="77"/>
      <c r="L23" s="78"/>
      <c r="Q23" s="80"/>
    </row>
    <row r="24" spans="1:17" ht="16" customHeight="1" x14ac:dyDescent="0.35">
      <c r="A24" s="2"/>
      <c r="B24" s="88" t="s">
        <v>8</v>
      </c>
      <c r="C24" s="19"/>
      <c r="D24" s="19"/>
      <c r="E24" s="19"/>
      <c r="F24" s="19"/>
      <c r="G24" s="19"/>
      <c r="H24" s="19"/>
      <c r="I24" s="19"/>
      <c r="J24" s="19"/>
      <c r="K24" s="19"/>
      <c r="L24" s="20"/>
      <c r="Q24" s="80"/>
    </row>
    <row r="25" spans="1:17" ht="18" customHeight="1" x14ac:dyDescent="0.35">
      <c r="A25" s="2"/>
      <c r="B25" s="64"/>
      <c r="C25" s="5"/>
      <c r="D25" s="6"/>
      <c r="E25" s="66" t="s">
        <v>1</v>
      </c>
      <c r="F25" s="67"/>
      <c r="G25" s="68"/>
      <c r="H25" s="4" t="s">
        <v>2</v>
      </c>
      <c r="I25" s="66" t="s">
        <v>3</v>
      </c>
      <c r="J25" s="67"/>
      <c r="K25" s="68"/>
      <c r="L25" s="12" t="s">
        <v>2</v>
      </c>
      <c r="Q25" s="80"/>
    </row>
    <row r="26" spans="1:17" ht="5.15" customHeight="1" x14ac:dyDescent="0.35">
      <c r="A26" s="2"/>
      <c r="B26" s="64"/>
      <c r="C26" s="70"/>
      <c r="D26" s="10"/>
      <c r="E26" s="13"/>
      <c r="F26" s="13"/>
      <c r="G26" s="13"/>
      <c r="H26" s="9"/>
      <c r="I26" s="13"/>
      <c r="J26" s="13"/>
      <c r="K26" s="13"/>
      <c r="L26" s="11"/>
      <c r="Q26" s="80"/>
    </row>
    <row r="27" spans="1:17" ht="16" customHeight="1" x14ac:dyDescent="0.35">
      <c r="A27" s="2"/>
      <c r="B27" s="64"/>
      <c r="C27" s="70"/>
      <c r="D27" s="42" t="s">
        <v>26</v>
      </c>
      <c r="E27" s="13"/>
      <c r="F27" s="14">
        <v>10000</v>
      </c>
      <c r="G27" s="13"/>
      <c r="H27" s="45" t="s">
        <v>6</v>
      </c>
      <c r="I27" s="13"/>
      <c r="J27" s="15" t="s">
        <v>7</v>
      </c>
      <c r="K27" s="13"/>
      <c r="L27" s="16" t="s">
        <v>6</v>
      </c>
      <c r="Q27" s="80"/>
    </row>
    <row r="28" spans="1:17" ht="5.15" customHeight="1" x14ac:dyDescent="0.35">
      <c r="A28" s="2"/>
      <c r="B28" s="64"/>
      <c r="C28" s="71"/>
      <c r="D28" s="43"/>
      <c r="E28" s="7"/>
      <c r="F28" s="7"/>
      <c r="G28" s="7"/>
      <c r="H28" s="6"/>
      <c r="I28" s="7"/>
      <c r="J28" s="7"/>
      <c r="K28" s="7"/>
      <c r="L28" s="44"/>
      <c r="Q28" s="80"/>
    </row>
    <row r="29" spans="1:17" ht="5.15" customHeight="1" x14ac:dyDescent="0.35">
      <c r="A29" s="2"/>
      <c r="B29" s="64"/>
      <c r="C29" s="70"/>
      <c r="D29" s="10"/>
      <c r="E29" s="13"/>
      <c r="F29" s="13"/>
      <c r="G29" s="13"/>
      <c r="H29" s="9"/>
      <c r="I29" s="13"/>
      <c r="J29" s="13"/>
      <c r="K29" s="13"/>
      <c r="L29" s="11"/>
      <c r="Q29" s="80"/>
    </row>
    <row r="30" spans="1:17" ht="16" customHeight="1" x14ac:dyDescent="0.4">
      <c r="A30" s="2"/>
      <c r="B30" s="64"/>
      <c r="C30" s="70"/>
      <c r="D30" s="42" t="s">
        <v>27</v>
      </c>
      <c r="E30" s="13"/>
      <c r="F30" s="14">
        <v>10000</v>
      </c>
      <c r="G30" s="13"/>
      <c r="H30" s="45" t="s">
        <v>6</v>
      </c>
      <c r="I30" s="13"/>
      <c r="J30" s="15" t="s">
        <v>7</v>
      </c>
      <c r="K30" s="13"/>
      <c r="L30" s="16" t="s">
        <v>6</v>
      </c>
      <c r="Q30" s="27"/>
    </row>
    <row r="31" spans="1:17" ht="5.15" customHeight="1" x14ac:dyDescent="0.35">
      <c r="A31" s="2"/>
      <c r="B31" s="64"/>
      <c r="C31" s="71"/>
      <c r="D31" s="43"/>
      <c r="E31" s="7"/>
      <c r="F31" s="7"/>
      <c r="G31" s="7"/>
      <c r="H31" s="6"/>
      <c r="I31" s="7"/>
      <c r="J31" s="7"/>
      <c r="K31" s="7"/>
      <c r="L31" s="44"/>
    </row>
    <row r="32" spans="1:17" ht="5.15" customHeight="1" x14ac:dyDescent="0.35">
      <c r="A32" s="2"/>
      <c r="B32" s="64"/>
      <c r="C32" s="70"/>
      <c r="D32" s="10"/>
      <c r="E32" s="13"/>
      <c r="F32" s="13"/>
      <c r="G32" s="13"/>
      <c r="H32" s="9"/>
      <c r="I32" s="13"/>
      <c r="J32" s="13"/>
      <c r="K32" s="13"/>
      <c r="L32" s="11"/>
    </row>
    <row r="33" spans="1:12" ht="16" customHeight="1" x14ac:dyDescent="0.35">
      <c r="A33" s="2"/>
      <c r="B33" s="64"/>
      <c r="C33" s="70"/>
      <c r="D33" s="42" t="s">
        <v>10</v>
      </c>
      <c r="E33" s="13"/>
      <c r="F33" s="14">
        <v>10000</v>
      </c>
      <c r="G33" s="13"/>
      <c r="H33" s="45" t="s">
        <v>6</v>
      </c>
      <c r="I33" s="13"/>
      <c r="J33" s="15" t="s">
        <v>7</v>
      </c>
      <c r="K33" s="13"/>
      <c r="L33" s="16" t="s">
        <v>6</v>
      </c>
    </row>
    <row r="34" spans="1:12" ht="5.15" customHeight="1" x14ac:dyDescent="0.35">
      <c r="A34" s="2"/>
      <c r="B34" s="64"/>
      <c r="C34" s="71"/>
      <c r="D34" s="43"/>
      <c r="E34" s="7"/>
      <c r="F34" s="7"/>
      <c r="G34" s="7"/>
      <c r="H34" s="6"/>
      <c r="I34" s="7"/>
      <c r="J34" s="7"/>
      <c r="K34" s="7"/>
      <c r="L34" s="44"/>
    </row>
    <row r="35" spans="1:12" ht="5.15" customHeight="1" x14ac:dyDescent="0.35">
      <c r="A35" s="2"/>
      <c r="B35" s="64"/>
      <c r="C35" s="70"/>
      <c r="D35" s="10"/>
      <c r="E35" s="13"/>
      <c r="F35" s="13"/>
      <c r="G35" s="13"/>
      <c r="H35" s="9"/>
      <c r="I35" s="13"/>
      <c r="J35" s="13"/>
      <c r="K35" s="13"/>
      <c r="L35" s="11"/>
    </row>
    <row r="36" spans="1:12" ht="16" customHeight="1" x14ac:dyDescent="0.35">
      <c r="A36" s="2"/>
      <c r="B36" s="64"/>
      <c r="C36" s="70"/>
      <c r="D36" s="42" t="s">
        <v>11</v>
      </c>
      <c r="E36" s="13"/>
      <c r="F36" s="14">
        <v>10000</v>
      </c>
      <c r="G36" s="13"/>
      <c r="H36" s="45" t="s">
        <v>6</v>
      </c>
      <c r="I36" s="13"/>
      <c r="J36" s="15" t="s">
        <v>7</v>
      </c>
      <c r="K36" s="13"/>
      <c r="L36" s="16" t="s">
        <v>6</v>
      </c>
    </row>
    <row r="37" spans="1:12" ht="5.15" customHeight="1" x14ac:dyDescent="0.35">
      <c r="A37" s="2"/>
      <c r="B37" s="64"/>
      <c r="C37" s="71"/>
      <c r="D37" s="43"/>
      <c r="E37" s="7"/>
      <c r="F37" s="7"/>
      <c r="G37" s="7"/>
      <c r="H37" s="6"/>
      <c r="I37" s="7"/>
      <c r="J37" s="7"/>
      <c r="K37" s="7"/>
      <c r="L37" s="44"/>
    </row>
    <row r="38" spans="1:12" ht="5.15" customHeight="1" x14ac:dyDescent="0.35">
      <c r="A38" s="2"/>
      <c r="B38" s="64"/>
      <c r="C38" s="70"/>
      <c r="D38" s="10"/>
      <c r="E38" s="13"/>
      <c r="F38" s="13"/>
      <c r="G38" s="13"/>
      <c r="H38" s="9"/>
      <c r="I38" s="13"/>
      <c r="J38" s="13"/>
      <c r="K38" s="13"/>
      <c r="L38" s="11"/>
    </row>
    <row r="39" spans="1:12" ht="16" customHeight="1" x14ac:dyDescent="0.35">
      <c r="A39" s="2"/>
      <c r="B39" s="64"/>
      <c r="C39" s="70"/>
      <c r="D39" s="42" t="s">
        <v>12</v>
      </c>
      <c r="E39" s="13"/>
      <c r="F39" s="13"/>
      <c r="G39" s="13"/>
      <c r="H39" s="9"/>
      <c r="I39" s="13"/>
      <c r="J39" s="13"/>
      <c r="K39" s="13"/>
      <c r="L39" s="11"/>
    </row>
    <row r="40" spans="1:12" ht="22" customHeight="1" x14ac:dyDescent="0.35">
      <c r="A40" s="2"/>
      <c r="B40" s="64"/>
      <c r="C40" s="41"/>
      <c r="D40" s="10"/>
      <c r="E40" s="10"/>
      <c r="F40" s="10"/>
      <c r="G40" s="10"/>
      <c r="H40" s="9"/>
      <c r="I40" s="10"/>
      <c r="J40" s="10"/>
      <c r="K40" s="10"/>
      <c r="L40" s="11"/>
    </row>
    <row r="41" spans="1:12" ht="5.15" customHeight="1" thickBot="1" x14ac:dyDescent="0.4">
      <c r="A41" s="2"/>
      <c r="B41" s="65"/>
      <c r="C41" s="46"/>
      <c r="D41" s="17"/>
      <c r="E41" s="17"/>
      <c r="F41" s="17"/>
      <c r="G41" s="17"/>
      <c r="H41" s="21"/>
      <c r="I41" s="17"/>
      <c r="J41" s="17"/>
      <c r="K41" s="17"/>
      <c r="L41" s="18"/>
    </row>
    <row r="42" spans="1:12" ht="18" customHeight="1" x14ac:dyDescent="0.35">
      <c r="A42" s="2"/>
      <c r="B42" s="63" t="s">
        <v>4</v>
      </c>
      <c r="C42" s="10"/>
      <c r="D42" s="10"/>
      <c r="E42" s="10"/>
      <c r="F42" s="10"/>
      <c r="G42" s="10"/>
      <c r="H42" s="10"/>
      <c r="I42" s="10"/>
      <c r="J42" s="10"/>
      <c r="K42" s="10"/>
      <c r="L42" s="11"/>
    </row>
    <row r="43" spans="1:12" ht="17.149999999999999" customHeight="1" x14ac:dyDescent="0.35">
      <c r="A43" s="2"/>
      <c r="B43" s="64"/>
      <c r="C43" s="5"/>
      <c r="D43" s="6"/>
      <c r="E43" s="66" t="s">
        <v>1</v>
      </c>
      <c r="F43" s="67"/>
      <c r="G43" s="68"/>
      <c r="H43" s="4" t="s">
        <v>2</v>
      </c>
      <c r="I43" s="66" t="s">
        <v>3</v>
      </c>
      <c r="J43" s="67"/>
      <c r="K43" s="68"/>
      <c r="L43" s="12" t="s">
        <v>2</v>
      </c>
    </row>
    <row r="44" spans="1:12" ht="5.15" customHeight="1" x14ac:dyDescent="0.35">
      <c r="A44" s="2"/>
      <c r="B44" s="64"/>
      <c r="C44" s="70"/>
      <c r="D44" s="10"/>
      <c r="E44" s="13"/>
      <c r="F44" s="13"/>
      <c r="G44" s="13"/>
      <c r="H44" s="9"/>
      <c r="I44" s="13"/>
      <c r="J44" s="13"/>
      <c r="K44" s="13"/>
      <c r="L44" s="11"/>
    </row>
    <row r="45" spans="1:12" ht="16" customHeight="1" x14ac:dyDescent="0.35">
      <c r="A45" s="2"/>
      <c r="B45" s="64"/>
      <c r="C45" s="70"/>
      <c r="D45" s="42" t="s">
        <v>26</v>
      </c>
      <c r="E45" s="13"/>
      <c r="F45" s="14">
        <v>10000</v>
      </c>
      <c r="G45" s="13"/>
      <c r="H45" s="45" t="s">
        <v>6</v>
      </c>
      <c r="I45" s="13"/>
      <c r="J45" s="15" t="s">
        <v>7</v>
      </c>
      <c r="K45" s="13"/>
      <c r="L45" s="16" t="s">
        <v>6</v>
      </c>
    </row>
    <row r="46" spans="1:12" ht="5.15" customHeight="1" x14ac:dyDescent="0.35">
      <c r="A46" s="2"/>
      <c r="B46" s="64"/>
      <c r="C46" s="71"/>
      <c r="D46" s="43"/>
      <c r="E46" s="7"/>
      <c r="F46" s="7"/>
      <c r="G46" s="7"/>
      <c r="H46" s="6"/>
      <c r="I46" s="7"/>
      <c r="J46" s="7"/>
      <c r="K46" s="7"/>
      <c r="L46" s="44"/>
    </row>
    <row r="47" spans="1:12" ht="5.15" customHeight="1" x14ac:dyDescent="0.35">
      <c r="A47" s="2"/>
      <c r="B47" s="64"/>
      <c r="C47" s="70"/>
      <c r="D47" s="10"/>
      <c r="E47" s="13"/>
      <c r="F47" s="13"/>
      <c r="G47" s="13"/>
      <c r="H47" s="9"/>
      <c r="I47" s="13"/>
      <c r="J47" s="13"/>
      <c r="K47" s="13"/>
      <c r="L47" s="11"/>
    </row>
    <row r="48" spans="1:12" ht="16" customHeight="1" x14ac:dyDescent="0.35">
      <c r="A48" s="2"/>
      <c r="B48" s="64"/>
      <c r="C48" s="70"/>
      <c r="D48" s="42" t="s">
        <v>27</v>
      </c>
      <c r="E48" s="13"/>
      <c r="F48" s="34">
        <v>10000</v>
      </c>
      <c r="G48" s="13"/>
      <c r="H48" s="45" t="s">
        <v>22</v>
      </c>
      <c r="I48" s="13"/>
      <c r="J48" s="28" t="s">
        <v>7</v>
      </c>
      <c r="K48" s="13"/>
      <c r="L48" s="16" t="s">
        <v>20</v>
      </c>
    </row>
    <row r="49" spans="1:12" ht="5.15" customHeight="1" x14ac:dyDescent="0.35">
      <c r="A49" s="2"/>
      <c r="B49" s="64"/>
      <c r="C49" s="71"/>
      <c r="D49" s="43"/>
      <c r="E49" s="7"/>
      <c r="F49" s="7"/>
      <c r="G49" s="7"/>
      <c r="H49" s="6"/>
      <c r="I49" s="7"/>
      <c r="J49" s="7"/>
      <c r="K49" s="7"/>
      <c r="L49" s="44"/>
    </row>
    <row r="50" spans="1:12" ht="5.15" customHeight="1" x14ac:dyDescent="0.35">
      <c r="A50" s="2"/>
      <c r="B50" s="64"/>
      <c r="C50" s="70"/>
      <c r="D50" s="10"/>
      <c r="E50" s="13"/>
      <c r="F50" s="13"/>
      <c r="G50" s="13"/>
      <c r="H50" s="9"/>
      <c r="I50" s="13"/>
      <c r="J50" s="13"/>
      <c r="K50" s="13"/>
      <c r="L50" s="11"/>
    </row>
    <row r="51" spans="1:12" ht="16" customHeight="1" x14ac:dyDescent="0.35">
      <c r="A51" s="2"/>
      <c r="B51" s="64"/>
      <c r="C51" s="70"/>
      <c r="D51" s="42" t="s">
        <v>10</v>
      </c>
      <c r="E51" s="13"/>
      <c r="F51" s="14">
        <v>10000</v>
      </c>
      <c r="G51" s="13"/>
      <c r="H51" s="45" t="s">
        <v>6</v>
      </c>
      <c r="I51" s="13"/>
      <c r="J51" s="15" t="s">
        <v>7</v>
      </c>
      <c r="K51" s="13"/>
      <c r="L51" s="16" t="s">
        <v>6</v>
      </c>
    </row>
    <row r="52" spans="1:12" ht="5.15" customHeight="1" x14ac:dyDescent="0.35">
      <c r="A52" s="2"/>
      <c r="B52" s="64"/>
      <c r="C52" s="71"/>
      <c r="D52" s="43"/>
      <c r="E52" s="7"/>
      <c r="F52" s="7"/>
      <c r="G52" s="7"/>
      <c r="H52" s="6"/>
      <c r="I52" s="7"/>
      <c r="J52" s="7"/>
      <c r="K52" s="7"/>
      <c r="L52" s="44"/>
    </row>
    <row r="53" spans="1:12" ht="5.15" customHeight="1" x14ac:dyDescent="0.35">
      <c r="A53" s="2"/>
      <c r="B53" s="64"/>
      <c r="C53" s="70"/>
      <c r="D53" s="10"/>
      <c r="E53" s="13"/>
      <c r="F53" s="13"/>
      <c r="G53" s="13"/>
      <c r="H53" s="9"/>
      <c r="I53" s="13"/>
      <c r="J53" s="13"/>
      <c r="K53" s="13"/>
      <c r="L53" s="11"/>
    </row>
    <row r="54" spans="1:12" ht="16" customHeight="1" x14ac:dyDescent="0.35">
      <c r="A54" s="2"/>
      <c r="B54" s="64"/>
      <c r="C54" s="70"/>
      <c r="D54" s="42" t="s">
        <v>11</v>
      </c>
      <c r="E54" s="13"/>
      <c r="F54" s="30">
        <v>10000</v>
      </c>
      <c r="G54" s="13"/>
      <c r="H54" s="45" t="s">
        <v>21</v>
      </c>
      <c r="I54" s="13"/>
      <c r="J54" s="15" t="s">
        <v>7</v>
      </c>
      <c r="K54" s="13"/>
      <c r="L54" s="16" t="s">
        <v>20</v>
      </c>
    </row>
    <row r="55" spans="1:12" ht="5.15" customHeight="1" x14ac:dyDescent="0.35">
      <c r="A55" s="2"/>
      <c r="B55" s="64"/>
      <c r="C55" s="71"/>
      <c r="D55" s="43"/>
      <c r="E55" s="7"/>
      <c r="F55" s="7"/>
      <c r="G55" s="7"/>
      <c r="H55" s="6"/>
      <c r="I55" s="7"/>
      <c r="J55" s="7"/>
      <c r="K55" s="7"/>
      <c r="L55" s="44"/>
    </row>
    <row r="56" spans="1:12" ht="5.15" customHeight="1" x14ac:dyDescent="0.35">
      <c r="A56" s="2"/>
      <c r="B56" s="64"/>
      <c r="C56" s="70"/>
      <c r="D56" s="10"/>
      <c r="E56" s="13"/>
      <c r="F56" s="13"/>
      <c r="G56" s="13"/>
      <c r="H56" s="9"/>
      <c r="I56" s="13"/>
      <c r="J56" s="13"/>
      <c r="K56" s="13"/>
      <c r="L56" s="11"/>
    </row>
    <row r="57" spans="1:12" ht="16" customHeight="1" x14ac:dyDescent="0.35">
      <c r="A57" s="2"/>
      <c r="B57" s="64"/>
      <c r="C57" s="70"/>
      <c r="D57" s="42" t="s">
        <v>12</v>
      </c>
      <c r="E57" s="13"/>
      <c r="F57" s="13"/>
      <c r="G57" s="13"/>
      <c r="H57" s="9"/>
      <c r="I57" s="13"/>
      <c r="J57" s="13"/>
      <c r="K57" s="13"/>
      <c r="L57" s="11"/>
    </row>
    <row r="58" spans="1:12" ht="4.95" customHeight="1" x14ac:dyDescent="0.35">
      <c r="A58" s="2"/>
      <c r="B58" s="64"/>
      <c r="C58" s="47"/>
      <c r="D58" s="42"/>
      <c r="E58" s="13"/>
      <c r="F58" s="13"/>
      <c r="G58" s="13"/>
      <c r="H58" s="9"/>
      <c r="I58" s="13"/>
      <c r="J58" s="13"/>
      <c r="K58" s="13"/>
      <c r="L58" s="11"/>
    </row>
    <row r="59" spans="1:12" x14ac:dyDescent="0.35">
      <c r="A59" s="2"/>
      <c r="B59" s="64"/>
      <c r="C59" s="47"/>
      <c r="D59" s="37" t="s">
        <v>29</v>
      </c>
      <c r="E59" s="13"/>
      <c r="F59" s="53">
        <v>10000</v>
      </c>
      <c r="G59" s="13"/>
      <c r="H59" s="45" t="s">
        <v>30</v>
      </c>
      <c r="I59" s="13"/>
      <c r="J59" s="54" t="s">
        <v>7</v>
      </c>
      <c r="K59" s="13"/>
      <c r="L59" s="16" t="s">
        <v>30</v>
      </c>
    </row>
    <row r="60" spans="1:12" ht="4.95" customHeight="1" x14ac:dyDescent="0.35">
      <c r="A60" s="2"/>
      <c r="B60" s="64"/>
      <c r="C60" s="47"/>
      <c r="D60" s="36"/>
      <c r="E60" s="7"/>
      <c r="F60" s="7"/>
      <c r="G60" s="7"/>
      <c r="H60" s="6"/>
      <c r="I60" s="7"/>
      <c r="J60" s="7"/>
      <c r="K60" s="7"/>
      <c r="L60" s="48"/>
    </row>
    <row r="61" spans="1:12" ht="22" customHeight="1" x14ac:dyDescent="0.35">
      <c r="A61" s="2"/>
      <c r="B61" s="64"/>
      <c r="C61" s="41"/>
      <c r="D61" s="10"/>
      <c r="E61" s="10"/>
      <c r="F61" s="10"/>
      <c r="G61" s="10"/>
      <c r="H61" s="9"/>
      <c r="I61" s="10"/>
      <c r="J61" s="10"/>
      <c r="K61" s="10"/>
      <c r="L61" s="11"/>
    </row>
    <row r="62" spans="1:12" ht="5.15" customHeight="1" thickBot="1" x14ac:dyDescent="0.4">
      <c r="A62" s="2"/>
      <c r="B62" s="65"/>
      <c r="C62" s="46"/>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3" t="s">
        <v>13</v>
      </c>
      <c r="C65" s="74"/>
      <c r="D65" s="74"/>
      <c r="E65" s="74"/>
      <c r="F65" s="74"/>
      <c r="G65" s="74"/>
      <c r="H65" s="74"/>
      <c r="I65" s="74"/>
      <c r="J65" s="74"/>
      <c r="K65" s="74"/>
      <c r="L65" s="75"/>
    </row>
    <row r="66" spans="1:12" ht="28.4" customHeight="1" x14ac:dyDescent="0.35">
      <c r="A66" s="2"/>
      <c r="B66" s="76"/>
      <c r="C66" s="77"/>
      <c r="D66" s="77"/>
      <c r="E66" s="77"/>
      <c r="F66" s="77"/>
      <c r="G66" s="77"/>
      <c r="H66" s="77"/>
      <c r="I66" s="77"/>
      <c r="J66" s="77"/>
      <c r="K66" s="77"/>
      <c r="L66" s="78"/>
    </row>
    <row r="67" spans="1:12" ht="21.75" customHeight="1" x14ac:dyDescent="0.35">
      <c r="A67" s="2"/>
      <c r="B67" s="63" t="s">
        <v>4</v>
      </c>
      <c r="C67" s="10"/>
      <c r="D67" s="10"/>
      <c r="E67" s="10"/>
      <c r="F67" s="10"/>
      <c r="G67" s="10"/>
      <c r="H67" s="10"/>
      <c r="I67" s="10"/>
      <c r="J67" s="10"/>
      <c r="K67" s="10"/>
      <c r="L67" s="11"/>
    </row>
    <row r="68" spans="1:12" ht="18" customHeight="1" x14ac:dyDescent="0.35">
      <c r="A68" s="2"/>
      <c r="B68" s="64"/>
      <c r="C68" s="5"/>
      <c r="D68" s="6"/>
      <c r="E68" s="66" t="s">
        <v>1</v>
      </c>
      <c r="F68" s="67"/>
      <c r="G68" s="68"/>
      <c r="H68" s="4" t="s">
        <v>2</v>
      </c>
      <c r="I68" s="66" t="s">
        <v>3</v>
      </c>
      <c r="J68" s="67"/>
      <c r="K68" s="68"/>
      <c r="L68" s="12" t="s">
        <v>2</v>
      </c>
    </row>
    <row r="69" spans="1:12" ht="5.15" customHeight="1" x14ac:dyDescent="0.35">
      <c r="A69" s="2"/>
      <c r="B69" s="64"/>
      <c r="C69" s="69"/>
      <c r="D69" s="10"/>
      <c r="E69" s="13"/>
      <c r="F69" s="13"/>
      <c r="G69" s="13"/>
      <c r="H69" s="8"/>
      <c r="I69" s="13"/>
      <c r="J69" s="13"/>
      <c r="K69" s="13"/>
      <c r="L69" s="11"/>
    </row>
    <row r="70" spans="1:12" ht="15.75" customHeight="1" x14ac:dyDescent="0.35">
      <c r="A70" s="2"/>
      <c r="B70" s="64"/>
      <c r="C70" s="70"/>
      <c r="D70" s="42" t="s">
        <v>14</v>
      </c>
      <c r="E70" s="13"/>
      <c r="F70" s="14">
        <v>10000</v>
      </c>
      <c r="G70" s="13"/>
      <c r="H70" s="45" t="s">
        <v>6</v>
      </c>
      <c r="I70" s="13"/>
      <c r="J70" s="15" t="s">
        <v>7</v>
      </c>
      <c r="K70" s="13"/>
      <c r="L70" s="16" t="s">
        <v>6</v>
      </c>
    </row>
    <row r="71" spans="1:12" ht="5.15" customHeight="1" x14ac:dyDescent="0.35">
      <c r="A71" s="2"/>
      <c r="B71" s="64"/>
      <c r="C71" s="71"/>
      <c r="D71" s="43"/>
      <c r="E71" s="7"/>
      <c r="F71" s="7"/>
      <c r="G71" s="7"/>
      <c r="H71" s="6"/>
      <c r="I71" s="7"/>
      <c r="J71" s="7"/>
      <c r="K71" s="7"/>
      <c r="L71" s="44"/>
    </row>
    <row r="72" spans="1:12" ht="5.15" customHeight="1" x14ac:dyDescent="0.35">
      <c r="A72" s="2"/>
      <c r="B72" s="64"/>
      <c r="C72" s="70"/>
      <c r="D72" s="10"/>
      <c r="E72" s="13"/>
      <c r="F72" s="13"/>
      <c r="G72" s="13"/>
      <c r="H72" s="9"/>
      <c r="I72" s="13"/>
      <c r="J72" s="13"/>
      <c r="K72" s="13"/>
      <c r="L72" s="11"/>
    </row>
    <row r="73" spans="1:12" ht="15.75" customHeight="1" x14ac:dyDescent="0.35">
      <c r="A73" s="2"/>
      <c r="B73" s="64"/>
      <c r="C73" s="70"/>
      <c r="D73" s="42" t="s">
        <v>15</v>
      </c>
      <c r="E73" s="13"/>
      <c r="F73" s="14">
        <v>10000</v>
      </c>
      <c r="G73" s="13"/>
      <c r="H73" s="45" t="s">
        <v>6</v>
      </c>
      <c r="I73" s="13"/>
      <c r="J73" s="15" t="s">
        <v>7</v>
      </c>
      <c r="K73" s="13"/>
      <c r="L73" s="16" t="s">
        <v>6</v>
      </c>
    </row>
    <row r="74" spans="1:12" ht="5.15" customHeight="1" x14ac:dyDescent="0.35">
      <c r="A74" s="2"/>
      <c r="B74" s="79"/>
      <c r="C74" s="71"/>
      <c r="D74" s="43"/>
      <c r="E74" s="7"/>
      <c r="F74" s="7"/>
      <c r="G74" s="7"/>
      <c r="H74" s="6"/>
      <c r="I74" s="7"/>
      <c r="J74" s="7"/>
      <c r="K74" s="7"/>
      <c r="L74" s="44"/>
    </row>
    <row r="75" spans="1:12" ht="21.75" customHeight="1" x14ac:dyDescent="0.35">
      <c r="A75" s="2"/>
      <c r="B75" s="63" t="s">
        <v>8</v>
      </c>
      <c r="C75" s="10"/>
      <c r="D75" s="10"/>
      <c r="E75" s="10"/>
      <c r="F75" s="10"/>
      <c r="G75" s="10"/>
      <c r="H75" s="10"/>
      <c r="I75" s="10"/>
      <c r="J75" s="10"/>
      <c r="K75" s="10"/>
      <c r="L75" s="11"/>
    </row>
    <row r="76" spans="1:12" ht="18" customHeight="1" x14ac:dyDescent="0.35">
      <c r="A76" s="2"/>
      <c r="B76" s="64"/>
      <c r="C76" s="5"/>
      <c r="D76" s="6"/>
      <c r="E76" s="66" t="s">
        <v>1</v>
      </c>
      <c r="F76" s="67"/>
      <c r="G76" s="68"/>
      <c r="H76" s="4" t="s">
        <v>2</v>
      </c>
      <c r="I76" s="66" t="s">
        <v>3</v>
      </c>
      <c r="J76" s="67"/>
      <c r="K76" s="68"/>
      <c r="L76" s="12" t="s">
        <v>2</v>
      </c>
    </row>
    <row r="77" spans="1:12" ht="5.15" customHeight="1" x14ac:dyDescent="0.35">
      <c r="A77" s="2"/>
      <c r="B77" s="64"/>
      <c r="C77" s="69"/>
      <c r="D77" s="10"/>
      <c r="E77" s="13"/>
      <c r="F77" s="13"/>
      <c r="G77" s="13"/>
      <c r="H77" s="8"/>
      <c r="I77" s="13"/>
      <c r="J77" s="13"/>
      <c r="K77" s="13"/>
      <c r="L77" s="11"/>
    </row>
    <row r="78" spans="1:12" ht="15.75" customHeight="1" x14ac:dyDescent="0.35">
      <c r="A78" s="2"/>
      <c r="B78" s="64"/>
      <c r="C78" s="70"/>
      <c r="D78" s="42" t="s">
        <v>14</v>
      </c>
      <c r="E78" s="13"/>
      <c r="F78" s="14">
        <v>10000</v>
      </c>
      <c r="G78" s="13"/>
      <c r="H78" s="45" t="s">
        <v>6</v>
      </c>
      <c r="I78" s="13"/>
      <c r="J78" s="15" t="s">
        <v>7</v>
      </c>
      <c r="K78" s="13"/>
      <c r="L78" s="16" t="s">
        <v>6</v>
      </c>
    </row>
    <row r="79" spans="1:12" ht="5.15" customHeight="1" x14ac:dyDescent="0.35">
      <c r="A79" s="2"/>
      <c r="B79" s="64"/>
      <c r="C79" s="71"/>
      <c r="D79" s="43"/>
      <c r="E79" s="7"/>
      <c r="F79" s="7"/>
      <c r="G79" s="7"/>
      <c r="H79" s="6"/>
      <c r="I79" s="7"/>
      <c r="J79" s="7"/>
      <c r="K79" s="7"/>
      <c r="L79" s="44"/>
    </row>
    <row r="80" spans="1:12" ht="5.15" customHeight="1" x14ac:dyDescent="0.35">
      <c r="A80" s="2"/>
      <c r="B80" s="64"/>
      <c r="C80" s="70"/>
      <c r="D80" s="10"/>
      <c r="E80" s="13"/>
      <c r="F80" s="13"/>
      <c r="G80" s="13"/>
      <c r="H80" s="9"/>
      <c r="I80" s="13"/>
      <c r="J80" s="13"/>
      <c r="K80" s="13"/>
      <c r="L80" s="11"/>
    </row>
    <row r="81" spans="1:12" ht="15.75" customHeight="1" x14ac:dyDescent="0.35">
      <c r="A81" s="2"/>
      <c r="B81" s="64"/>
      <c r="C81" s="70"/>
      <c r="D81" s="42" t="s">
        <v>15</v>
      </c>
      <c r="E81" s="13"/>
      <c r="F81" s="14">
        <v>10000</v>
      </c>
      <c r="G81" s="13"/>
      <c r="H81" s="45" t="s">
        <v>6</v>
      </c>
      <c r="I81" s="13"/>
      <c r="J81" s="15" t="s">
        <v>7</v>
      </c>
      <c r="K81" s="13"/>
      <c r="L81" s="16" t="s">
        <v>6</v>
      </c>
    </row>
    <row r="82" spans="1:12" ht="5.15" customHeight="1" thickBot="1" x14ac:dyDescent="0.4">
      <c r="A82" s="2"/>
      <c r="B82" s="65"/>
      <c r="C82" s="72"/>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348343</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348343</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348343</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6"/>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2" t="s">
        <v>31</v>
      </c>
      <c r="B1" s="93"/>
      <c r="C1" s="93"/>
      <c r="D1" s="93"/>
      <c r="E1" s="93"/>
      <c r="F1" s="93"/>
      <c r="G1" s="93"/>
      <c r="H1" s="93"/>
      <c r="I1" s="93"/>
      <c r="J1" s="93"/>
      <c r="K1" s="94" t="str">
        <f>" "&amp;IFERROR(IF(SOP_Favorite_Name&lt;&gt;" ",SOP_Favorite_Name,IF(SOP_Template_Name&lt;&gt;" ",SOP_Template_Name,"Ad Hoc Planning View")),"Offline")</f>
        <v xml:space="preserve"> Combination-based Planning</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5"/>
      <c r="X1" s="56"/>
      <c r="Y1" s="56"/>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96"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Location ID = HD_DC_CA_E
</v>
      </c>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2022-Feb-18   11:54:04</v>
      </c>
      <c r="L2" s="97"/>
      <c r="M2" s="97"/>
      <c r="N2" s="97"/>
      <c r="O2" s="97"/>
      <c r="P2" s="97"/>
      <c r="Q2" s="97"/>
      <c r="R2" s="97"/>
      <c r="S2" s="97"/>
      <c r="T2" s="97"/>
      <c r="U2" s="97"/>
      <c r="V2" s="97"/>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1" customFormat="1" ht="60" customHeight="1" x14ac:dyDescent="0.4">
      <c r="A3" s="91"/>
      <c r="B3" s="91"/>
      <c r="C3" s="91"/>
      <c r="D3" s="91"/>
      <c r="E3" s="91"/>
      <c r="F3" s="91"/>
      <c r="G3" s="91"/>
      <c r="H3" s="91"/>
      <c r="I3" s="91"/>
      <c r="J3" s="91"/>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row>
    <row r="4" spans="1:82" s="33" customFormat="1" x14ac:dyDescent="0.4">
      <c r="A4" s="62" t="str">
        <f>SOP_Heading10</f>
        <v xml:space="preserve"> </v>
      </c>
      <c r="B4" s="62" t="str">
        <f>SOP_Heading9</f>
        <v xml:space="preserve"> </v>
      </c>
      <c r="C4" s="62" t="str">
        <f>SOP_Heading8</f>
        <v xml:space="preserve"> </v>
      </c>
      <c r="D4" s="62" t="str">
        <f>SOP_Heading7</f>
        <v xml:space="preserve"> </v>
      </c>
      <c r="E4" s="62" t="str">
        <f>SOP_Heading6</f>
        <v xml:space="preserve"> </v>
      </c>
      <c r="F4" s="62" t="str">
        <f>SOP_Heading5</f>
        <v xml:space="preserve"> </v>
      </c>
      <c r="G4" s="62" t="str">
        <f>SOP_Heading4</f>
        <v xml:space="preserve"> </v>
      </c>
      <c r="H4" s="62" t="str">
        <f>SOP_Heading3</f>
        <v>Product ID</v>
      </c>
      <c r="I4" s="62" t="str">
        <f>SOP_Heading2</f>
        <v>Location ID</v>
      </c>
      <c r="J4" s="62" t="str">
        <f>SOP_Heading1</f>
        <v>Key Figure</v>
      </c>
      <c r="K4" s="38" t="str">
        <f xml:space="preserve"> _xll.EPMOlapMemberO("[PERIODID3].[].[70613]","","JAN 2021","","000")</f>
        <v>JAN 2021</v>
      </c>
      <c r="L4" s="38" t="str">
        <f xml:space="preserve"> _xll.EPMOlapMemberO("[PERIODID3].[].[70614]","","FEB 2021","","000")</f>
        <v>FEB 2021</v>
      </c>
      <c r="M4" s="38" t="str">
        <f xml:space="preserve"> _xll.EPMOlapMemberO("[PERIODID3].[].[70615]","","MAR 2021","","000")</f>
        <v>MAR 2021</v>
      </c>
      <c r="N4" s="38" t="str">
        <f xml:space="preserve"> _xll.EPMOlapMemberO("[PERIODID3].[].[70616]","","APR 2021","","000")</f>
        <v>APR 2021</v>
      </c>
      <c r="O4" s="38" t="str">
        <f xml:space="preserve"> _xll.EPMOlapMemberO("[PERIODID3].[].[70617]","","MAY 2021","","000")</f>
        <v>MAY 2021</v>
      </c>
      <c r="P4" s="38" t="str">
        <f xml:space="preserve"> _xll.EPMOlapMemberO("[PERIODID3].[].[70618]","","JUN 2021","","000")</f>
        <v>JUN 2021</v>
      </c>
      <c r="Q4" s="38" t="str">
        <f xml:space="preserve"> _xll.EPMOlapMemberO("[PERIODID3].[].[70619]","","JUL 2021","","000")</f>
        <v>JUL 2021</v>
      </c>
      <c r="R4" s="38" t="str">
        <f xml:space="preserve"> _xll.EPMOlapMemberO("[PERIODID3].[].[70620]","","AUG 2021","","000")</f>
        <v>AUG 2021</v>
      </c>
      <c r="S4" s="38" t="str">
        <f xml:space="preserve"> _xll.EPMOlapMemberO("[PERIODID3].[].[70621]","","SEP 2021","","000")</f>
        <v>SEP 2021</v>
      </c>
      <c r="T4" s="38" t="str">
        <f xml:space="preserve"> _xll.EPMOlapMemberO("[PERIODID3].[].[70622]","","OCT 2021","","000")</f>
        <v>OCT 2021</v>
      </c>
      <c r="U4" s="38" t="str">
        <f xml:space="preserve"> _xll.EPMOlapMemberO("[PERIODID3].[].[70623]","","NOV 2021","","000")</f>
        <v>NOV 2021</v>
      </c>
      <c r="V4" s="38" t="str">
        <f xml:space="preserve"> _xll.EPMOlapMemberO("[PERIODID3].[].[70624]","","DEC 2021","","000")</f>
        <v>DEC 2021</v>
      </c>
      <c r="W4"/>
      <c r="X4"/>
      <c r="Y4"/>
      <c r="Z4"/>
      <c r="AA4"/>
      <c r="AB4"/>
      <c r="AC4"/>
      <c r="AD4"/>
      <c r="AE4"/>
      <c r="AF4"/>
      <c r="AG4"/>
      <c r="AH4"/>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29" t="str">
        <f xml:space="preserve"> _xll.EPMOlapMemberO("[PRDID].[].[HT_002]","","HT_002","","000")</f>
        <v>HT_002</v>
      </c>
      <c r="I5" s="29" t="str">
        <f xml:space="preserve"> _xll.EPMOlapMemberO("[LOCID].[].[HD_DC_CA_E]","","HD_DC_CA_E","","000")</f>
        <v>HD_DC_CA_E</v>
      </c>
      <c r="J5" s="29" t="str">
        <f xml:space="preserve"> _xll.EPMOlapMemberO("[KEY_FIGURES].[].[CONSENSUSDEMAND]","","Consensus Demand without Promotion","","000")</f>
        <v>Consensus Demand without Promotion</v>
      </c>
      <c r="K5" s="40"/>
      <c r="L5" s="40"/>
      <c r="M5" s="40"/>
      <c r="N5" s="40"/>
      <c r="O5" s="40"/>
      <c r="P5" s="40"/>
      <c r="Q5" s="40">
        <v>175</v>
      </c>
      <c r="R5" s="40">
        <v>175.00200000000001</v>
      </c>
      <c r="S5" s="40">
        <v>175</v>
      </c>
      <c r="T5" s="40">
        <v>175</v>
      </c>
      <c r="U5" s="40">
        <v>175</v>
      </c>
      <c r="V5" s="40">
        <v>175</v>
      </c>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c r="J6" s="29" t="str">
        <f xml:space="preserve"> _xll.EPMOlapMemberO("[KEY_FIGURES].[].[DEMANDPLANNINGQTY]","","Demand Planning Qty","","000")</f>
        <v>Demand Planning Qty</v>
      </c>
      <c r="K6" s="35">
        <v>0</v>
      </c>
      <c r="L6" s="35">
        <v>0</v>
      </c>
      <c r="M6" s="35">
        <v>0</v>
      </c>
      <c r="N6" s="35">
        <v>0</v>
      </c>
      <c r="O6" s="35">
        <v>0</v>
      </c>
      <c r="P6" s="35"/>
      <c r="Q6" s="35"/>
      <c r="R6" s="35"/>
      <c r="S6" s="35"/>
      <c r="T6" s="35"/>
      <c r="U6" s="35">
        <v>150</v>
      </c>
      <c r="V6" s="35">
        <v>150</v>
      </c>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29"/>
      <c r="I7" s="29"/>
      <c r="J7" s="29" t="str">
        <f xml:space="preserve"> _xll.EPMOlapMemberO("[KEY_FIGURES].[].[ACTUALSREV]","","Actuals Revenue","","000")</f>
        <v>Actuals Revenue</v>
      </c>
      <c r="K7" s="40"/>
      <c r="L7" s="40"/>
      <c r="M7" s="40"/>
      <c r="N7" s="40"/>
      <c r="O7" s="40"/>
      <c r="P7" s="40"/>
      <c r="Q7" s="40"/>
      <c r="R7" s="40"/>
      <c r="S7" s="40"/>
      <c r="T7" s="40"/>
      <c r="U7" s="40"/>
      <c r="V7" s="40"/>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c r="I8" s="29"/>
      <c r="J8" s="29" t="str">
        <f xml:space="preserve"> _xll.EPMOlapMemberO("[KEY_FIGURES].[].[CONFQTY]","","Confirmed Qty","","000")</f>
        <v>Confirmed Qty</v>
      </c>
      <c r="K8" s="35"/>
      <c r="L8" s="35"/>
      <c r="M8" s="35"/>
      <c r="N8" s="35"/>
      <c r="O8" s="35"/>
      <c r="P8" s="35"/>
      <c r="Q8" s="35"/>
      <c r="R8" s="35"/>
      <c r="S8" s="35"/>
      <c r="T8" s="35"/>
      <c r="U8" s="35"/>
      <c r="V8" s="35"/>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row r="36" spans="1:82" x14ac:dyDescent="0.4">
      <c r="A36" s="61"/>
      <c r="B36" s="61"/>
      <c r="C36" s="61"/>
      <c r="D36" s="61"/>
      <c r="E36" s="61"/>
      <c r="F36" s="61"/>
      <c r="AI36" s="61"/>
      <c r="AJ36" s="61"/>
      <c r="AK36" s="61"/>
      <c r="AL36" s="61"/>
      <c r="AM36" s="61"/>
      <c r="AN36" s="61"/>
      <c r="AO36" s="61"/>
      <c r="AP36" s="61"/>
      <c r="AQ36" s="61"/>
      <c r="AR36" s="61"/>
      <c r="AS36" s="61"/>
      <c r="AT36" s="61"/>
      <c r="AU36" s="61"/>
      <c r="AV36" s="61"/>
      <c r="AW36" s="61"/>
      <c r="AX36" s="61"/>
      <c r="AY36" s="61"/>
      <c r="AZ36" s="61"/>
      <c r="BA36" s="61"/>
      <c r="BB36" s="61"/>
      <c r="BC36" s="61"/>
      <c r="BD36" s="61"/>
      <c r="BE36" s="61"/>
      <c r="BF36" s="61"/>
      <c r="BG36" s="61"/>
      <c r="BH36" s="61"/>
      <c r="BI36" s="61"/>
      <c r="BJ36" s="61"/>
      <c r="BK36" s="61"/>
      <c r="BL36" s="61"/>
      <c r="BM36" s="61"/>
      <c r="BN36" s="61"/>
      <c r="BO36" s="61"/>
      <c r="BP36" s="61"/>
      <c r="BQ36" s="61"/>
      <c r="BR36" s="61"/>
      <c r="BS36" s="61"/>
      <c r="BT36" s="61"/>
      <c r="BU36" s="61"/>
      <c r="BV36" s="61"/>
      <c r="BW36" s="61"/>
      <c r="BX36" s="61"/>
      <c r="BY36" s="61"/>
      <c r="BZ36" s="61"/>
      <c r="CA36" s="61"/>
      <c r="CB36" s="61"/>
      <c r="CC36" s="61"/>
      <c r="CD36" s="61"/>
    </row>
  </sheetData>
  <sheetProtection autoFilter="0"/>
  <autoFilter ref="H4:V4"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571" r:id="rId8" name="AnalyzerDynReportDC000tb1">
          <controlPr defaultSize="0" autoLine="0" autoPict="0" r:id="rId9">
            <anchor moveWithCells="1">
              <from>
                <xdr:col>0</xdr:col>
                <xdr:colOff>0</xdr:colOff>
                <xdr:row>0</xdr:row>
                <xdr:rowOff>0</xdr:rowOff>
              </from>
              <to>
                <xdr:col>6</xdr:col>
                <xdr:colOff>321129</xdr:colOff>
                <xdr:row>0</xdr:row>
                <xdr:rowOff>0</xdr:rowOff>
              </to>
            </anchor>
          </controlPr>
        </control>
      </mc:Choice>
      <mc:Fallback>
        <control shapeId="3571" r:id="rId8" name="AnalyzerDynReportDC000tb1"/>
      </mc:Fallback>
    </mc:AlternateContent>
    <mc:AlternateContent xmlns:mc="http://schemas.openxmlformats.org/markup-compatibility/2006">
      <mc:Choice Requires="x14">
        <control shapeId="3570" r:id="rId10" name="AnalyzerDynReportHC000tb1">
          <controlPr defaultSize="0" autoLine="0" autoPict="0" r:id="rId11">
            <anchor moveWithCells="1">
              <from>
                <xdr:col>0</xdr:col>
                <xdr:colOff>0</xdr:colOff>
                <xdr:row>0</xdr:row>
                <xdr:rowOff>0</xdr:rowOff>
              </from>
              <to>
                <xdr:col>6</xdr:col>
                <xdr:colOff>321129</xdr:colOff>
                <xdr:row>0</xdr:row>
                <xdr:rowOff>0</xdr:rowOff>
              </to>
            </anchor>
          </controlPr>
        </control>
      </mc:Choice>
      <mc:Fallback>
        <control shapeId="3570" r:id="rId10" name="AnalyzerDynReportHC000tb1"/>
      </mc:Fallback>
    </mc:AlternateContent>
    <mc:AlternateContent xmlns:mc="http://schemas.openxmlformats.org/markup-compatibility/2006">
      <mc:Choice Requires="x14">
        <control shapeId="3569" r:id="rId12" name="ReportSubmitControl_1DCtb1">
          <controlPr defaultSize="0" autoLine="0" autoPict="0" r:id="rId13">
            <anchor moveWithCells="1">
              <from>
                <xdr:col>0</xdr:col>
                <xdr:colOff>0</xdr:colOff>
                <xdr:row>0</xdr:row>
                <xdr:rowOff>0</xdr:rowOff>
              </from>
              <to>
                <xdr:col>6</xdr:col>
                <xdr:colOff>321129</xdr:colOff>
                <xdr:row>0</xdr:row>
                <xdr:rowOff>0</xdr:rowOff>
              </to>
            </anchor>
          </controlPr>
        </control>
      </mc:Choice>
      <mc:Fallback>
        <control shapeId="3569" r:id="rId12" name="ReportSubmitControl_1DCtb1"/>
      </mc:Fallback>
    </mc:AlternateContent>
    <mc:AlternateContent xmlns:mc="http://schemas.openxmlformats.org/markup-compatibility/2006">
      <mc:Choice Requires="x14">
        <control shapeId="3568" r:id="rId14" name="ReportSubmitControl_1HCtb1">
          <controlPr defaultSize="0" autoLine="0" autoPict="0" r:id="rId15">
            <anchor moveWithCells="1">
              <from>
                <xdr:col>0</xdr:col>
                <xdr:colOff>0</xdr:colOff>
                <xdr:row>0</xdr:row>
                <xdr:rowOff>0</xdr:rowOff>
              </from>
              <to>
                <xdr:col>6</xdr:col>
                <xdr:colOff>321129</xdr:colOff>
                <xdr:row>0</xdr:row>
                <xdr:rowOff>0</xdr:rowOff>
              </to>
            </anchor>
          </controlPr>
        </control>
      </mc:Choice>
      <mc:Fallback>
        <control shapeId="3568" r:id="rId14" name="ReportSubmitControl_1HCtb1"/>
      </mc:Fallback>
    </mc:AlternateContent>
    <mc:AlternateContent xmlns:mc="http://schemas.openxmlformats.org/markup-compatibility/2006">
      <mc:Choice Requires="x14">
        <control shapeId="3567" r:id="rId16" name="ReportSubmitManagerControlDCtb1">
          <controlPr defaultSize="0" autoLine="0" autoPict="0" r:id="rId17">
            <anchor moveWithCells="1">
              <from>
                <xdr:col>0</xdr:col>
                <xdr:colOff>0</xdr:colOff>
                <xdr:row>0</xdr:row>
                <xdr:rowOff>0</xdr:rowOff>
              </from>
              <to>
                <xdr:col>6</xdr:col>
                <xdr:colOff>321129</xdr:colOff>
                <xdr:row>0</xdr:row>
                <xdr:rowOff>0</xdr:rowOff>
              </to>
            </anchor>
          </controlPr>
        </control>
      </mc:Choice>
      <mc:Fallback>
        <control shapeId="3567" r:id="rId16" name="ReportSubmitManagerControlDCtb1"/>
      </mc:Fallback>
    </mc:AlternateContent>
    <mc:AlternateContent xmlns:mc="http://schemas.openxmlformats.org/markup-compatibility/2006">
      <mc:Choice Requires="x14">
        <control shapeId="3566" r:id="rId18" name="ReportSubmitManagerControlHCtb1">
          <controlPr defaultSize="0" autoLine="0" autoPict="0" r:id="rId19">
            <anchor moveWithCells="1">
              <from>
                <xdr:col>0</xdr:col>
                <xdr:colOff>0</xdr:colOff>
                <xdr:row>0</xdr:row>
                <xdr:rowOff>0</xdr:rowOff>
              </from>
              <to>
                <xdr:col>6</xdr:col>
                <xdr:colOff>321129</xdr:colOff>
                <xdr:row>0</xdr:row>
                <xdr:rowOff>0</xdr:rowOff>
              </to>
            </anchor>
          </controlPr>
        </control>
      </mc:Choice>
      <mc:Fallback>
        <control shapeId="3566" r:id="rId18" name="ReportSubmitManagerControlHCtb1"/>
      </mc:Fallback>
    </mc:AlternateContent>
    <mc:AlternateContent xmlns:mc="http://schemas.openxmlformats.org/markup-compatibility/2006">
      <mc:Choice Requires="x14">
        <control shapeId="3565" r:id="rId20" name="MultipleReportManagerInfoDCtb1">
          <controlPr defaultSize="0" autoLine="0" autoPict="0" r:id="rId21">
            <anchor moveWithCells="1">
              <from>
                <xdr:col>0</xdr:col>
                <xdr:colOff>0</xdr:colOff>
                <xdr:row>0</xdr:row>
                <xdr:rowOff>0</xdr:rowOff>
              </from>
              <to>
                <xdr:col>6</xdr:col>
                <xdr:colOff>321129</xdr:colOff>
                <xdr:row>0</xdr:row>
                <xdr:rowOff>0</xdr:rowOff>
              </to>
            </anchor>
          </controlPr>
        </control>
      </mc:Choice>
      <mc:Fallback>
        <control shapeId="3565" r:id="rId20" name="MultipleReportManagerInfoDCtb1"/>
      </mc:Fallback>
    </mc:AlternateContent>
    <mc:AlternateContent xmlns:mc="http://schemas.openxmlformats.org/markup-compatibility/2006">
      <mc:Choice Requires="x14">
        <control shapeId="3564" r:id="rId22" name="MultipleReportManagerInfoHCtb1">
          <controlPr defaultSize="0" autoLine="0" autoPict="0" r:id="rId23">
            <anchor moveWithCells="1">
              <from>
                <xdr:col>0</xdr:col>
                <xdr:colOff>0</xdr:colOff>
                <xdr:row>0</xdr:row>
                <xdr:rowOff>0</xdr:rowOff>
              </from>
              <to>
                <xdr:col>6</xdr:col>
                <xdr:colOff>321129</xdr:colOff>
                <xdr:row>0</xdr:row>
                <xdr:rowOff>0</xdr:rowOff>
              </to>
            </anchor>
          </controlPr>
        </control>
      </mc:Choice>
      <mc:Fallback>
        <control shapeId="3564" r:id="rId22" name="MultipleReportManagerInfoHCtb1"/>
      </mc:Fallback>
    </mc:AlternateContent>
    <mc:AlternateContent xmlns:mc="http://schemas.openxmlformats.org/markup-compatibility/2006">
      <mc:Choice Requires="x14">
        <control shapeId="3563" r:id="rId24" name="ConnectionDescriptorsInfoDCtb1">
          <controlPr defaultSize="0" autoLine="0" autoPict="0" r:id="rId25">
            <anchor moveWithCells="1">
              <from>
                <xdr:col>0</xdr:col>
                <xdr:colOff>0</xdr:colOff>
                <xdr:row>0</xdr:row>
                <xdr:rowOff>0</xdr:rowOff>
              </from>
              <to>
                <xdr:col>6</xdr:col>
                <xdr:colOff>321129</xdr:colOff>
                <xdr:row>0</xdr:row>
                <xdr:rowOff>0</xdr:rowOff>
              </to>
            </anchor>
          </controlPr>
        </control>
      </mc:Choice>
      <mc:Fallback>
        <control shapeId="3563" r:id="rId24" name="ConnectionDescriptorsInfoDCtb1"/>
      </mc:Fallback>
    </mc:AlternateContent>
    <mc:AlternateContent xmlns:mc="http://schemas.openxmlformats.org/markup-compatibility/2006">
      <mc:Choice Requires="x14">
        <control shapeId="3562" r:id="rId26" name="ConnectionDescriptorsInfoHCtb1">
          <controlPr defaultSize="0" autoLine="0" autoPict="0" r:id="rId27">
            <anchor moveWithCells="1">
              <from>
                <xdr:col>0</xdr:col>
                <xdr:colOff>0</xdr:colOff>
                <xdr:row>0</xdr:row>
                <xdr:rowOff>0</xdr:rowOff>
              </from>
              <to>
                <xdr:col>6</xdr:col>
                <xdr:colOff>321129</xdr:colOff>
                <xdr:row>0</xdr:row>
                <xdr:rowOff>0</xdr:rowOff>
              </to>
            </anchor>
          </controlPr>
        </control>
      </mc:Choice>
      <mc:Fallback>
        <control shapeId="3562" r:id="rId26" name="ConnectionDescriptorsInfoHCtb1"/>
      </mc:Fallback>
    </mc:AlternateContent>
    <mc:AlternateContent xmlns:mc="http://schemas.openxmlformats.org/markup-compatibility/2006">
      <mc:Choice Requires="x14">
        <control shapeId="3561" r:id="rId28" name="PreviousItem">
          <controlPr defaultSize="0" autoLine="0" r:id="rId29">
            <anchor moveWithCells="1">
              <from>
                <xdr:col>13</xdr:col>
                <xdr:colOff>70757</xdr:colOff>
                <xdr:row>2</xdr:row>
                <xdr:rowOff>130629</xdr:rowOff>
              </from>
              <to>
                <xdr:col>15</xdr:col>
                <xdr:colOff>250371</xdr:colOff>
                <xdr:row>2</xdr:row>
                <xdr:rowOff>555171</xdr:rowOff>
              </to>
            </anchor>
          </controlPr>
        </control>
      </mc:Choice>
      <mc:Fallback>
        <control shapeId="3561" r:id="rId28" name="PreviousItem"/>
      </mc:Fallback>
    </mc:AlternateContent>
    <mc:AlternateContent xmlns:mc="http://schemas.openxmlformats.org/markup-compatibility/2006">
      <mc:Choice Requires="x14">
        <control shapeId="3528" r:id="rId30" name="SaveAndNext">
          <controlPr defaultSize="0" autoLine="0" autoPict="0" r:id="rId31">
            <anchor moveWithCells="1">
              <from>
                <xdr:col>18</xdr:col>
                <xdr:colOff>517071</xdr:colOff>
                <xdr:row>2</xdr:row>
                <xdr:rowOff>136071</xdr:rowOff>
              </from>
              <to>
                <xdr:col>21</xdr:col>
                <xdr:colOff>114300</xdr:colOff>
                <xdr:row>2</xdr:row>
                <xdr:rowOff>555171</xdr:rowOff>
              </to>
            </anchor>
          </controlPr>
        </control>
      </mc:Choice>
      <mc:Fallback>
        <control shapeId="3528" r:id="rId30" name="SaveAndNext"/>
      </mc:Fallback>
    </mc:AlternateContent>
    <mc:AlternateContent xmlns:mc="http://schemas.openxmlformats.org/markup-compatibility/2006">
      <mc:Choice Requires="x14">
        <control shapeId="3527" r:id="rId32" name="NextItem">
          <controlPr defaultSize="0" autoLine="0" r:id="rId33">
            <anchor moveWithCells="1">
              <from>
                <xdr:col>15</xdr:col>
                <xdr:colOff>533400</xdr:colOff>
                <xdr:row>2</xdr:row>
                <xdr:rowOff>136071</xdr:rowOff>
              </from>
              <to>
                <xdr:col>18</xdr:col>
                <xdr:colOff>157843</xdr:colOff>
                <xdr:row>2</xdr:row>
                <xdr:rowOff>555171</xdr:rowOff>
              </to>
            </anchor>
          </controlPr>
        </control>
      </mc:Choice>
      <mc:Fallback>
        <control shapeId="3527" r:id="rId32" name="NextItem"/>
      </mc:Fallback>
    </mc:AlternateContent>
    <mc:AlternateContent xmlns:mc="http://schemas.openxmlformats.org/markup-compatibility/2006">
      <mc:Choice Requires="x14">
        <control shapeId="3526" r:id="rId34" name="RefreshList">
          <controlPr defaultSize="0" autoLine="0" autoPict="0" r:id="rId35">
            <anchor moveWithCells="1">
              <from>
                <xdr:col>10</xdr:col>
                <xdr:colOff>212271</xdr:colOff>
                <xdr:row>2</xdr:row>
                <xdr:rowOff>130629</xdr:rowOff>
              </from>
              <to>
                <xdr:col>12</xdr:col>
                <xdr:colOff>473529</xdr:colOff>
                <xdr:row>2</xdr:row>
                <xdr:rowOff>549729</xdr:rowOff>
              </to>
            </anchor>
          </controlPr>
        </control>
      </mc:Choice>
      <mc:Fallback>
        <control shapeId="3526" r:id="rId34" name="RefreshList"/>
      </mc:Fallback>
    </mc:AlternateContent>
    <mc:AlternateContent xmlns:mc="http://schemas.openxmlformats.org/markup-compatibility/2006">
      <mc:Choice Requires="x14">
        <control shapeId="3093" r:id="rId36" name="FPMExcelClientSheetOptionstb1">
          <controlPr defaultSize="0" autoLine="0" r:id="rId37">
            <anchor moveWithCells="1" sizeWithCells="1">
              <from>
                <xdr:col>0</xdr:col>
                <xdr:colOff>0</xdr:colOff>
                <xdr:row>0</xdr:row>
                <xdr:rowOff>0</xdr:rowOff>
              </from>
              <to>
                <xdr:col>0</xdr:col>
                <xdr:colOff>0</xdr:colOff>
                <xdr:row>0</xdr:row>
                <xdr:rowOff>0</xdr:rowOff>
              </to>
            </anchor>
          </controlPr>
        </control>
      </mc:Choice>
      <mc:Fallback>
        <control shapeId="3093" r:id="rId36" name="FPMExcelClientSheetOptionstb1"/>
      </mc:Fallback>
    </mc:AlternateContent>
    <mc:AlternateContent xmlns:mc="http://schemas.openxmlformats.org/markup-compatibility/2006">
      <mc:Choice Requires="x14">
        <control shapeId="3115" r:id="rId38" name="TextBox1">
          <controlPr defaultSize="0" disabled="1" autoLine="0" r:id="rId39">
            <anchor>
              <from>
                <xdr:col>0</xdr:col>
                <xdr:colOff>38100</xdr:colOff>
                <xdr:row>2</xdr:row>
                <xdr:rowOff>152400</xdr:rowOff>
              </from>
              <to>
                <xdr:col>0</xdr:col>
                <xdr:colOff>43543</xdr:colOff>
                <xdr:row>2</xdr:row>
                <xdr:rowOff>157843</xdr:rowOff>
              </to>
            </anchor>
          </controlPr>
        </control>
      </mc:Choice>
      <mc:Fallback>
        <control shapeId="3115" r:id="rId38" name="TextBox1"/>
      </mc:Fallback>
    </mc:AlternateContent>
    <mc:AlternateContent xmlns:mc="http://schemas.openxmlformats.org/markup-compatibility/2006">
      <mc:Choice Requires="x14">
        <control shapeId="3119" r:id="rId40" name="TextBox2">
          <controlPr defaultSize="0" disabled="1" autoLine="0" r:id="rId41">
            <anchor>
              <from>
                <xdr:col>8</xdr:col>
                <xdr:colOff>631371</xdr:colOff>
                <xdr:row>2</xdr:row>
                <xdr:rowOff>152400</xdr:rowOff>
              </from>
              <to>
                <xdr:col>8</xdr:col>
                <xdr:colOff>636814</xdr:colOff>
                <xdr:row>2</xdr:row>
                <xdr:rowOff>157843</xdr:rowOff>
              </to>
            </anchor>
          </controlPr>
        </control>
      </mc:Choice>
      <mc:Fallback>
        <control shapeId="3119" r:id="rId40" name="TextBox2"/>
      </mc:Fallback>
    </mc:AlternateContent>
    <mc:AlternateContent xmlns:mc="http://schemas.openxmlformats.org/markup-compatibility/2006">
      <mc:Choice Requires="x14">
        <control shapeId="3130" r:id="rId42" name="AnalyzerDynReport000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0" r:id="rId42" name="AnalyzerDynReport000tb1"/>
      </mc:Fallback>
    </mc:AlternateContent>
    <mc:AlternateContent xmlns:mc="http://schemas.openxmlformats.org/markup-compatibility/2006">
      <mc:Choice Requires="x14">
        <control shapeId="3131" r:id="rId44" name="ConnectionDescriptorsInfotb1">
          <controlPr defaultSize="0" autoLine="0" autoPict="0" r:id="rId45">
            <anchor moveWithCells="1" sizeWithCells="1">
              <from>
                <xdr:col>0</xdr:col>
                <xdr:colOff>0</xdr:colOff>
                <xdr:row>0</xdr:row>
                <xdr:rowOff>0</xdr:rowOff>
              </from>
              <to>
                <xdr:col>6</xdr:col>
                <xdr:colOff>97971</xdr:colOff>
                <xdr:row>0</xdr:row>
                <xdr:rowOff>0</xdr:rowOff>
              </to>
            </anchor>
          </controlPr>
        </control>
      </mc:Choice>
      <mc:Fallback>
        <control shapeId="3131" r:id="rId44" name="ConnectionDescriptorsInfotb1"/>
      </mc:Fallback>
    </mc:AlternateContent>
    <mc:AlternateContent xmlns:mc="http://schemas.openxmlformats.org/markup-compatibility/2006">
      <mc:Choice Requires="x14">
        <control shapeId="3132" r:id="rId46" name="MultipleReportManagerInfotb1">
          <controlPr defaultSize="0" autoLine="0" autoPict="0" r:id="rId47">
            <anchor moveWithCells="1" sizeWithCells="1">
              <from>
                <xdr:col>0</xdr:col>
                <xdr:colOff>0</xdr:colOff>
                <xdr:row>0</xdr:row>
                <xdr:rowOff>0</xdr:rowOff>
              </from>
              <to>
                <xdr:col>6</xdr:col>
                <xdr:colOff>97971</xdr:colOff>
                <xdr:row>0</xdr:row>
                <xdr:rowOff>0</xdr:rowOff>
              </to>
            </anchor>
          </controlPr>
        </control>
      </mc:Choice>
      <mc:Fallback>
        <control shapeId="3132" r:id="rId46" name="MultipleReportManagerInfotb1"/>
      </mc:Fallback>
    </mc:AlternateContent>
    <mc:AlternateContent xmlns:mc="http://schemas.openxmlformats.org/markup-compatibility/2006">
      <mc:Choice Requires="x14">
        <control shapeId="3133" r:id="rId48" name="ReportSubmitManagerControltb1">
          <controlPr defaultSize="0" autoLine="0" autoPict="0" r:id="rId49">
            <anchor moveWithCells="1" sizeWithCells="1">
              <from>
                <xdr:col>0</xdr:col>
                <xdr:colOff>0</xdr:colOff>
                <xdr:row>0</xdr:row>
                <xdr:rowOff>0</xdr:rowOff>
              </from>
              <to>
                <xdr:col>6</xdr:col>
                <xdr:colOff>97971</xdr:colOff>
                <xdr:row>0</xdr:row>
                <xdr:rowOff>0</xdr:rowOff>
              </to>
            </anchor>
          </controlPr>
        </control>
      </mc:Choice>
      <mc:Fallback>
        <control shapeId="3133" r:id="rId48" name="ReportSubmitManagerControltb1"/>
      </mc:Fallback>
    </mc:AlternateContent>
    <mc:AlternateContent xmlns:mc="http://schemas.openxmlformats.org/markup-compatibility/2006">
      <mc:Choice Requires="x14">
        <control shapeId="3134" r:id="rId50" name="ReportSubmitControl_1tb1">
          <controlPr defaultSize="0" autoLine="0" autoPict="0" r:id="rId51">
            <anchor moveWithCells="1" sizeWithCells="1">
              <from>
                <xdr:col>0</xdr:col>
                <xdr:colOff>0</xdr:colOff>
                <xdr:row>0</xdr:row>
                <xdr:rowOff>0</xdr:rowOff>
              </from>
              <to>
                <xdr:col>6</xdr:col>
                <xdr:colOff>97971</xdr:colOff>
                <xdr:row>0</xdr:row>
                <xdr:rowOff>0</xdr:rowOff>
              </to>
            </anchor>
          </controlPr>
        </control>
      </mc:Choice>
      <mc:Fallback>
        <control shapeId="3134" r:id="rId50" name="ReportSubmitControl_1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2" t="s">
        <v>31</v>
      </c>
      <c r="B1" s="93"/>
      <c r="C1" s="93"/>
      <c r="D1" s="93"/>
      <c r="E1" s="93"/>
      <c r="F1" s="93"/>
      <c r="G1" s="93"/>
      <c r="H1" s="93"/>
      <c r="I1" s="93"/>
      <c r="J1" s="93"/>
      <c r="K1" s="94" t="str">
        <f>" "&amp;IFERROR(IF(SOP_Favorite_Name&lt;&gt;" ",SOP_Favorite_Name,IF(SOP_Template_Name&lt;&gt;" ",SOP_Template_Name,"Ad Hoc Planning View")),"Offline")</f>
        <v xml:space="preserve"> Combination-based Planning</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5"/>
      <c r="X1" s="56"/>
      <c r="Y1" s="56"/>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96"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ID = HT_001; HT_002; HT_003; HT_004; HT_005
</v>
      </c>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2022-Feb-18   11:54:04</v>
      </c>
      <c r="L2" s="97"/>
      <c r="M2" s="97"/>
      <c r="N2" s="97"/>
      <c r="O2" s="97"/>
      <c r="P2" s="97"/>
      <c r="Q2" s="97"/>
      <c r="R2" s="97"/>
      <c r="S2" s="97"/>
      <c r="T2" s="97"/>
      <c r="U2" s="97"/>
      <c r="V2" s="97"/>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3" customFormat="1" ht="14.6" customHeigh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 xml:space="preserve"> </v>
      </c>
      <c r="H3" s="62" t="str">
        <f>SOP_Heading3</f>
        <v>Product ID</v>
      </c>
      <c r="I3" s="62" t="str">
        <f>SOP_Heading2</f>
        <v>Location ID</v>
      </c>
      <c r="J3" s="62" t="str">
        <f>SOP_Heading1</f>
        <v>Key Figure</v>
      </c>
      <c r="K3" s="38" t="str">
        <f xml:space="preserve"> _xll.EPMOlapMemberO("[PERIODID3].[].[70613]","","JAN 2021","","000")</f>
        <v>JAN 2021</v>
      </c>
      <c r="L3" s="38" t="str">
        <f xml:space="preserve"> _xll.EPMOlapMemberO("[PERIODID3].[].[70614]","","FEB 2021","","000")</f>
        <v>FEB 2021</v>
      </c>
      <c r="M3" s="38" t="str">
        <f xml:space="preserve"> _xll.EPMOlapMemberO("[PERIODID3].[].[70615]","","MAR 2021","","000")</f>
        <v>MAR 2021</v>
      </c>
      <c r="N3" s="38" t="str">
        <f xml:space="preserve"> _xll.EPMOlapMemberO("[PERIODID3].[].[70616]","","APR 2021","","000")</f>
        <v>APR 2021</v>
      </c>
      <c r="O3" s="38" t="str">
        <f xml:space="preserve"> _xll.EPMOlapMemberO("[PERIODID3].[].[70617]","","MAY 2021","","000")</f>
        <v>MAY 2021</v>
      </c>
      <c r="P3" s="38" t="str">
        <f xml:space="preserve"> _xll.EPMOlapMemberO("[PERIODID3].[].[70618]","","JUN 2021","","000")</f>
        <v>JUN 2021</v>
      </c>
      <c r="Q3" s="38" t="str">
        <f xml:space="preserve"> _xll.EPMOlapMemberO("[PERIODID3].[].[70619]","","JUL 2021","","000")</f>
        <v>JUL 2021</v>
      </c>
      <c r="R3" s="38" t="str">
        <f xml:space="preserve"> _xll.EPMOlapMemberO("[PERIODID3].[].[70620]","","AUG 2021","","000")</f>
        <v>AUG 2021</v>
      </c>
      <c r="S3" s="38" t="str">
        <f xml:space="preserve"> _xll.EPMOlapMemberO("[PERIODID3].[].[70621]","","SEP 2021","","000")</f>
        <v>SEP 2021</v>
      </c>
      <c r="T3" s="38" t="str">
        <f xml:space="preserve"> _xll.EPMOlapMemberO("[PERIODID3].[].[70622]","","OCT 2021","","000")</f>
        <v>OCT 2021</v>
      </c>
      <c r="U3" s="38" t="str">
        <f xml:space="preserve"> _xll.EPMOlapMemberO("[PERIODID3].[].[70623]","","NOV 2021","","000")</f>
        <v>NOV 2021</v>
      </c>
      <c r="V3" s="38" t="str">
        <f xml:space="preserve"> _xll.EPMOlapMemberO("[PERIODID3].[].[70624]","","DEC 2021","","000")</f>
        <v>DEC 2021</v>
      </c>
      <c r="W3"/>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ht="14.6" customHeight="1" x14ac:dyDescent="0.4">
      <c r="A4" s="61"/>
      <c r="B4" s="61"/>
      <c r="C4" s="61"/>
      <c r="D4" s="61"/>
      <c r="E4" s="61"/>
      <c r="F4" s="61"/>
      <c r="H4" s="29" t="str">
        <f xml:space="preserve"> _xll.EPMOlapMemberO("[PRDID].[].[HT_002]","","HT_002","","000")</f>
        <v>HT_002</v>
      </c>
      <c r="I4" s="29" t="str">
        <f xml:space="preserve"> _xll.EPMOlapMemberO("[LOCID].[].[HD_DC_CA_E]","","HD_DC_CA_E","","000")</f>
        <v>HD_DC_CA_E</v>
      </c>
      <c r="J4" s="29" t="str">
        <f xml:space="preserve"> _xll.EPMOlapMemberO("[KEY_FIGURES].[].[CONSENSUSDEMAND]","","Consensus Demand without Promotion","","000")</f>
        <v>Consensus Demand without Promotion</v>
      </c>
      <c r="K4" s="40"/>
      <c r="L4" s="40"/>
      <c r="M4" s="40"/>
      <c r="N4" s="40"/>
      <c r="O4" s="40"/>
      <c r="P4" s="40"/>
      <c r="Q4" s="40">
        <v>175</v>
      </c>
      <c r="R4" s="40">
        <v>175.00200000000001</v>
      </c>
      <c r="S4" s="40">
        <v>175</v>
      </c>
      <c r="T4" s="40">
        <v>175</v>
      </c>
      <c r="U4" s="40">
        <v>175</v>
      </c>
      <c r="V4" s="40">
        <v>175</v>
      </c>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29"/>
      <c r="I5" s="29" t="str">
        <f xml:space="preserve"> _xll.EPMOlapMemberO("[LOCID].[].[HD_DC_FR]","","HD_DC_FR","","000")</f>
        <v>HD_DC_FR</v>
      </c>
      <c r="J5" s="29" t="str">
        <f xml:space="preserve"> _xll.EPMOlapMemberO("[KEY_FIGURES].[].[CONSENSUSDEMAND]","","Consensus Demand without Promotion","","000")</f>
        <v>Consensus Demand without Promotion</v>
      </c>
      <c r="K5" s="40"/>
      <c r="L5" s="40"/>
      <c r="M5" s="40"/>
      <c r="N5" s="40"/>
      <c r="O5" s="40"/>
      <c r="P5" s="40"/>
      <c r="Q5" s="40">
        <v>175</v>
      </c>
      <c r="R5" s="40">
        <v>174.99600000000001</v>
      </c>
      <c r="S5" s="40">
        <v>175</v>
      </c>
      <c r="T5" s="40">
        <v>175</v>
      </c>
      <c r="U5" s="40">
        <v>175</v>
      </c>
      <c r="V5" s="40">
        <v>700</v>
      </c>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t="str">
        <f xml:space="preserve"> _xll.EPMOlapMemberO("[LOCID].[].[HD_DC_US_E]","","HD_DC_US_E","","000")</f>
        <v>HD_DC_US_E</v>
      </c>
      <c r="J6" s="29" t="str">
        <f xml:space="preserve"> _xll.EPMOlapMemberO("[KEY_FIGURES].[].[CONSENSUSDEMAND]","","Consensus Demand without Promotion","","000")</f>
        <v>Consensus Demand without Promotion</v>
      </c>
      <c r="K6" s="40"/>
      <c r="L6" s="40"/>
      <c r="M6" s="40"/>
      <c r="N6" s="40"/>
      <c r="O6" s="40"/>
      <c r="P6" s="40"/>
      <c r="Q6" s="40">
        <v>175</v>
      </c>
      <c r="R6" s="40">
        <v>175.00200000000001</v>
      </c>
      <c r="S6" s="40">
        <v>175</v>
      </c>
      <c r="T6" s="40">
        <v>175</v>
      </c>
      <c r="U6" s="40">
        <v>175</v>
      </c>
      <c r="V6" s="40">
        <v>175</v>
      </c>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29"/>
      <c r="I7" s="29" t="str">
        <f xml:space="preserve"> _xll.EPMOlapMemberO("[LOCID].[].[HD_DC_US_W]","","HD_DC_US_W","","000")</f>
        <v>HD_DC_US_W</v>
      </c>
      <c r="J7" s="29" t="str">
        <f xml:space="preserve"> _xll.EPMOlapMemberO("[KEY_FIGURES].[].[CONSENSUSDEMAND]","","Consensus Demand without Promotion","","000")</f>
        <v>Consensus Demand without Promotion</v>
      </c>
      <c r="K7" s="40"/>
      <c r="L7" s="40"/>
      <c r="M7" s="40"/>
      <c r="N7" s="40"/>
      <c r="O7" s="40"/>
      <c r="P7" s="40"/>
      <c r="Q7" s="40">
        <v>175</v>
      </c>
      <c r="R7" s="40">
        <v>175</v>
      </c>
      <c r="S7" s="40">
        <v>175</v>
      </c>
      <c r="T7" s="40">
        <v>175</v>
      </c>
      <c r="U7" s="40">
        <v>175</v>
      </c>
      <c r="V7" s="40">
        <v>175</v>
      </c>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t="str">
        <f xml:space="preserve"> _xll.EPMOlapMemberO("[PRDID].[].[HT_003]","","HT_003","","000")</f>
        <v>HT_003</v>
      </c>
      <c r="I8" s="29" t="str">
        <f xml:space="preserve"> _xll.EPMOlapMemberO("[LOCID].[].[HD_DC_CA_E]","","HD_DC_CA_E","","000")</f>
        <v>HD_DC_CA_E</v>
      </c>
      <c r="J8" s="29" t="str">
        <f xml:space="preserve"> _xll.EPMOlapMemberO("[KEY_FIGURES].[].[CONSENSUSDEMAND]","","Consensus Demand without Promotion","","000")</f>
        <v>Consensus Demand without Promotion</v>
      </c>
      <c r="K8" s="40"/>
      <c r="L8" s="40"/>
      <c r="M8" s="40"/>
      <c r="N8" s="40"/>
      <c r="O8" s="40"/>
      <c r="P8" s="40"/>
      <c r="Q8" s="40"/>
      <c r="R8" s="40"/>
      <c r="S8" s="40"/>
      <c r="T8" s="40"/>
      <c r="U8" s="40"/>
      <c r="V8" s="40"/>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H9" s="29"/>
      <c r="I9" s="29" t="str">
        <f xml:space="preserve"> _xll.EPMOlapMemberO("[LOCID].[].[HD_DC_FR]","","HD_DC_FR","","000")</f>
        <v>HD_DC_FR</v>
      </c>
      <c r="J9" s="29" t="str">
        <f xml:space="preserve"> _xll.EPMOlapMemberO("[KEY_FIGURES].[].[CONSENSUSDEMAND]","","Consensus Demand without Promotion","","000")</f>
        <v>Consensus Demand without Promotion</v>
      </c>
      <c r="K9" s="40"/>
      <c r="L9" s="40"/>
      <c r="M9" s="40"/>
      <c r="N9" s="40"/>
      <c r="O9" s="40"/>
      <c r="P9" s="40"/>
      <c r="Q9" s="40"/>
      <c r="R9" s="40"/>
      <c r="S9" s="40"/>
      <c r="T9" s="40"/>
      <c r="U9" s="40"/>
      <c r="V9" s="40"/>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H10" s="29"/>
      <c r="I10" s="29" t="str">
        <f xml:space="preserve"> _xll.EPMOlapMemberO("[LOCID].[].[HD_DC_US_E]","","HD_DC_US_E","","000")</f>
        <v>HD_DC_US_E</v>
      </c>
      <c r="J10" s="29" t="str">
        <f xml:space="preserve"> _xll.EPMOlapMemberO("[KEY_FIGURES].[].[CONSENSUSDEMAND]","","Consensus Demand without Promotion","","000")</f>
        <v>Consensus Demand without Promotion</v>
      </c>
      <c r="K10" s="40"/>
      <c r="L10" s="40"/>
      <c r="M10" s="40"/>
      <c r="N10" s="40"/>
      <c r="O10" s="40"/>
      <c r="P10" s="40"/>
      <c r="Q10" s="40"/>
      <c r="R10" s="40"/>
      <c r="S10" s="40"/>
      <c r="T10" s="40"/>
      <c r="U10" s="40"/>
      <c r="V10" s="40"/>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H11" s="29"/>
      <c r="I11" s="29" t="str">
        <f xml:space="preserve"> _xll.EPMOlapMemberO("[LOCID].[].[HD_DC_US_W]","","HD_DC_US_W","","000")</f>
        <v>HD_DC_US_W</v>
      </c>
      <c r="J11" s="29" t="str">
        <f xml:space="preserve"> _xll.EPMOlapMemberO("[KEY_FIGURES].[].[CONSENSUSDEMAND]","","Consensus Demand without Promotion","","000")</f>
        <v>Consensus Demand without Promotion</v>
      </c>
      <c r="K11" s="40"/>
      <c r="L11" s="40"/>
      <c r="M11" s="40"/>
      <c r="N11" s="40"/>
      <c r="O11" s="40"/>
      <c r="P11" s="40"/>
      <c r="Q11" s="40"/>
      <c r="R11" s="40"/>
      <c r="S11" s="40"/>
      <c r="T11" s="40"/>
      <c r="U11" s="40"/>
      <c r="V11" s="40"/>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H12" s="29" t="str">
        <f xml:space="preserve"> _xll.EPMOlapMemberO("[PRDID].[].[HT_004]","","HT_004","","000")</f>
        <v>HT_004</v>
      </c>
      <c r="I12" s="29" t="str">
        <f xml:space="preserve"> _xll.EPMOlapMemberO("[LOCID].[].[HD_DC_CA_E]","","HD_DC_CA_E","","000")</f>
        <v>HD_DC_CA_E</v>
      </c>
      <c r="J12" s="29" t="str">
        <f xml:space="preserve"> _xll.EPMOlapMemberO("[KEY_FIGURES].[].[CONSENSUSDEMAND]","","Consensus Demand without Promotion","","000")</f>
        <v>Consensus Demand without Promotion</v>
      </c>
      <c r="K12" s="40"/>
      <c r="L12" s="40"/>
      <c r="M12" s="40"/>
      <c r="N12" s="40"/>
      <c r="O12" s="40"/>
      <c r="P12" s="40"/>
      <c r="Q12" s="40"/>
      <c r="R12" s="40"/>
      <c r="S12" s="40"/>
      <c r="T12" s="40"/>
      <c r="U12" s="40"/>
      <c r="V12" s="40"/>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H13" s="29"/>
      <c r="I13" s="29" t="str">
        <f xml:space="preserve"> _xll.EPMOlapMemberO("[LOCID].[].[HD_DC_FR]","","HD_DC_FR","","000")</f>
        <v>HD_DC_FR</v>
      </c>
      <c r="J13" s="29" t="str">
        <f xml:space="preserve"> _xll.EPMOlapMemberO("[KEY_FIGURES].[].[CONSENSUSDEMAND]","","Consensus Demand without Promotion","","000")</f>
        <v>Consensus Demand without Promotion</v>
      </c>
      <c r="K13" s="40"/>
      <c r="L13" s="40"/>
      <c r="M13" s="40"/>
      <c r="N13" s="40"/>
      <c r="O13" s="40"/>
      <c r="P13" s="40"/>
      <c r="Q13" s="40"/>
      <c r="R13" s="40"/>
      <c r="S13" s="40"/>
      <c r="T13" s="40"/>
      <c r="U13" s="40"/>
      <c r="V13" s="40"/>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H14" s="29"/>
      <c r="I14" s="29" t="str">
        <f xml:space="preserve"> _xll.EPMOlapMemberO("[LOCID].[].[HD_DC_US_E]","","HD_DC_US_E","","000")</f>
        <v>HD_DC_US_E</v>
      </c>
      <c r="J14" s="29" t="str">
        <f xml:space="preserve"> _xll.EPMOlapMemberO("[KEY_FIGURES].[].[CONSENSUSDEMAND]","","Consensus Demand without Promotion","","000")</f>
        <v>Consensus Demand without Promotion</v>
      </c>
      <c r="K14" s="40"/>
      <c r="L14" s="40"/>
      <c r="M14" s="40"/>
      <c r="N14" s="40"/>
      <c r="O14" s="40"/>
      <c r="P14" s="40"/>
      <c r="Q14" s="40"/>
      <c r="R14" s="40"/>
      <c r="S14" s="40"/>
      <c r="T14" s="40"/>
      <c r="U14" s="40"/>
      <c r="V14" s="40"/>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H15" s="29"/>
      <c r="I15" s="29" t="str">
        <f xml:space="preserve"> _xll.EPMOlapMemberO("[LOCID].[].[HD_DC_US_W]","","HD_DC_US_W","","000")</f>
        <v>HD_DC_US_W</v>
      </c>
      <c r="J15" s="29" t="str">
        <f xml:space="preserve"> _xll.EPMOlapMemberO("[KEY_FIGURES].[].[CONSENSUSDEMAND]","","Consensus Demand without Promotion","","000")</f>
        <v>Consensus Demand without Promotion</v>
      </c>
      <c r="K15" s="40"/>
      <c r="L15" s="40"/>
      <c r="M15" s="40"/>
      <c r="N15" s="40"/>
      <c r="O15" s="40"/>
      <c r="P15" s="40"/>
      <c r="Q15" s="40"/>
      <c r="R15" s="40"/>
      <c r="S15" s="40"/>
      <c r="T15" s="40"/>
      <c r="U15" s="40"/>
      <c r="V15" s="40"/>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H16" s="29" t="str">
        <f xml:space="preserve"> _xll.EPMOlapMemberO("[PRDID].[].[HT_005]","","HT_005","","000")</f>
        <v>HT_005</v>
      </c>
      <c r="I16" s="29" t="str">
        <f xml:space="preserve"> _xll.EPMOlapMemberO("[LOCID].[].[HD_DC_CA_E]","","HD_DC_CA_E","","000")</f>
        <v>HD_DC_CA_E</v>
      </c>
      <c r="J16" s="29" t="str">
        <f xml:space="preserve"> _xll.EPMOlapMemberO("[KEY_FIGURES].[].[CONSENSUSDEMAND]","","Consensus Demand without Promotion","","000")</f>
        <v>Consensus Demand without Promotion</v>
      </c>
      <c r="K16" s="40"/>
      <c r="L16" s="40"/>
      <c r="M16" s="40"/>
      <c r="N16" s="40"/>
      <c r="O16" s="40"/>
      <c r="P16" s="40"/>
      <c r="Q16" s="40"/>
      <c r="R16" s="40"/>
      <c r="S16" s="40"/>
      <c r="T16" s="40"/>
      <c r="U16" s="40"/>
      <c r="V16" s="40"/>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H17" s="29"/>
      <c r="I17" s="29" t="str">
        <f xml:space="preserve"> _xll.EPMOlapMemberO("[LOCID].[].[HD_DC_FR]","","HD_DC_FR","","000")</f>
        <v>HD_DC_FR</v>
      </c>
      <c r="J17" s="29" t="str">
        <f xml:space="preserve"> _xll.EPMOlapMemberO("[KEY_FIGURES].[].[CONSENSUSDEMAND]","","Consensus Demand without Promotion","","000")</f>
        <v>Consensus Demand without Promotion</v>
      </c>
      <c r="K17" s="40"/>
      <c r="L17" s="40"/>
      <c r="M17" s="40"/>
      <c r="N17" s="40"/>
      <c r="O17" s="40"/>
      <c r="P17" s="40"/>
      <c r="Q17" s="40"/>
      <c r="R17" s="40"/>
      <c r="S17" s="40"/>
      <c r="T17" s="40"/>
      <c r="U17" s="40"/>
      <c r="V17" s="40"/>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H18" s="29"/>
      <c r="I18" s="29" t="str">
        <f xml:space="preserve"> _xll.EPMOlapMemberO("[LOCID].[].[HD_DC_US_E]","","HD_DC_US_E","","000")</f>
        <v>HD_DC_US_E</v>
      </c>
      <c r="J18" s="29" t="str">
        <f xml:space="preserve"> _xll.EPMOlapMemberO("[KEY_FIGURES].[].[CONSENSUSDEMAND]","","Consensus Demand without Promotion","","000")</f>
        <v>Consensus Demand without Promotion</v>
      </c>
      <c r="K18" s="40"/>
      <c r="L18" s="40"/>
      <c r="M18" s="40"/>
      <c r="N18" s="40"/>
      <c r="O18" s="40"/>
      <c r="P18" s="40"/>
      <c r="Q18" s="40"/>
      <c r="R18" s="40"/>
      <c r="S18" s="40"/>
      <c r="T18" s="40"/>
      <c r="U18" s="40"/>
      <c r="V18" s="40"/>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H19" s="29"/>
      <c r="I19" s="29" t="str">
        <f xml:space="preserve"> _xll.EPMOlapMemberO("[LOCID].[].[HD_DC_US_W]","","HD_DC_US_W","","000")</f>
        <v>HD_DC_US_W</v>
      </c>
      <c r="J19" s="29" t="str">
        <f xml:space="preserve"> _xll.EPMOlapMemberO("[KEY_FIGURES].[].[CONSENSUSDEMAND]","","Consensus Demand without Promotion","","000")</f>
        <v>Consensus Demand without Promotion</v>
      </c>
      <c r="K19" s="40"/>
      <c r="L19" s="40"/>
      <c r="M19" s="40"/>
      <c r="N19" s="40"/>
      <c r="O19" s="40"/>
      <c r="P19" s="40"/>
      <c r="Q19" s="40"/>
      <c r="R19" s="40"/>
      <c r="S19" s="40"/>
      <c r="T19" s="40"/>
      <c r="U19" s="40"/>
      <c r="V19" s="40"/>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53" r:id="rId7" name="ReportSubmitManagerControlDCtb1">
          <controlPr defaultSize="0" autoLine="0" autoPict="0" r:id="rId8">
            <anchor moveWithCells="1">
              <from>
                <xdr:col>0</xdr:col>
                <xdr:colOff>0</xdr:colOff>
                <xdr:row>0</xdr:row>
                <xdr:rowOff>0</xdr:rowOff>
              </from>
              <to>
                <xdr:col>6</xdr:col>
                <xdr:colOff>326571</xdr:colOff>
                <xdr:row>0</xdr:row>
                <xdr:rowOff>0</xdr:rowOff>
              </to>
            </anchor>
          </controlPr>
        </control>
      </mc:Choice>
      <mc:Fallback>
        <control shapeId="9253" r:id="rId7" name="ReportSubmitManagerControlDCtb1"/>
      </mc:Fallback>
    </mc:AlternateContent>
    <mc:AlternateContent xmlns:mc="http://schemas.openxmlformats.org/markup-compatibility/2006">
      <mc:Choice Requires="x14">
        <control shapeId="9252" r:id="rId9" name="ReportSubmitManagerControlHCtb1">
          <controlPr defaultSize="0" autoLine="0" autoPict="0" r:id="rId10">
            <anchor moveWithCells="1">
              <from>
                <xdr:col>0</xdr:col>
                <xdr:colOff>0</xdr:colOff>
                <xdr:row>0</xdr:row>
                <xdr:rowOff>0</xdr:rowOff>
              </from>
              <to>
                <xdr:col>6</xdr:col>
                <xdr:colOff>326571</xdr:colOff>
                <xdr:row>0</xdr:row>
                <xdr:rowOff>0</xdr:rowOff>
              </to>
            </anchor>
          </controlPr>
        </control>
      </mc:Choice>
      <mc:Fallback>
        <control shapeId="9252" r:id="rId9" name="ReportSubmitManagerControlHCtb1"/>
      </mc:Fallback>
    </mc:AlternateContent>
    <mc:AlternateContent xmlns:mc="http://schemas.openxmlformats.org/markup-compatibility/2006">
      <mc:Choice Requires="x14">
        <control shapeId="9251" r:id="rId11" name="MultipleReportManagerInfoDCtb1">
          <controlPr defaultSize="0" autoLine="0" autoPict="0" r:id="rId12">
            <anchor moveWithCells="1">
              <from>
                <xdr:col>0</xdr:col>
                <xdr:colOff>0</xdr:colOff>
                <xdr:row>0</xdr:row>
                <xdr:rowOff>0</xdr:rowOff>
              </from>
              <to>
                <xdr:col>6</xdr:col>
                <xdr:colOff>326571</xdr:colOff>
                <xdr:row>0</xdr:row>
                <xdr:rowOff>0</xdr:rowOff>
              </to>
            </anchor>
          </controlPr>
        </control>
      </mc:Choice>
      <mc:Fallback>
        <control shapeId="9251" r:id="rId11" name="MultipleReportManagerInfoDCtb1"/>
      </mc:Fallback>
    </mc:AlternateContent>
    <mc:AlternateContent xmlns:mc="http://schemas.openxmlformats.org/markup-compatibility/2006">
      <mc:Choice Requires="x14">
        <control shapeId="9250" r:id="rId13" name="MultipleReportManagerInfoHCtb1">
          <controlPr defaultSize="0" autoLine="0" autoPict="0" r:id="rId14">
            <anchor moveWithCells="1">
              <from>
                <xdr:col>0</xdr:col>
                <xdr:colOff>0</xdr:colOff>
                <xdr:row>0</xdr:row>
                <xdr:rowOff>0</xdr:rowOff>
              </from>
              <to>
                <xdr:col>6</xdr:col>
                <xdr:colOff>326571</xdr:colOff>
                <xdr:row>0</xdr:row>
                <xdr:rowOff>0</xdr:rowOff>
              </to>
            </anchor>
          </controlPr>
        </control>
      </mc:Choice>
      <mc:Fallback>
        <control shapeId="9250" r:id="rId13" name="MultipleReportManagerInfoHCtb1"/>
      </mc:Fallback>
    </mc:AlternateContent>
    <mc:AlternateContent xmlns:mc="http://schemas.openxmlformats.org/markup-compatibility/2006">
      <mc:Choice Requires="x14">
        <control shapeId="9249" r:id="rId15" name="ConnectionDescriptorsInfoDCtb1">
          <controlPr defaultSize="0" autoLine="0" autoPict="0" r:id="rId16">
            <anchor moveWithCells="1">
              <from>
                <xdr:col>0</xdr:col>
                <xdr:colOff>0</xdr:colOff>
                <xdr:row>0</xdr:row>
                <xdr:rowOff>0</xdr:rowOff>
              </from>
              <to>
                <xdr:col>6</xdr:col>
                <xdr:colOff>326571</xdr:colOff>
                <xdr:row>0</xdr:row>
                <xdr:rowOff>0</xdr:rowOff>
              </to>
            </anchor>
          </controlPr>
        </control>
      </mc:Choice>
      <mc:Fallback>
        <control shapeId="9249" r:id="rId15" name="ConnectionDescriptorsInfoDCtb1"/>
      </mc:Fallback>
    </mc:AlternateContent>
    <mc:AlternateContent xmlns:mc="http://schemas.openxmlformats.org/markup-compatibility/2006">
      <mc:Choice Requires="x14">
        <control shapeId="9248" r:id="rId17" name="ConnectionDescriptorsInfoHCtb1">
          <controlPr defaultSize="0" autoLine="0" autoPict="0" r:id="rId18">
            <anchor moveWithCells="1">
              <from>
                <xdr:col>0</xdr:col>
                <xdr:colOff>0</xdr:colOff>
                <xdr:row>0</xdr:row>
                <xdr:rowOff>0</xdr:rowOff>
              </from>
              <to>
                <xdr:col>6</xdr:col>
                <xdr:colOff>326571</xdr:colOff>
                <xdr:row>0</xdr:row>
                <xdr:rowOff>0</xdr:rowOff>
              </to>
            </anchor>
          </controlPr>
        </control>
      </mc:Choice>
      <mc:Fallback>
        <control shapeId="9248" r:id="rId17" name="ConnectionDescriptorsInfoHCtb1"/>
      </mc:Fallback>
    </mc:AlternateContent>
    <mc:AlternateContent xmlns:mc="http://schemas.openxmlformats.org/markup-compatibility/2006">
      <mc:Choice Requires="x14">
        <control shapeId="9224" r:id="rId19" name="ReportSubmitControl_1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4" r:id="rId19" name="ReportSubmitControl_1tb1"/>
      </mc:Fallback>
    </mc:AlternateContent>
    <mc:AlternateContent xmlns:mc="http://schemas.openxmlformats.org/markup-compatibility/2006">
      <mc:Choice Requires="x14">
        <control shapeId="9223" r:id="rId21" name="ReportSubmitManagerControl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3" r:id="rId21" name="ReportSubmitManagerControltb1"/>
      </mc:Fallback>
    </mc:AlternateContent>
    <mc:AlternateContent xmlns:mc="http://schemas.openxmlformats.org/markup-compatibility/2006">
      <mc:Choice Requires="x14">
        <control shapeId="9222" r:id="rId23" name="MultipleReportManagerInfotb1">
          <controlPr defaultSize="0" autoLine="0" autoPict="0" r:id="rId24">
            <anchor moveWithCells="1" sizeWithCells="1">
              <from>
                <xdr:col>0</xdr:col>
                <xdr:colOff>0</xdr:colOff>
                <xdr:row>0</xdr:row>
                <xdr:rowOff>0</xdr:rowOff>
              </from>
              <to>
                <xdr:col>6</xdr:col>
                <xdr:colOff>97971</xdr:colOff>
                <xdr:row>0</xdr:row>
                <xdr:rowOff>0</xdr:rowOff>
              </to>
            </anchor>
          </controlPr>
        </control>
      </mc:Choice>
      <mc:Fallback>
        <control shapeId="9222" r:id="rId23" name="MultipleReportManagerInfotb1"/>
      </mc:Fallback>
    </mc:AlternateContent>
    <mc:AlternateContent xmlns:mc="http://schemas.openxmlformats.org/markup-compatibility/2006">
      <mc:Choice Requires="x14">
        <control shapeId="9221" r:id="rId25" name="ConnectionDescriptorsInfotb1">
          <controlPr defaultSize="0" autoLine="0" autoPict="0" r:id="rId26">
            <anchor moveWithCells="1" sizeWithCells="1">
              <from>
                <xdr:col>0</xdr:col>
                <xdr:colOff>0</xdr:colOff>
                <xdr:row>0</xdr:row>
                <xdr:rowOff>0</xdr:rowOff>
              </from>
              <to>
                <xdr:col>6</xdr:col>
                <xdr:colOff>97971</xdr:colOff>
                <xdr:row>0</xdr:row>
                <xdr:rowOff>0</xdr:rowOff>
              </to>
            </anchor>
          </controlPr>
        </control>
      </mc:Choice>
      <mc:Fallback>
        <control shapeId="9221" r:id="rId25" name="ConnectionDescriptorsInfotb1"/>
      </mc:Fallback>
    </mc:AlternateContent>
    <mc:AlternateContent xmlns:mc="http://schemas.openxmlformats.org/markup-compatibility/2006">
      <mc:Choice Requires="x14">
        <control shapeId="9220" r:id="rId27" name="AnalyzerDynReport000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0" r:id="rId27" name="AnalyzerDynReport000tb1"/>
      </mc:Fallback>
    </mc:AlternateContent>
    <mc:AlternateContent xmlns:mc="http://schemas.openxmlformats.org/markup-compatibility/2006">
      <mc:Choice Requires="x14">
        <control shapeId="9219" r:id="rId29" name="TextBox2">
          <controlPr defaultSize="0" disabled="1" autoLine="0" r:id="rId30">
            <anchor>
              <from>
                <xdr:col>8</xdr:col>
                <xdr:colOff>631371</xdr:colOff>
                <xdr:row>2</xdr:row>
                <xdr:rowOff>152400</xdr:rowOff>
              </from>
              <to>
                <xdr:col>8</xdr:col>
                <xdr:colOff>636814</xdr:colOff>
                <xdr:row>2</xdr:row>
                <xdr:rowOff>157843</xdr:rowOff>
              </to>
            </anchor>
          </controlPr>
        </control>
      </mc:Choice>
      <mc:Fallback>
        <control shapeId="9219" r:id="rId29" name="TextBox2"/>
      </mc:Fallback>
    </mc:AlternateContent>
    <mc:AlternateContent xmlns:mc="http://schemas.openxmlformats.org/markup-compatibility/2006">
      <mc:Choice Requires="x14">
        <control shapeId="9218" r:id="rId31" name="TextBox1">
          <controlPr defaultSize="0" disabled="1" autoLine="0" r:id="rId32">
            <anchor>
              <from>
                <xdr:col>0</xdr:col>
                <xdr:colOff>38100</xdr:colOff>
                <xdr:row>2</xdr:row>
                <xdr:rowOff>152400</xdr:rowOff>
              </from>
              <to>
                <xdr:col>0</xdr:col>
                <xdr:colOff>43543</xdr:colOff>
                <xdr:row>2</xdr:row>
                <xdr:rowOff>157843</xdr:rowOff>
              </to>
            </anchor>
          </controlPr>
        </control>
      </mc:Choice>
      <mc:Fallback>
        <control shapeId="9218" r:id="rId31" name="TextBox1"/>
      </mc:Fallback>
    </mc:AlternateContent>
    <mc:AlternateContent xmlns:mc="http://schemas.openxmlformats.org/markup-compatibility/2006">
      <mc:Choice Requires="x14">
        <control shapeId="9217"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9217" r:id="rId33" name="FPMExcelClientSheetOptionstb1"/>
      </mc:Fallback>
    </mc:AlternateContent>
    <mc:AlternateContent xmlns:mc="http://schemas.openxmlformats.org/markup-compatibility/2006">
      <mc:Choice Requires="x14">
        <control shapeId="9254" r:id="rId35" name="AnalyzerDynReportHC000tb1">
          <controlPr defaultSize="0" autoLine="0" autoPict="0" r:id="rId36">
            <anchor moveWithCells="1">
              <from>
                <xdr:col>0</xdr:col>
                <xdr:colOff>0</xdr:colOff>
                <xdr:row>0</xdr:row>
                <xdr:rowOff>0</xdr:rowOff>
              </from>
              <to>
                <xdr:col>6</xdr:col>
                <xdr:colOff>342900</xdr:colOff>
                <xdr:row>0</xdr:row>
                <xdr:rowOff>0</xdr:rowOff>
              </to>
            </anchor>
          </controlPr>
        </control>
      </mc:Choice>
      <mc:Fallback>
        <control shapeId="9254" r:id="rId35" name="AnalyzerDynReportHC000tb1"/>
      </mc:Fallback>
    </mc:AlternateContent>
    <mc:AlternateContent xmlns:mc="http://schemas.openxmlformats.org/markup-compatibility/2006">
      <mc:Choice Requires="x14">
        <control shapeId="9255" r:id="rId37" name="AnalyzerDynReportDC000tb1">
          <controlPr defaultSize="0" autoLine="0" autoPict="0" r:id="rId38">
            <anchor moveWithCells="1">
              <from>
                <xdr:col>0</xdr:col>
                <xdr:colOff>0</xdr:colOff>
                <xdr:row>0</xdr:row>
                <xdr:rowOff>0</xdr:rowOff>
              </from>
              <to>
                <xdr:col>6</xdr:col>
                <xdr:colOff>342900</xdr:colOff>
                <xdr:row>0</xdr:row>
                <xdr:rowOff>0</xdr:rowOff>
              </to>
            </anchor>
          </controlPr>
        </control>
      </mc:Choice>
      <mc:Fallback>
        <control shapeId="9255" r:id="rId37"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Combination-based Planning</favorite>
  <bookSettings xmlns="">
    <scenarios>
      <value>__BASELINE</value>
    </scenarios>
    <simulations>
      <value>__PLAN</value>
    </simulations>
    <planningUnits>
      <planningVersion>__BASELINE</planningVersion>
      <planningScenario>__PLAN</planningScenario>
      <timeRelativeFromDays>0</timeRelativeFromDays>
      <timeRelativeToDays>681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s>
          <relations/>
        </condition>
        <condition>
          <dimension>LOCID</dimension>
          <operator>EQ</operator>
          <values>
            <value>HD_DC_CA_E</value>
          </values>
          <relations/>
        </condition>
      </conditions>
    </filter>
  </report_Sheet2>
  <report_Sheet5 xmlns="">
    <settings>
      <time>
        <dimension>PERIODID3</dimension>
        <rolling>true</rolling>
        <realTime>false</realTime>
        <fromAbsolute/>
        <toAbsolute/>
        <fromRelative>-13</fromRelative>
        <toRelative>-2</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valueBasedFilter>
      <name/>
      <id>0</id>
      <conditions>
        <condition>
          <dimension>CONSENSUSDEMAND</dimension>
          <operator>EQ</operator>
          <timeType>PeriodExists</timeType>
          <values>
            <value>__NULL</value>
          </values>
          <time>
            <dimension>PERIODID3</dimension>
            <rolling>true</rolling>
            <realTime>false</realTime>
            <fromAbsolute/>
            <toAbsolute/>
            <fromRelative>-12</fromRelative>
            <toRelative>-10</toRelative>
            <fromTimeAbsolute>0001-01-01T00:00:00</fromTimeAbsolute>
            <toTimeAbsolute>0001-01-01T00:00:00</toTimeAbsolute>
            <fromTimeRelativeInDays>-30</fromTimeRelativeInDays>
            <toTimeRelativeInDays>29</toTimeRelativeInDays>
          </time>
        </condition>
      </conditions>
    </valueBasedFilter>
  </report_Sheet5>
</config>
</file>

<file path=customXml/itemProps1.xml><?xml version="1.0" encoding="utf-8"?>
<ds:datastoreItem xmlns:ds="http://schemas.openxmlformats.org/officeDocument/2006/customXml" ds:itemID="{47F00354-2CA5-4184-8AC1-9721AA184D24}">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2022-02-18T14:02:29Z</dcterms:modified>
</cp:coreProperties>
</file>