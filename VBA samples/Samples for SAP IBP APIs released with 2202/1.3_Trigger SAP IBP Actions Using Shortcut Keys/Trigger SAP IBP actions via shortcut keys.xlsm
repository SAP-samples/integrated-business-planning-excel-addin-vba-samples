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3_Trigger SAP IBP Actions Using Shortcut Keys/"/>
    </mc:Choice>
  </mc:AlternateContent>
  <xr:revisionPtr revIDLastSave="175" documentId="8_{D925A72B-1FF6-4708-81C9-AB9B563AF6F3}" xr6:coauthVersionLast="47" xr6:coauthVersionMax="47" xr10:uidLastSave="{B4531DEB-B728-492F-9FF9-D383E0FA5763}"/>
  <bookViews>
    <workbookView xWindow="-103" yWindow="-103" windowWidth="22149" windowHeight="11949" tabRatio="374" firstSheet="1" activeTab="1" xr2:uid="{00000000-000D-0000-FFFF-FFFF00000000}"/>
  </bookViews>
  <sheets>
    <sheet name="IBPFormattingSheet" sheetId="8"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"SID"</definedName>
    <definedName name="SOP_CurrencyToID" localSheetId="1">"EUR"</definedName>
    <definedName name="SOP_CURRTOID" localSheetId="1">"EUR"</definedName>
    <definedName name="SOP_Favorite_Name" localSheetId="0">" "</definedName>
    <definedName name="SOP_Favorite_Name">"Run Simulation"</definedName>
    <definedName name="SOP_Filter" localSheetId="0">{" "}</definedName>
    <definedName name="SOP_Filter" localSheetId="1">{"Product ID = HT_001","Location ID = HD_DC_CA_E"}</definedName>
    <definedName name="SOP_Filter">{" "}</definedName>
    <definedName name="SOP_Filter_Criteria_Count" localSheetId="1">2</definedName>
    <definedName name="SOP_Filter_Name" localSheetId="1">"(Ad Hoc Filter)"</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"Location ID"</definedName>
    <definedName name="SOP_Heading3" localSheetId="1">"Product ID"</definedName>
    <definedName name="SOP_Heading4" localSheetId="1">" "</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 localSheetId="0">"SAP4PW"</definedName>
    <definedName name="SOP_Planning_Area">"SAP6"</definedName>
    <definedName name="SOP_Planning_Scope" localSheetId="0">" "</definedName>
    <definedName name="SOP_Planning_Scope">"No selection: The system will plan the entire data set. | 23.02.2022 - 28.01.2024 | Baseline | Base Version"</definedName>
    <definedName name="SOP_Refresh_Timestamp" localSheetId="0">43129.8290046296</definedName>
    <definedName name="SOP_Refresh_Timestamp">44586.7465972222</definedName>
    <definedName name="SOP_Template_Name" localSheetId="0">" "</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J4" i="5"/>
  <c r="J8" i="5"/>
  <c r="J7" i="5"/>
  <c r="H4" i="5"/>
  <c r="T3" i="5"/>
  <c r="R3" i="5"/>
  <c r="I4" i="5"/>
  <c r="J5" i="5"/>
  <c r="S3" i="5"/>
  <c r="M3" i="5"/>
  <c r="Q3" i="5"/>
  <c r="J9" i="5"/>
  <c r="K3" i="5"/>
  <c r="O3" i="5"/>
  <c r="P3" i="5"/>
  <c r="V3" i="5"/>
  <c r="U3" i="5"/>
  <c r="L3" i="5"/>
  <c r="N3" i="5"/>
  <c r="J6"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73DE90D1-05B0-475B-9990-22A6A3D0979A}">
      <text>
        <r>
          <rPr>
            <b/>
            <sz val="9"/>
            <color indexed="81"/>
            <rFont val="Tahoma"/>
            <family val="2"/>
          </rPr>
          <t>TotalMember</t>
        </r>
      </text>
    </comment>
    <comment ref="D44" authorId="0" shapeId="0" xr:uid="{0C4887A8-4F44-4B81-A74D-A1F019EE3842}">
      <text>
        <r>
          <rPr>
            <b/>
            <sz val="9"/>
            <color indexed="81"/>
            <rFont val="Tahoma"/>
            <family val="2"/>
          </rPr>
          <t>Property#KEY_FIGURES#FIXING#Equals#Y</t>
        </r>
      </text>
    </comment>
    <comment ref="D65" authorId="0" shapeId="0" xr:uid="{026FBCDE-B570-47CE-B843-36B260511D70}">
      <text>
        <r>
          <rPr>
            <b/>
            <sz val="9"/>
            <color indexed="81"/>
            <rFont val="Tahoma"/>
            <family val="2"/>
          </rPr>
          <t>Property#PERIODID#TIMELEVEL#Equals#TOTAL</t>
        </r>
      </text>
    </comment>
    <comment ref="D68" authorId="0" shapeId="0" xr:uid="{F35415BD-5EE9-44E8-8375-ED39DA3F1877}">
      <text>
        <r>
          <rPr>
            <b/>
            <sz val="9"/>
            <color indexed="81"/>
            <rFont val="Tahoma"/>
            <family val="2"/>
          </rPr>
          <t>Property#PERIODID#TIMELEVEL#Equals#PERIODID0</t>
        </r>
      </text>
    </comment>
    <comment ref="D71" authorId="0" shapeId="0" xr:uid="{01865BB5-BCF3-4DF8-8E1A-6C5C632339D4}">
      <text>
        <r>
          <rPr>
            <b/>
            <sz val="9"/>
            <color indexed="81"/>
            <rFont val="Tahoma"/>
            <family val="2"/>
          </rPr>
          <t>Property#PERIODID#TIMELEVEL#Equals#PERIODID1</t>
        </r>
      </text>
    </comment>
    <comment ref="D74" authorId="0" shapeId="0" xr:uid="{16F758C1-CA4E-49B6-B515-EA450ABF5453}">
      <text>
        <r>
          <rPr>
            <b/>
            <sz val="9"/>
            <color indexed="81"/>
            <rFont val="Tahoma"/>
            <family val="2"/>
          </rPr>
          <t>Property#PERIODID#TIMELEVEL#Equals#PERIODID2</t>
        </r>
      </text>
    </comment>
    <comment ref="D77" authorId="0" shapeId="0" xr:uid="{A4ABAD38-9929-4EC9-BBD1-1A9EBBD44EC3}">
      <text>
        <r>
          <rPr>
            <b/>
            <sz val="9"/>
            <color indexed="81"/>
            <rFont val="Tahoma"/>
            <family val="2"/>
          </rPr>
          <t>Property#PERIODID#TIMELEVEL#Equals#PERIODID3</t>
        </r>
      </text>
    </comment>
    <comment ref="D80" authorId="0" shapeId="0" xr:uid="{F6021196-740A-429C-842C-872003B25EEC}">
      <text>
        <r>
          <rPr>
            <b/>
            <sz val="9"/>
            <color indexed="81"/>
            <rFont val="Tahoma"/>
            <family val="2"/>
          </rPr>
          <t>Property#PERIODID#TIMELEVEL#Equals#PERIODID4</t>
        </r>
      </text>
    </comment>
    <comment ref="D83" authorId="0" shapeId="0" xr:uid="{245DDFF7-9A8A-4B25-AC50-1D6E7AA0C8AB}">
      <text>
        <r>
          <rPr>
            <b/>
            <sz val="9"/>
            <color indexed="81"/>
            <rFont val="Tahoma"/>
            <family val="2"/>
          </rPr>
          <t>Property#PERIODID#TIMELEVEL#Equals#PERIODID5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4" authorId="0" shapeId="0" xr:uid="{FA01E758-3C12-49F4-A6EA-2A1643DED2C4}">
      <text>
        <r>
          <rPr>
            <sz val="9"/>
            <color indexed="81"/>
            <rFont val="Tahoma"/>
            <family val="2"/>
          </rPr>
          <t>1503 is fixed</t>
        </r>
      </text>
    </comment>
    <comment ref="S4" authorId="0" shapeId="0" xr:uid="{CFE8A9E0-88BE-4DA7-B910-D7E56D291968}">
      <text>
        <r>
          <rPr>
            <sz val="9"/>
            <color indexed="81"/>
            <rFont val="Tahoma"/>
            <family val="2"/>
          </rPr>
          <t>100 is fixed</t>
        </r>
      </text>
    </comment>
    <comment ref="T4" authorId="0" shapeId="0" xr:uid="{ADDDA9E3-B8FE-4791-9D1B-B229EBD03E07}">
      <text>
        <r>
          <rPr>
            <sz val="9"/>
            <color indexed="81"/>
            <rFont val="Tahoma"/>
            <family val="2"/>
          </rPr>
          <t>100 is fixed</t>
        </r>
      </text>
    </comment>
    <comment ref="U4" authorId="0" shapeId="0" xr:uid="{7A4A34C2-C5FB-4E72-B000-FACC45E8379A}">
      <text>
        <r>
          <rPr>
            <sz val="9"/>
            <color indexed="81"/>
            <rFont val="Tahoma"/>
            <family val="2"/>
          </rPr>
          <t>100 is fixed</t>
        </r>
      </text>
    </comment>
  </commentList>
</comments>
</file>

<file path=xl/sharedStrings.xml><?xml version="1.0" encoding="utf-8"?>
<sst xmlns="http://schemas.openxmlformats.org/spreadsheetml/2006/main" count="136" uniqueCount="40">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</sst>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7" borderId="0" applyNumberFormat="0" applyBorder="0" applyAlignment="0" applyProtection="0"/>
  </cellStyleXfs>
  <cellXfs count="105">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14" fillId="9" borderId="0" xfId="0" applyFont="1" applyFill="1" applyBorder="1"/>
    <xf numFmtId="0" fontId="0" fillId="10"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0" borderId="0" xfId="0" applyFont="1" applyFill="1" applyBorder="1" applyAlignment="1" applyProtection="1">
      <alignment horizontal="right" vertical="center"/>
      <protection locked="0"/>
    </xf>
    <xf numFmtId="0" fontId="17" fillId="0" borderId="0" xfId="0" applyFont="1" applyAlignment="1">
      <alignment horizontal="center"/>
    </xf>
    <xf numFmtId="3" fontId="22" fillId="11"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9" borderId="0" xfId="0" applyFont="1" applyFill="1" applyBorder="1" applyAlignment="1" applyProtection="1">
      <alignment horizontal="right" vertical="center"/>
    </xf>
    <xf numFmtId="0" fontId="11" fillId="9" borderId="0" xfId="0" applyFont="1" applyFill="1" applyBorder="1" applyAlignment="1" applyProtection="1">
      <alignment horizontal="left" vertical="center"/>
    </xf>
    <xf numFmtId="0" fontId="14" fillId="9" borderId="0" xfId="0" applyFont="1" applyFill="1" applyProtection="1"/>
    <xf numFmtId="0" fontId="14" fillId="9" borderId="0" xfId="0" applyFont="1" applyFill="1" applyBorder="1" applyProtection="1"/>
    <xf numFmtId="0" fontId="14" fillId="9" borderId="0" xfId="1" applyFont="1" applyFill="1" applyBorder="1" applyAlignment="1" applyProtection="1"/>
    <xf numFmtId="0" fontId="0" fillId="0" borderId="0" xfId="0" applyProtection="1"/>
    <xf numFmtId="0" fontId="11" fillId="10" borderId="0" xfId="0" applyFont="1" applyFill="1" applyProtection="1"/>
    <xf numFmtId="164" fontId="22" fillId="11" borderId="0" xfId="0" applyNumberFormat="1" applyFont="1" applyFill="1" applyBorder="1" applyAlignment="1" applyProtection="1">
      <alignment horizontal="right" vertical="center"/>
      <protection locked="0"/>
    </xf>
    <xf numFmtId="165" fontId="22" fillId="11"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18" fillId="9" borderId="0" xfId="0" quotePrefix="1" applyFont="1" applyFill="1" applyBorder="1" applyAlignment="1" applyProtection="1">
      <alignment horizontal="left" vertical="top" wrapText="1" indent="5"/>
    </xf>
    <xf numFmtId="0" fontId="18" fillId="9" borderId="0" xfId="0" quotePrefix="1" applyFont="1" applyFill="1" applyBorder="1" applyAlignment="1" applyProtection="1">
      <alignment horizontal="left" vertical="top" indent="5"/>
    </xf>
    <xf numFmtId="0" fontId="19" fillId="9" borderId="0" xfId="0" applyFont="1" applyFill="1" applyBorder="1" applyAlignment="1" applyProtection="1">
      <alignment horizontal="left" vertical="center"/>
    </xf>
    <xf numFmtId="0" fontId="20" fillId="9" borderId="0" xfId="0" applyFont="1" applyFill="1" applyBorder="1" applyAlignment="1" applyProtection="1">
      <alignment horizontal="right" vertical="top" wrapText="1"/>
    </xf>
    <xf numFmtId="0" fontId="21" fillId="9" borderId="0" xfId="0" quotePrefix="1" applyFont="1" applyFill="1" applyBorder="1" applyAlignment="1" applyProtection="1">
      <alignment horizontal="left" vertical="top" wrapText="1" indent="5"/>
    </xf>
    <xf numFmtId="0" fontId="20" fillId="9"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0"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8"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5" fillId="8" borderId="0" xfId="0" applyNumberFormat="1" applyFont="1" applyFill="1" applyAlignment="1" applyProtection="1">
      <alignment horizontal="right" vertical="center"/>
      <protection locked="0"/>
    </xf>
    <xf numFmtId="0" fontId="23" fillId="0" borderId="0" xfId="0" applyFont="1" applyAlignment="1" applyProtection="1">
      <alignment horizontal="left" vertical="center"/>
      <protection locked="0"/>
    </xf>
    <xf numFmtId="0" fontId="26" fillId="0" borderId="0" xfId="0" quotePrefix="1" applyFont="1" applyAlignment="1">
      <alignment horizontal="left" vertical="center"/>
    </xf>
    <xf numFmtId="3" fontId="27"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5"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16.emf"/><Relationship Id="rId16"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2.emf"/><Relationship Id="rId5" Type="http://schemas.openxmlformats.org/officeDocument/2006/relationships/image" Target="../media/image19.emf"/><Relationship Id="rId1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18.emf"/><Relationship Id="rId9" Type="http://schemas.openxmlformats.org/officeDocument/2006/relationships/image" Target="../media/image14.emf"/><Relationship Id="rId1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CED428D3-01C2-4EAE-863B-56C69B02C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A31E6FA3-FDAC-4B06-B2F6-67297A39C7F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5ABC297F-A955-4E42-B8A4-41A24ADB7DD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A2794819-9A93-47A5-B1D1-E4D7CD8AAB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472E2267-A5B2-4D82-BC5D-14BA4937B88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DB947BFD-6B85-4491-8A31-BD4DA8F834F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6151" name="cbUseDefaultLevelFirst" hidden="1">
              <a:extLst>
                <a:ext uri="{63B3BB69-23CF-44E3-9099-C40C66FF867C}">
                  <a14:compatExt spid="_x0000_s6151"/>
                </a:ext>
                <a:ext uri="{FF2B5EF4-FFF2-40B4-BE49-F238E27FC236}">
                  <a16:creationId xmlns:a16="http://schemas.microsoft.com/office/drawing/2014/main" id="{1C757A48-2BDF-4891-AA8F-1297F9A5A13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6152" name="Group Box 8" hidden="1">
              <a:extLst>
                <a:ext uri="{63B3BB69-23CF-44E3-9099-C40C66FF867C}">
                  <a14:compatExt spid="_x0000_s6152"/>
                </a:ext>
                <a:ext uri="{FF2B5EF4-FFF2-40B4-BE49-F238E27FC236}">
                  <a16:creationId xmlns:a16="http://schemas.microsoft.com/office/drawing/2014/main" id="{5FA6CA4F-BC72-4F7A-8BC5-66D7D3616FD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6153" name="cbUseDefaultLevelSecond" hidden="1">
              <a:extLst>
                <a:ext uri="{63B3BB69-23CF-44E3-9099-C40C66FF867C}">
                  <a14:compatExt spid="_x0000_s6153"/>
                </a:ext>
                <a:ext uri="{FF2B5EF4-FFF2-40B4-BE49-F238E27FC236}">
                  <a16:creationId xmlns:a16="http://schemas.microsoft.com/office/drawing/2014/main" id="{277DA3BC-D63F-4C65-A457-9D16AD67F9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6154" name="cbApplyMemberFormatting" hidden="1">
              <a:extLst>
                <a:ext uri="{63B3BB69-23CF-44E3-9099-C40C66FF867C}">
                  <a14:compatExt spid="_x0000_s6154"/>
                </a:ext>
                <a:ext uri="{FF2B5EF4-FFF2-40B4-BE49-F238E27FC236}">
                  <a16:creationId xmlns:a16="http://schemas.microsoft.com/office/drawing/2014/main" id="{C7A0623C-CC6B-42A5-8AAE-AAB4442A5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6155" name="Group Box 11" hidden="1">
              <a:extLst>
                <a:ext uri="{63B3BB69-23CF-44E3-9099-C40C66FF867C}">
                  <a14:compatExt spid="_x0000_s6155"/>
                </a:ext>
                <a:ext uri="{FF2B5EF4-FFF2-40B4-BE49-F238E27FC236}">
                  <a16:creationId xmlns:a16="http://schemas.microsoft.com/office/drawing/2014/main" id="{AB06B08B-3225-41CF-8FA0-49C6817CDF7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6156" name="obMemberRowFirst" hidden="1">
              <a:extLst>
                <a:ext uri="{63B3BB69-23CF-44E3-9099-C40C66FF867C}">
                  <a14:compatExt spid="_x0000_s6156"/>
                </a:ext>
                <a:ext uri="{FF2B5EF4-FFF2-40B4-BE49-F238E27FC236}">
                  <a16:creationId xmlns:a16="http://schemas.microsoft.com/office/drawing/2014/main" id="{3C854B72-038A-4ED2-A077-22C9C99A41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6157" name="obMemberColumnFirst" hidden="1">
              <a:extLst>
                <a:ext uri="{63B3BB69-23CF-44E3-9099-C40C66FF867C}">
                  <a14:compatExt spid="_x0000_s6157"/>
                </a:ext>
                <a:ext uri="{FF2B5EF4-FFF2-40B4-BE49-F238E27FC236}">
                  <a16:creationId xmlns:a16="http://schemas.microsoft.com/office/drawing/2014/main" id="{71FDF93E-9A81-406C-BB9C-2FE517A0B6B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6158" name="cbApplyCalculatedMemberFirst" hidden="1">
              <a:extLst>
                <a:ext uri="{63B3BB69-23CF-44E3-9099-C40C66FF867C}">
                  <a14:compatExt spid="_x0000_s6158"/>
                </a:ext>
                <a:ext uri="{FF2B5EF4-FFF2-40B4-BE49-F238E27FC236}">
                  <a16:creationId xmlns:a16="http://schemas.microsoft.com/office/drawing/2014/main" id="{7D8F582B-5117-4230-86F1-1BB06A6C75B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6159" name="cbApplyImputableMemberFirst" hidden="1">
              <a:extLst>
                <a:ext uri="{63B3BB69-23CF-44E3-9099-C40C66FF867C}">
                  <a14:compatExt spid="_x0000_s6159"/>
                </a:ext>
                <a:ext uri="{FF2B5EF4-FFF2-40B4-BE49-F238E27FC236}">
                  <a16:creationId xmlns:a16="http://schemas.microsoft.com/office/drawing/2014/main" id="{E4BDA070-8F6A-4628-8B0B-50C47287C28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6160" name="cbApplyLocalMemberFirst" hidden="1">
              <a:extLst>
                <a:ext uri="{63B3BB69-23CF-44E3-9099-C40C66FF867C}">
                  <a14:compatExt spid="_x0000_s6160"/>
                </a:ext>
                <a:ext uri="{FF2B5EF4-FFF2-40B4-BE49-F238E27FC236}">
                  <a16:creationId xmlns:a16="http://schemas.microsoft.com/office/drawing/2014/main" id="{A8F56D98-599B-409A-AA85-B286368A2BF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6161" name="cbApplyChangedMemberFirst" hidden="1">
              <a:extLst>
                <a:ext uri="{63B3BB69-23CF-44E3-9099-C40C66FF867C}">
                  <a14:compatExt spid="_x0000_s6161"/>
                </a:ext>
                <a:ext uri="{FF2B5EF4-FFF2-40B4-BE49-F238E27FC236}">
                  <a16:creationId xmlns:a16="http://schemas.microsoft.com/office/drawing/2014/main" id="{4B37694B-7E6C-43AF-8F31-2AD68F317D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6162" name="cbApplySpecificMemberFirst" hidden="1">
              <a:extLst>
                <a:ext uri="{63B3BB69-23CF-44E3-9099-C40C66FF867C}">
                  <a14:compatExt spid="_x0000_s6162"/>
                </a:ext>
                <a:ext uri="{FF2B5EF4-FFF2-40B4-BE49-F238E27FC236}">
                  <a16:creationId xmlns:a16="http://schemas.microsoft.com/office/drawing/2014/main" id="{06E61B28-8400-410D-BBA6-EAE595695E0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6163" name="AddMemberFirst" hidden="1">
              <a:extLst>
                <a:ext uri="{63B3BB69-23CF-44E3-9099-C40C66FF867C}">
                  <a14:compatExt spid="_x0000_s6163"/>
                </a:ext>
                <a:ext uri="{FF2B5EF4-FFF2-40B4-BE49-F238E27FC236}">
                  <a16:creationId xmlns:a16="http://schemas.microsoft.com/office/drawing/2014/main" id="{83070233-7F0C-46BC-889E-6CCD96406F2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6164" name="cbApplyCalculatedMemberSecond" hidden="1">
              <a:extLst>
                <a:ext uri="{63B3BB69-23CF-44E3-9099-C40C66FF867C}">
                  <a14:compatExt spid="_x0000_s6164"/>
                </a:ext>
                <a:ext uri="{FF2B5EF4-FFF2-40B4-BE49-F238E27FC236}">
                  <a16:creationId xmlns:a16="http://schemas.microsoft.com/office/drawing/2014/main" id="{41EFEA42-2946-4751-9CD3-80D5B571E7A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6165" name="cbApplyImputableMemberSecond" hidden="1">
              <a:extLst>
                <a:ext uri="{63B3BB69-23CF-44E3-9099-C40C66FF867C}">
                  <a14:compatExt spid="_x0000_s6165"/>
                </a:ext>
                <a:ext uri="{FF2B5EF4-FFF2-40B4-BE49-F238E27FC236}">
                  <a16:creationId xmlns:a16="http://schemas.microsoft.com/office/drawing/2014/main" id="{9D8E6878-A3FB-4282-91D0-098B5C5A08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6166" name="cbApplyLocalMemberSecond" hidden="1">
              <a:extLst>
                <a:ext uri="{63B3BB69-23CF-44E3-9099-C40C66FF867C}">
                  <a14:compatExt spid="_x0000_s6166"/>
                </a:ext>
                <a:ext uri="{FF2B5EF4-FFF2-40B4-BE49-F238E27FC236}">
                  <a16:creationId xmlns:a16="http://schemas.microsoft.com/office/drawing/2014/main" id="{F7AE5A58-74AB-49E4-A1A7-580A0D8765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6167" name="cbApplyChangedMemberSecond" hidden="1">
              <a:extLst>
                <a:ext uri="{63B3BB69-23CF-44E3-9099-C40C66FF867C}">
                  <a14:compatExt spid="_x0000_s6167"/>
                </a:ext>
                <a:ext uri="{FF2B5EF4-FFF2-40B4-BE49-F238E27FC236}">
                  <a16:creationId xmlns:a16="http://schemas.microsoft.com/office/drawing/2014/main" id="{570398C7-8E13-4C2F-AFE0-DCAB36DD3E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6168" name="cbApplySpecificMemberSecond" hidden="1">
              <a:extLst>
                <a:ext uri="{63B3BB69-23CF-44E3-9099-C40C66FF867C}">
                  <a14:compatExt spid="_x0000_s6168"/>
                </a:ext>
                <a:ext uri="{FF2B5EF4-FFF2-40B4-BE49-F238E27FC236}">
                  <a16:creationId xmlns:a16="http://schemas.microsoft.com/office/drawing/2014/main" id="{078A9EBB-8DE1-42AB-8504-7B22610946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6169" name="AddMemberSecond" hidden="1">
              <a:extLst>
                <a:ext uri="{63B3BB69-23CF-44E3-9099-C40C66FF867C}">
                  <a14:compatExt spid="_x0000_s6169"/>
                </a:ext>
                <a:ext uri="{FF2B5EF4-FFF2-40B4-BE49-F238E27FC236}">
                  <a16:creationId xmlns:a16="http://schemas.microsoft.com/office/drawing/2014/main" id="{4EF6AD8C-39B7-4919-8F01-906549C83BF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6170" name="cbApplyOddEvenFormatting" hidden="1">
              <a:extLst>
                <a:ext uri="{63B3BB69-23CF-44E3-9099-C40C66FF867C}">
                  <a14:compatExt spid="_x0000_s6170"/>
                </a:ext>
                <a:ext uri="{FF2B5EF4-FFF2-40B4-BE49-F238E27FC236}">
                  <a16:creationId xmlns:a16="http://schemas.microsoft.com/office/drawing/2014/main" id="{C5C3CB94-170D-4746-B199-B3F5B29B66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6171" name="Group Box 27" hidden="1">
              <a:extLst>
                <a:ext uri="{63B3BB69-23CF-44E3-9099-C40C66FF867C}">
                  <a14:compatExt spid="_x0000_s6171"/>
                </a:ext>
                <a:ext uri="{FF2B5EF4-FFF2-40B4-BE49-F238E27FC236}">
                  <a16:creationId xmlns:a16="http://schemas.microsoft.com/office/drawing/2014/main" id="{9F9788CE-E12F-4296-B1CD-C71EF4E8938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6172" name="obOddEvenRowFirst" hidden="1">
              <a:extLst>
                <a:ext uri="{63B3BB69-23CF-44E3-9099-C40C66FF867C}">
                  <a14:compatExt spid="_x0000_s6172"/>
                </a:ext>
                <a:ext uri="{FF2B5EF4-FFF2-40B4-BE49-F238E27FC236}">
                  <a16:creationId xmlns:a16="http://schemas.microsoft.com/office/drawing/2014/main" id="{320C1180-E848-4352-8640-46558772E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6173" name="obOddEvenColumnFirst" hidden="1">
              <a:extLst>
                <a:ext uri="{63B3BB69-23CF-44E3-9099-C40C66FF867C}">
                  <a14:compatExt spid="_x0000_s6173"/>
                </a:ext>
                <a:ext uri="{FF2B5EF4-FFF2-40B4-BE49-F238E27FC236}">
                  <a16:creationId xmlns:a16="http://schemas.microsoft.com/office/drawing/2014/main" id="{B808A88E-F125-4746-856B-F26983FD0B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6174" name="cbUseOddFirst" hidden="1">
              <a:extLst>
                <a:ext uri="{63B3BB69-23CF-44E3-9099-C40C66FF867C}">
                  <a14:compatExt spid="_x0000_s6174"/>
                </a:ext>
                <a:ext uri="{FF2B5EF4-FFF2-40B4-BE49-F238E27FC236}">
                  <a16:creationId xmlns:a16="http://schemas.microsoft.com/office/drawing/2014/main" id="{907E38EC-A495-4172-ABEA-420421A9D3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6175" name="cbUseEvenFirst" hidden="1">
              <a:extLst>
                <a:ext uri="{63B3BB69-23CF-44E3-9099-C40C66FF867C}">
                  <a14:compatExt spid="_x0000_s6175"/>
                </a:ext>
                <a:ext uri="{FF2B5EF4-FFF2-40B4-BE49-F238E27FC236}">
                  <a16:creationId xmlns:a16="http://schemas.microsoft.com/office/drawing/2014/main" id="{740E0302-A683-400E-8FC0-006A597CD6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6176" name="cbUseOddSecond" hidden="1">
              <a:extLst>
                <a:ext uri="{63B3BB69-23CF-44E3-9099-C40C66FF867C}">
                  <a14:compatExt spid="_x0000_s6176"/>
                </a:ext>
                <a:ext uri="{FF2B5EF4-FFF2-40B4-BE49-F238E27FC236}">
                  <a16:creationId xmlns:a16="http://schemas.microsoft.com/office/drawing/2014/main" id="{663288E4-416D-485A-939E-C4B45479628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6177" name="cbUseEvenSecond" hidden="1">
              <a:extLst>
                <a:ext uri="{63B3BB69-23CF-44E3-9099-C40C66FF867C}">
                  <a14:compatExt spid="_x0000_s6177"/>
                </a:ext>
                <a:ext uri="{FF2B5EF4-FFF2-40B4-BE49-F238E27FC236}">
                  <a16:creationId xmlns:a16="http://schemas.microsoft.com/office/drawing/2014/main" id="{5873C746-6DC5-4CAA-A6FB-2827D646985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6178" name="AddedMember2_1" hidden="1">
              <a:extLst>
                <a:ext uri="{63B3BB69-23CF-44E3-9099-C40C66FF867C}">
                  <a14:compatExt spid="_x0000_s6178"/>
                </a:ext>
                <a:ext uri="{FF2B5EF4-FFF2-40B4-BE49-F238E27FC236}">
                  <a16:creationId xmlns:a16="http://schemas.microsoft.com/office/drawing/2014/main" id="{476C3C1F-5E5A-4049-B4C1-AF36FA073D4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6179" name="ChangeMember2_1" hidden="1">
              <a:extLst>
                <a:ext uri="{63B3BB69-23CF-44E3-9099-C40C66FF867C}">
                  <a14:compatExt spid="_x0000_s6179"/>
                </a:ext>
                <a:ext uri="{FF2B5EF4-FFF2-40B4-BE49-F238E27FC236}">
                  <a16:creationId xmlns:a16="http://schemas.microsoft.com/office/drawing/2014/main" id="{A1F3CD67-AD9A-463E-92C5-22072CC50E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6180" name="UpMember2_1" hidden="1">
              <a:extLst>
                <a:ext uri="{63B3BB69-23CF-44E3-9099-C40C66FF867C}">
                  <a14:compatExt spid="_x0000_s6180"/>
                </a:ext>
                <a:ext uri="{FF2B5EF4-FFF2-40B4-BE49-F238E27FC236}">
                  <a16:creationId xmlns:a16="http://schemas.microsoft.com/office/drawing/2014/main" id="{4E626F60-B744-4845-B5ED-773DCB4E740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6181" name="DownMember2_1" hidden="1">
              <a:extLst>
                <a:ext uri="{63B3BB69-23CF-44E3-9099-C40C66FF867C}">
                  <a14:compatExt spid="_x0000_s6181"/>
                </a:ext>
                <a:ext uri="{FF2B5EF4-FFF2-40B4-BE49-F238E27FC236}">
                  <a16:creationId xmlns:a16="http://schemas.microsoft.com/office/drawing/2014/main" id="{DE439A2C-4BA4-49A6-B5BC-00FFCF02BE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6182" name="AddedMember2_2" hidden="1">
              <a:extLst>
                <a:ext uri="{63B3BB69-23CF-44E3-9099-C40C66FF867C}">
                  <a14:compatExt spid="_x0000_s6182"/>
                </a:ext>
                <a:ext uri="{FF2B5EF4-FFF2-40B4-BE49-F238E27FC236}">
                  <a16:creationId xmlns:a16="http://schemas.microsoft.com/office/drawing/2014/main" id="{E3DE1EE0-40ED-4D02-9C13-878864BD914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6183" name="ChangeMember2_2" hidden="1">
              <a:extLst>
                <a:ext uri="{63B3BB69-23CF-44E3-9099-C40C66FF867C}">
                  <a14:compatExt spid="_x0000_s6183"/>
                </a:ext>
                <a:ext uri="{FF2B5EF4-FFF2-40B4-BE49-F238E27FC236}">
                  <a16:creationId xmlns:a16="http://schemas.microsoft.com/office/drawing/2014/main" id="{512E3F72-4565-4BD4-86BB-100A0BEF4A0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6184" name="UpMember2_2" hidden="1">
              <a:extLst>
                <a:ext uri="{63B3BB69-23CF-44E3-9099-C40C66FF867C}">
                  <a14:compatExt spid="_x0000_s6184"/>
                </a:ext>
                <a:ext uri="{FF2B5EF4-FFF2-40B4-BE49-F238E27FC236}">
                  <a16:creationId xmlns:a16="http://schemas.microsoft.com/office/drawing/2014/main" id="{B41B24F8-7442-485E-9182-C7AD2B54D46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6185" name="DownMember2_2" hidden="1">
              <a:extLst>
                <a:ext uri="{63B3BB69-23CF-44E3-9099-C40C66FF867C}">
                  <a14:compatExt spid="_x0000_s6185"/>
                </a:ext>
                <a:ext uri="{FF2B5EF4-FFF2-40B4-BE49-F238E27FC236}">
                  <a16:creationId xmlns:a16="http://schemas.microsoft.com/office/drawing/2014/main" id="{EB1F8126-30CC-4CB5-B368-0FBE521117C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6186" name="AddedMember2_3" hidden="1">
              <a:extLst>
                <a:ext uri="{63B3BB69-23CF-44E3-9099-C40C66FF867C}">
                  <a14:compatExt spid="_x0000_s6186"/>
                </a:ext>
                <a:ext uri="{FF2B5EF4-FFF2-40B4-BE49-F238E27FC236}">
                  <a16:creationId xmlns:a16="http://schemas.microsoft.com/office/drawing/2014/main" id="{770280F6-A427-404B-9FD5-B6A5852137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6187" name="ChangeMember2_3" hidden="1">
              <a:extLst>
                <a:ext uri="{63B3BB69-23CF-44E3-9099-C40C66FF867C}">
                  <a14:compatExt spid="_x0000_s6187"/>
                </a:ext>
                <a:ext uri="{FF2B5EF4-FFF2-40B4-BE49-F238E27FC236}">
                  <a16:creationId xmlns:a16="http://schemas.microsoft.com/office/drawing/2014/main" id="{621C4BCC-305A-444F-A1A5-56A2946A2CF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6188" name="UpMember2_3" hidden="1">
              <a:extLst>
                <a:ext uri="{63B3BB69-23CF-44E3-9099-C40C66FF867C}">
                  <a14:compatExt spid="_x0000_s6188"/>
                </a:ext>
                <a:ext uri="{FF2B5EF4-FFF2-40B4-BE49-F238E27FC236}">
                  <a16:creationId xmlns:a16="http://schemas.microsoft.com/office/drawing/2014/main" id="{BFB03A65-088A-40CF-9BE1-A4A6390445B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6189" name="DownMember2_3" hidden="1">
              <a:extLst>
                <a:ext uri="{63B3BB69-23CF-44E3-9099-C40C66FF867C}">
                  <a14:compatExt spid="_x0000_s6189"/>
                </a:ext>
                <a:ext uri="{FF2B5EF4-FFF2-40B4-BE49-F238E27FC236}">
                  <a16:creationId xmlns:a16="http://schemas.microsoft.com/office/drawing/2014/main" id="{8B573D70-1FCF-49D8-8701-B5915DDA95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6190" name="AddedMember2_4" hidden="1">
              <a:extLst>
                <a:ext uri="{63B3BB69-23CF-44E3-9099-C40C66FF867C}">
                  <a14:compatExt spid="_x0000_s6190"/>
                </a:ext>
                <a:ext uri="{FF2B5EF4-FFF2-40B4-BE49-F238E27FC236}">
                  <a16:creationId xmlns:a16="http://schemas.microsoft.com/office/drawing/2014/main" id="{7F723B40-D81A-4E21-99DF-6A49D17F4DD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6191" name="ChangeMember2_4" hidden="1">
              <a:extLst>
                <a:ext uri="{63B3BB69-23CF-44E3-9099-C40C66FF867C}">
                  <a14:compatExt spid="_x0000_s6191"/>
                </a:ext>
                <a:ext uri="{FF2B5EF4-FFF2-40B4-BE49-F238E27FC236}">
                  <a16:creationId xmlns:a16="http://schemas.microsoft.com/office/drawing/2014/main" id="{CC14D4A1-1B97-4DE0-A85F-535B3F8544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6192" name="UpMember2_4" hidden="1">
              <a:extLst>
                <a:ext uri="{63B3BB69-23CF-44E3-9099-C40C66FF867C}">
                  <a14:compatExt spid="_x0000_s6192"/>
                </a:ext>
                <a:ext uri="{FF2B5EF4-FFF2-40B4-BE49-F238E27FC236}">
                  <a16:creationId xmlns:a16="http://schemas.microsoft.com/office/drawing/2014/main" id="{BE1AD3F0-3C83-427A-834B-9511E388FA4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6193" name="DownMember2_4" hidden="1">
              <a:extLst>
                <a:ext uri="{63B3BB69-23CF-44E3-9099-C40C66FF867C}">
                  <a14:compatExt spid="_x0000_s6193"/>
                </a:ext>
                <a:ext uri="{FF2B5EF4-FFF2-40B4-BE49-F238E27FC236}">
                  <a16:creationId xmlns:a16="http://schemas.microsoft.com/office/drawing/2014/main" id="{1A4C3026-9E31-46C5-BB16-10FFB657724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6194" name="AddedMember2_5" hidden="1">
              <a:extLst>
                <a:ext uri="{63B3BB69-23CF-44E3-9099-C40C66FF867C}">
                  <a14:compatExt spid="_x0000_s6194"/>
                </a:ext>
                <a:ext uri="{FF2B5EF4-FFF2-40B4-BE49-F238E27FC236}">
                  <a16:creationId xmlns:a16="http://schemas.microsoft.com/office/drawing/2014/main" id="{9758A5C8-BA7E-4E4A-8CC1-32046985022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6195" name="ChangeMember2_5" hidden="1">
              <a:extLst>
                <a:ext uri="{63B3BB69-23CF-44E3-9099-C40C66FF867C}">
                  <a14:compatExt spid="_x0000_s6195"/>
                </a:ext>
                <a:ext uri="{FF2B5EF4-FFF2-40B4-BE49-F238E27FC236}">
                  <a16:creationId xmlns:a16="http://schemas.microsoft.com/office/drawing/2014/main" id="{AC21A71C-6DE2-429D-B0D7-D4C7A7C7E24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6196" name="UpMember2_5" hidden="1">
              <a:extLst>
                <a:ext uri="{63B3BB69-23CF-44E3-9099-C40C66FF867C}">
                  <a14:compatExt spid="_x0000_s6196"/>
                </a:ext>
                <a:ext uri="{FF2B5EF4-FFF2-40B4-BE49-F238E27FC236}">
                  <a16:creationId xmlns:a16="http://schemas.microsoft.com/office/drawing/2014/main" id="{1ADF20FA-5E0C-4CC1-92EE-B315DA527FF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6197" name="DownMember2_5" hidden="1">
              <a:extLst>
                <a:ext uri="{63B3BB69-23CF-44E3-9099-C40C66FF867C}">
                  <a14:compatExt spid="_x0000_s6197"/>
                </a:ext>
                <a:ext uri="{FF2B5EF4-FFF2-40B4-BE49-F238E27FC236}">
                  <a16:creationId xmlns:a16="http://schemas.microsoft.com/office/drawing/2014/main" id="{25E8253B-9CFB-40D5-BCC3-8FE8CE7D96C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6198" name="AddedMember2_6" hidden="1">
              <a:extLst>
                <a:ext uri="{63B3BB69-23CF-44E3-9099-C40C66FF867C}">
                  <a14:compatExt spid="_x0000_s6198"/>
                </a:ext>
                <a:ext uri="{FF2B5EF4-FFF2-40B4-BE49-F238E27FC236}">
                  <a16:creationId xmlns:a16="http://schemas.microsoft.com/office/drawing/2014/main" id="{100C4E13-92FE-4869-8866-0CFD30A8F80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6199" name="ChangeMember2_6" hidden="1">
              <a:extLst>
                <a:ext uri="{63B3BB69-23CF-44E3-9099-C40C66FF867C}">
                  <a14:compatExt spid="_x0000_s6199"/>
                </a:ext>
                <a:ext uri="{FF2B5EF4-FFF2-40B4-BE49-F238E27FC236}">
                  <a16:creationId xmlns:a16="http://schemas.microsoft.com/office/drawing/2014/main" id="{E7D1FB43-6F48-40D7-A0DB-D57D8CD0A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6200" name="UpMember2_6" hidden="1">
              <a:extLst>
                <a:ext uri="{63B3BB69-23CF-44E3-9099-C40C66FF867C}">
                  <a14:compatExt spid="_x0000_s6200"/>
                </a:ext>
                <a:ext uri="{FF2B5EF4-FFF2-40B4-BE49-F238E27FC236}">
                  <a16:creationId xmlns:a16="http://schemas.microsoft.com/office/drawing/2014/main" id="{768375A8-271F-4009-A139-E66594E735F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6201" name="DownMember2_6" hidden="1">
              <a:extLst>
                <a:ext uri="{63B3BB69-23CF-44E3-9099-C40C66FF867C}">
                  <a14:compatExt spid="_x0000_s6201"/>
                </a:ext>
                <a:ext uri="{FF2B5EF4-FFF2-40B4-BE49-F238E27FC236}">
                  <a16:creationId xmlns:a16="http://schemas.microsoft.com/office/drawing/2014/main" id="{E2CBE2A8-D640-445A-A545-52E939FE08C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6202" name="AddedMember2_7" hidden="1">
              <a:extLst>
                <a:ext uri="{63B3BB69-23CF-44E3-9099-C40C66FF867C}">
                  <a14:compatExt spid="_x0000_s6202"/>
                </a:ext>
                <a:ext uri="{FF2B5EF4-FFF2-40B4-BE49-F238E27FC236}">
                  <a16:creationId xmlns:a16="http://schemas.microsoft.com/office/drawing/2014/main" id="{0EB63E91-DA5A-475D-929F-86C4C8810CA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6203" name="ChangeMember2_7" hidden="1">
              <a:extLst>
                <a:ext uri="{63B3BB69-23CF-44E3-9099-C40C66FF867C}">
                  <a14:compatExt spid="_x0000_s6203"/>
                </a:ext>
                <a:ext uri="{FF2B5EF4-FFF2-40B4-BE49-F238E27FC236}">
                  <a16:creationId xmlns:a16="http://schemas.microsoft.com/office/drawing/2014/main" id="{66BF89CC-21FD-4522-99C6-9ECAD05EC62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6204" name="UpMember2_7" hidden="1">
              <a:extLst>
                <a:ext uri="{63B3BB69-23CF-44E3-9099-C40C66FF867C}">
                  <a14:compatExt spid="_x0000_s6204"/>
                </a:ext>
                <a:ext uri="{FF2B5EF4-FFF2-40B4-BE49-F238E27FC236}">
                  <a16:creationId xmlns:a16="http://schemas.microsoft.com/office/drawing/2014/main" id="{785CF083-28D3-493D-B47B-5782268D1A3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6205" name="DownMember2_7" hidden="1">
              <a:extLst>
                <a:ext uri="{63B3BB69-23CF-44E3-9099-C40C66FF867C}">
                  <a14:compatExt spid="_x0000_s6205"/>
                </a:ext>
                <a:ext uri="{FF2B5EF4-FFF2-40B4-BE49-F238E27FC236}">
                  <a16:creationId xmlns:a16="http://schemas.microsoft.com/office/drawing/2014/main" id="{0AAEF1D2-1C32-4427-8B3E-B522238EBE8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6206" name="AddedMember1_1" hidden="1">
              <a:extLst>
                <a:ext uri="{63B3BB69-23CF-44E3-9099-C40C66FF867C}">
                  <a14:compatExt spid="_x0000_s6206"/>
                </a:ext>
                <a:ext uri="{FF2B5EF4-FFF2-40B4-BE49-F238E27FC236}">
                  <a16:creationId xmlns:a16="http://schemas.microsoft.com/office/drawing/2014/main" id="{A9E52C38-9F38-4746-9EB9-8427759FCBA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6207" name="ChangeMember1_1" hidden="1">
              <a:extLst>
                <a:ext uri="{63B3BB69-23CF-44E3-9099-C40C66FF867C}">
                  <a14:compatExt spid="_x0000_s6207"/>
                </a:ext>
                <a:ext uri="{FF2B5EF4-FFF2-40B4-BE49-F238E27FC236}">
                  <a16:creationId xmlns:a16="http://schemas.microsoft.com/office/drawing/2014/main" id="{99D97235-7507-4C2C-83E0-1B984536ABD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6208" name="UpMember1_1" hidden="1">
              <a:extLst>
                <a:ext uri="{63B3BB69-23CF-44E3-9099-C40C66FF867C}">
                  <a14:compatExt spid="_x0000_s6208"/>
                </a:ext>
                <a:ext uri="{FF2B5EF4-FFF2-40B4-BE49-F238E27FC236}">
                  <a16:creationId xmlns:a16="http://schemas.microsoft.com/office/drawing/2014/main" id="{DB4ABD7F-4282-4069-80E8-0FDFC87E473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6209" name="DownMember1_1" hidden="1">
              <a:extLst>
                <a:ext uri="{63B3BB69-23CF-44E3-9099-C40C66FF867C}">
                  <a14:compatExt spid="_x0000_s6209"/>
                </a:ext>
                <a:ext uri="{FF2B5EF4-FFF2-40B4-BE49-F238E27FC236}">
                  <a16:creationId xmlns:a16="http://schemas.microsoft.com/office/drawing/2014/main" id="{161FCA60-89A7-43C1-96B9-64B3CF647CE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6210" name="AddedMember1_2" hidden="1">
              <a:extLst>
                <a:ext uri="{63B3BB69-23CF-44E3-9099-C40C66FF867C}">
                  <a14:compatExt spid="_x0000_s6210"/>
                </a:ext>
                <a:ext uri="{FF2B5EF4-FFF2-40B4-BE49-F238E27FC236}">
                  <a16:creationId xmlns:a16="http://schemas.microsoft.com/office/drawing/2014/main" id="{6C7164BB-58AD-443F-ACED-89C6D73C2AF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6211" name="ChangeMember1_2" hidden="1">
              <a:extLst>
                <a:ext uri="{63B3BB69-23CF-44E3-9099-C40C66FF867C}">
                  <a14:compatExt spid="_x0000_s6211"/>
                </a:ext>
                <a:ext uri="{FF2B5EF4-FFF2-40B4-BE49-F238E27FC236}">
                  <a16:creationId xmlns:a16="http://schemas.microsoft.com/office/drawing/2014/main" id="{4C6E28C8-7535-4B52-A9E4-619D7EF62B0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6212" name="UpMember1_2" hidden="1">
              <a:extLst>
                <a:ext uri="{63B3BB69-23CF-44E3-9099-C40C66FF867C}">
                  <a14:compatExt spid="_x0000_s6212"/>
                </a:ext>
                <a:ext uri="{FF2B5EF4-FFF2-40B4-BE49-F238E27FC236}">
                  <a16:creationId xmlns:a16="http://schemas.microsoft.com/office/drawing/2014/main" id="{E5B4C032-D461-43B5-AFCD-EBA6F7213FD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6213" name="DownMember1_2" hidden="1">
              <a:extLst>
                <a:ext uri="{63B3BB69-23CF-44E3-9099-C40C66FF867C}">
                  <a14:compatExt spid="_x0000_s6213"/>
                </a:ext>
                <a:ext uri="{FF2B5EF4-FFF2-40B4-BE49-F238E27FC236}">
                  <a16:creationId xmlns:a16="http://schemas.microsoft.com/office/drawing/2014/main" id="{9ADCDBCF-F06F-4F03-A53D-9270DA3C5BE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mments" Target="../comments2.xml"/><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4E454-077C-43BA-A843-15D424A9AAA4}">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62" t="s">
        <v>29</v>
      </c>
      <c r="C1" s="62"/>
      <c r="D1" s="62"/>
      <c r="E1" s="62"/>
      <c r="F1" s="62"/>
      <c r="G1" s="62"/>
      <c r="H1" s="62"/>
      <c r="I1" s="62"/>
      <c r="J1" s="62"/>
      <c r="K1" s="62"/>
      <c r="L1" s="62"/>
    </row>
    <row r="2" spans="1:17" ht="15.75" customHeight="1" x14ac:dyDescent="0.4">
      <c r="A2" s="26" t="s">
        <v>21</v>
      </c>
      <c r="B2" s="2"/>
      <c r="C2" s="2"/>
      <c r="D2" s="2"/>
      <c r="E2" s="2"/>
      <c r="G2" s="2"/>
      <c r="H2" s="2"/>
      <c r="I2" s="2"/>
      <c r="J2" s="78"/>
      <c r="K2" s="2"/>
      <c r="L2" s="2"/>
    </row>
    <row r="3" spans="1:17" ht="15.75" customHeight="1" x14ac:dyDescent="0.4">
      <c r="A3" s="2"/>
      <c r="B3" s="3" t="s">
        <v>0</v>
      </c>
      <c r="C3" s="2"/>
      <c r="D3" s="2"/>
      <c r="E3" s="2"/>
      <c r="F3" s="78"/>
      <c r="G3" s="2"/>
      <c r="H3" s="2"/>
      <c r="I3" s="2"/>
      <c r="J3" s="78"/>
      <c r="K3" s="2"/>
      <c r="L3" s="2"/>
    </row>
    <row r="4" spans="1:17" ht="18" customHeight="1" thickBot="1" x14ac:dyDescent="0.45">
      <c r="A4" s="2"/>
      <c r="B4" s="2"/>
      <c r="C4" s="2"/>
      <c r="D4" s="2"/>
      <c r="E4" s="2"/>
      <c r="F4" s="78"/>
      <c r="G4" s="2"/>
      <c r="H4" s="2"/>
      <c r="I4" s="2"/>
      <c r="J4" s="78"/>
      <c r="K4" s="2"/>
      <c r="L4" s="2"/>
    </row>
    <row r="5" spans="1:17" ht="28.4" customHeight="1" x14ac:dyDescent="0.35">
      <c r="A5" s="2"/>
      <c r="B5" s="63" t="s">
        <v>22</v>
      </c>
      <c r="C5" s="64"/>
      <c r="D5" s="64"/>
      <c r="E5" s="64"/>
      <c r="F5" s="64"/>
      <c r="G5" s="64"/>
      <c r="H5" s="64"/>
      <c r="I5" s="64"/>
      <c r="J5" s="64"/>
      <c r="K5" s="64"/>
      <c r="L5" s="65"/>
      <c r="Q5" s="15" t="s">
        <v>16</v>
      </c>
    </row>
    <row r="6" spans="1:17" ht="28.4" customHeight="1" thickBot="1" x14ac:dyDescent="0.4">
      <c r="A6" s="2"/>
      <c r="B6" s="66"/>
      <c r="C6" s="67"/>
      <c r="D6" s="67"/>
      <c r="E6" s="67"/>
      <c r="F6" s="67"/>
      <c r="G6" s="67"/>
      <c r="H6" s="67"/>
      <c r="I6" s="67"/>
      <c r="J6" s="67"/>
      <c r="K6" s="67"/>
      <c r="L6" s="68"/>
      <c r="Q6" s="16" t="s">
        <v>17</v>
      </c>
    </row>
    <row r="7" spans="1:17" ht="21.9" customHeight="1" x14ac:dyDescent="0.4">
      <c r="A7" s="2"/>
      <c r="B7" s="69" t="s">
        <v>8</v>
      </c>
      <c r="C7" s="13"/>
      <c r="D7" s="13"/>
      <c r="E7" s="13"/>
      <c r="F7" s="79"/>
      <c r="G7" s="13"/>
      <c r="H7" s="13"/>
      <c r="I7" s="13"/>
      <c r="J7" s="79"/>
      <c r="K7" s="13"/>
      <c r="L7" s="14"/>
      <c r="Q7" s="61" t="s">
        <v>30</v>
      </c>
    </row>
    <row r="8" spans="1:17" ht="18" customHeight="1" x14ac:dyDescent="0.4">
      <c r="A8" s="2"/>
      <c r="B8" s="47"/>
      <c r="C8" s="2"/>
      <c r="D8" s="2"/>
      <c r="E8" s="2"/>
      <c r="F8" s="78"/>
      <c r="G8" s="2"/>
      <c r="H8" s="2"/>
      <c r="I8" s="2"/>
      <c r="J8" s="78"/>
      <c r="K8" s="2"/>
      <c r="L8" s="10"/>
      <c r="Q8" s="61"/>
    </row>
    <row r="9" spans="1:17" ht="17.149999999999999" customHeight="1" x14ac:dyDescent="0.35">
      <c r="A9" s="2"/>
      <c r="B9" s="47"/>
      <c r="C9" s="5"/>
      <c r="D9" s="6"/>
      <c r="E9" s="48" t="s">
        <v>1</v>
      </c>
      <c r="F9" s="49"/>
      <c r="G9" s="50"/>
      <c r="H9" s="4" t="s">
        <v>2</v>
      </c>
      <c r="I9" s="48" t="s">
        <v>3</v>
      </c>
      <c r="J9" s="49"/>
      <c r="K9" s="50"/>
      <c r="L9" s="11" t="s">
        <v>2</v>
      </c>
      <c r="Q9" s="61"/>
    </row>
    <row r="10" spans="1:17" ht="5.15" customHeight="1" x14ac:dyDescent="0.4">
      <c r="A10" s="2"/>
      <c r="B10" s="47"/>
      <c r="C10" s="51"/>
      <c r="D10" s="2"/>
      <c r="E10" s="80"/>
      <c r="F10" s="81"/>
      <c r="G10" s="80"/>
      <c r="H10" s="8"/>
      <c r="I10" s="80"/>
      <c r="J10" s="81"/>
      <c r="K10" s="80"/>
      <c r="L10" s="10"/>
      <c r="Q10" s="61"/>
    </row>
    <row r="11" spans="1:17" ht="15.9" customHeight="1" x14ac:dyDescent="0.35">
      <c r="A11" s="2"/>
      <c r="B11" s="47"/>
      <c r="C11" s="52"/>
      <c r="D11" s="82" t="s">
        <v>5</v>
      </c>
      <c r="E11" s="80"/>
      <c r="F11" s="83">
        <v>10000</v>
      </c>
      <c r="G11" s="80"/>
      <c r="H11" s="28" t="s">
        <v>19</v>
      </c>
      <c r="I11" s="80"/>
      <c r="J11" s="84" t="s">
        <v>7</v>
      </c>
      <c r="K11" s="80"/>
      <c r="L11" s="12" t="s">
        <v>6</v>
      </c>
      <c r="Q11" s="61"/>
    </row>
    <row r="12" spans="1:17" ht="5.15" customHeight="1" thickBot="1" x14ac:dyDescent="0.45">
      <c r="A12" s="2"/>
      <c r="B12" s="70"/>
      <c r="C12" s="71"/>
      <c r="D12" s="29"/>
      <c r="E12" s="30"/>
      <c r="F12" s="85"/>
      <c r="G12" s="30"/>
      <c r="H12" s="31"/>
      <c r="I12" s="30"/>
      <c r="J12" s="85"/>
      <c r="K12" s="30"/>
      <c r="L12" s="32"/>
      <c r="Q12" s="61"/>
    </row>
    <row r="13" spans="1:17" ht="21.9" customHeight="1" x14ac:dyDescent="0.4">
      <c r="A13" s="2"/>
      <c r="B13" s="47" t="s">
        <v>4</v>
      </c>
      <c r="C13" s="2"/>
      <c r="D13" s="2"/>
      <c r="E13" s="2"/>
      <c r="F13" s="78"/>
      <c r="G13" s="2"/>
      <c r="H13" s="2"/>
      <c r="I13" s="2"/>
      <c r="J13" s="78"/>
      <c r="K13" s="2"/>
      <c r="L13" s="10"/>
      <c r="Q13" s="61"/>
    </row>
    <row r="14" spans="1:17" ht="18" customHeight="1" x14ac:dyDescent="0.4">
      <c r="A14" s="2"/>
      <c r="B14" s="47"/>
      <c r="C14" s="2"/>
      <c r="D14" s="2"/>
      <c r="E14" s="2"/>
      <c r="F14" s="78"/>
      <c r="G14" s="2"/>
      <c r="H14" s="2"/>
      <c r="I14" s="2"/>
      <c r="J14" s="78"/>
      <c r="K14" s="2"/>
      <c r="L14" s="10"/>
      <c r="Q14" s="61"/>
    </row>
    <row r="15" spans="1:17" ht="17.149999999999999" customHeight="1" x14ac:dyDescent="0.35">
      <c r="A15" s="2"/>
      <c r="B15" s="47"/>
      <c r="C15" s="5"/>
      <c r="D15" s="6"/>
      <c r="E15" s="48" t="s">
        <v>1</v>
      </c>
      <c r="F15" s="49"/>
      <c r="G15" s="50"/>
      <c r="H15" s="4" t="s">
        <v>2</v>
      </c>
      <c r="I15" s="48" t="s">
        <v>3</v>
      </c>
      <c r="J15" s="49"/>
      <c r="K15" s="50"/>
      <c r="L15" s="11" t="s">
        <v>2</v>
      </c>
      <c r="Q15" s="61"/>
    </row>
    <row r="16" spans="1:17" ht="5.15" customHeight="1" x14ac:dyDescent="0.4">
      <c r="A16" s="2"/>
      <c r="B16" s="47"/>
      <c r="C16" s="51"/>
      <c r="D16" s="2"/>
      <c r="E16" s="80"/>
      <c r="F16" s="81"/>
      <c r="G16" s="80"/>
      <c r="H16" s="8"/>
      <c r="I16" s="80"/>
      <c r="J16" s="81"/>
      <c r="K16" s="80"/>
      <c r="L16" s="10"/>
      <c r="Q16" s="61"/>
    </row>
    <row r="17" spans="1:17" ht="15.9" customHeight="1" x14ac:dyDescent="0.35">
      <c r="A17" s="2"/>
      <c r="B17" s="47"/>
      <c r="C17" s="52"/>
      <c r="D17" s="82" t="s">
        <v>5</v>
      </c>
      <c r="E17" s="80"/>
      <c r="F17" s="83">
        <v>10000</v>
      </c>
      <c r="G17" s="80"/>
      <c r="H17" s="28" t="s">
        <v>6</v>
      </c>
      <c r="I17" s="80"/>
      <c r="J17" s="86" t="s">
        <v>7</v>
      </c>
      <c r="K17" s="80"/>
      <c r="L17" s="12" t="s">
        <v>6</v>
      </c>
      <c r="Q17" s="61"/>
    </row>
    <row r="18" spans="1:17" ht="5.15" customHeight="1" thickBot="1" x14ac:dyDescent="0.45">
      <c r="A18" s="2"/>
      <c r="B18" s="70"/>
      <c r="C18" s="71"/>
      <c r="D18" s="29"/>
      <c r="E18" s="30"/>
      <c r="F18" s="85"/>
      <c r="G18" s="30"/>
      <c r="H18" s="31"/>
      <c r="I18" s="30"/>
      <c r="J18" s="85"/>
      <c r="K18" s="30"/>
      <c r="L18" s="32"/>
      <c r="Q18" s="61"/>
    </row>
    <row r="19" spans="1:17" ht="9" customHeight="1" x14ac:dyDescent="0.4">
      <c r="A19" s="2"/>
      <c r="B19" s="2"/>
      <c r="C19" s="2"/>
      <c r="D19" s="2"/>
      <c r="E19" s="2"/>
      <c r="F19" s="78"/>
      <c r="G19" s="2"/>
      <c r="H19" s="2"/>
      <c r="I19" s="2"/>
      <c r="J19" s="78"/>
      <c r="K19" s="2"/>
      <c r="L19" s="2"/>
      <c r="Q19" s="61"/>
    </row>
    <row r="20" spans="1:17" ht="24.65" customHeight="1" x14ac:dyDescent="0.4">
      <c r="A20" s="2"/>
      <c r="B20" s="2"/>
      <c r="C20" s="2"/>
      <c r="D20" s="2"/>
      <c r="E20" s="2"/>
      <c r="F20" s="78"/>
      <c r="G20" s="2"/>
      <c r="H20" s="2"/>
      <c r="I20" s="2"/>
      <c r="J20" s="78"/>
      <c r="K20" s="2"/>
      <c r="L20" s="2"/>
      <c r="Q20" s="17"/>
    </row>
    <row r="21" spans="1:17" ht="15" customHeight="1" thickBot="1" x14ac:dyDescent="0.45">
      <c r="A21" s="2"/>
      <c r="B21" s="2"/>
      <c r="C21" s="2"/>
      <c r="D21" s="2"/>
      <c r="E21" s="2"/>
      <c r="F21" s="78"/>
      <c r="G21" s="2"/>
      <c r="H21" s="2"/>
      <c r="I21" s="2"/>
      <c r="J21" s="78"/>
      <c r="K21" s="2"/>
      <c r="L21" s="2"/>
      <c r="Q21" s="18" t="s">
        <v>18</v>
      </c>
    </row>
    <row r="22" spans="1:17" ht="28.4" customHeight="1" x14ac:dyDescent="0.35">
      <c r="A22" s="2"/>
      <c r="B22" s="54" t="s">
        <v>9</v>
      </c>
      <c r="C22" s="55"/>
      <c r="D22" s="55"/>
      <c r="E22" s="55"/>
      <c r="F22" s="55"/>
      <c r="G22" s="55"/>
      <c r="H22" s="55"/>
      <c r="I22" s="55"/>
      <c r="J22" s="55"/>
      <c r="K22" s="55"/>
      <c r="L22" s="56"/>
      <c r="Q22" s="61" t="s">
        <v>25</v>
      </c>
    </row>
    <row r="23" spans="1:17" ht="28.4" customHeight="1" x14ac:dyDescent="0.35">
      <c r="A23" s="2"/>
      <c r="B23" s="57"/>
      <c r="C23" s="58"/>
      <c r="D23" s="58"/>
      <c r="E23" s="58"/>
      <c r="F23" s="58"/>
      <c r="G23" s="58"/>
      <c r="H23" s="58"/>
      <c r="I23" s="58"/>
      <c r="J23" s="58"/>
      <c r="K23" s="58"/>
      <c r="L23" s="59"/>
      <c r="Q23" s="61"/>
    </row>
    <row r="24" spans="1:17" ht="18" customHeight="1" x14ac:dyDescent="0.4">
      <c r="A24" s="2"/>
      <c r="B24" s="46" t="s">
        <v>4</v>
      </c>
      <c r="C24" s="2"/>
      <c r="D24" s="2"/>
      <c r="E24" s="2"/>
      <c r="F24" s="78"/>
      <c r="G24" s="2"/>
      <c r="H24" s="2"/>
      <c r="I24" s="2"/>
      <c r="J24" s="78"/>
      <c r="K24" s="2"/>
      <c r="L24" s="10"/>
      <c r="Q24" s="61"/>
    </row>
    <row r="25" spans="1:17" ht="17.149999999999999" customHeight="1" x14ac:dyDescent="0.35">
      <c r="A25" s="2"/>
      <c r="B25" s="47"/>
      <c r="C25" s="5"/>
      <c r="D25" s="6"/>
      <c r="E25" s="48" t="s">
        <v>1</v>
      </c>
      <c r="F25" s="49"/>
      <c r="G25" s="50"/>
      <c r="H25" s="4" t="s">
        <v>2</v>
      </c>
      <c r="I25" s="48" t="s">
        <v>3</v>
      </c>
      <c r="J25" s="49"/>
      <c r="K25" s="50"/>
      <c r="L25" s="11" t="s">
        <v>2</v>
      </c>
      <c r="Q25" s="61"/>
    </row>
    <row r="26" spans="1:17" ht="5.15" customHeight="1" x14ac:dyDescent="0.4">
      <c r="A26" s="2"/>
      <c r="B26" s="47"/>
      <c r="C26" s="52"/>
      <c r="D26" s="2"/>
      <c r="E26" s="80"/>
      <c r="F26" s="81"/>
      <c r="G26" s="80"/>
      <c r="H26" s="9"/>
      <c r="I26" s="80"/>
      <c r="J26" s="81"/>
      <c r="K26" s="80"/>
      <c r="L26" s="10"/>
      <c r="Q26" s="61"/>
    </row>
    <row r="27" spans="1:17" ht="15.9" customHeight="1" x14ac:dyDescent="0.35">
      <c r="A27" s="2"/>
      <c r="B27" s="47"/>
      <c r="C27" s="52"/>
      <c r="D27" s="82" t="s">
        <v>23</v>
      </c>
      <c r="E27" s="80"/>
      <c r="F27" s="83">
        <v>10000</v>
      </c>
      <c r="G27" s="80"/>
      <c r="H27" s="28" t="s">
        <v>6</v>
      </c>
      <c r="I27" s="80"/>
      <c r="J27" s="87" t="s">
        <v>7</v>
      </c>
      <c r="K27" s="80"/>
      <c r="L27" s="12" t="s">
        <v>6</v>
      </c>
      <c r="Q27" s="61"/>
    </row>
    <row r="28" spans="1:17" ht="5.15" customHeight="1" x14ac:dyDescent="0.4">
      <c r="A28" s="2"/>
      <c r="B28" s="47"/>
      <c r="C28" s="53"/>
      <c r="D28" s="44"/>
      <c r="E28" s="7"/>
      <c r="F28" s="88"/>
      <c r="G28" s="7"/>
      <c r="H28" s="6"/>
      <c r="I28" s="7"/>
      <c r="J28" s="88"/>
      <c r="K28" s="7"/>
      <c r="L28" s="45"/>
      <c r="Q28" s="61"/>
    </row>
    <row r="29" spans="1:17" ht="5.15" customHeight="1" x14ac:dyDescent="0.4">
      <c r="A29" s="2"/>
      <c r="B29" s="47"/>
      <c r="C29" s="52"/>
      <c r="D29" s="2"/>
      <c r="E29" s="80"/>
      <c r="F29" s="81"/>
      <c r="G29" s="80"/>
      <c r="H29" s="9"/>
      <c r="I29" s="80"/>
      <c r="J29" s="81"/>
      <c r="K29" s="80"/>
      <c r="L29" s="10"/>
      <c r="Q29" s="61"/>
    </row>
    <row r="30" spans="1:17" ht="15.9" customHeight="1" x14ac:dyDescent="0.4">
      <c r="A30" s="2"/>
      <c r="B30" s="47"/>
      <c r="C30" s="52"/>
      <c r="D30" s="82" t="s">
        <v>24</v>
      </c>
      <c r="E30" s="80"/>
      <c r="F30" s="89">
        <v>10000</v>
      </c>
      <c r="G30" s="80"/>
      <c r="H30" s="28" t="s">
        <v>6</v>
      </c>
      <c r="I30" s="80"/>
      <c r="J30" s="87" t="s">
        <v>7</v>
      </c>
      <c r="K30" s="80"/>
      <c r="L30" s="12" t="s">
        <v>19</v>
      </c>
      <c r="Q30" s="19"/>
    </row>
    <row r="31" spans="1:17" ht="5.15" customHeight="1" x14ac:dyDescent="0.4">
      <c r="A31" s="2"/>
      <c r="B31" s="47"/>
      <c r="C31" s="53"/>
      <c r="D31" s="44"/>
      <c r="E31" s="7"/>
      <c r="F31" s="88"/>
      <c r="G31" s="7"/>
      <c r="H31" s="6"/>
      <c r="I31" s="7"/>
      <c r="J31" s="88"/>
      <c r="K31" s="7"/>
      <c r="L31" s="45"/>
    </row>
    <row r="32" spans="1:17" ht="5.15" customHeight="1" x14ac:dyDescent="0.4">
      <c r="A32" s="2"/>
      <c r="B32" s="47"/>
      <c r="C32" s="52"/>
      <c r="D32" s="2"/>
      <c r="E32" s="80"/>
      <c r="F32" s="81"/>
      <c r="G32" s="80"/>
      <c r="H32" s="9"/>
      <c r="I32" s="80"/>
      <c r="J32" s="81"/>
      <c r="K32" s="80"/>
      <c r="L32" s="10"/>
    </row>
    <row r="33" spans="1:12" ht="15.9" customHeight="1" x14ac:dyDescent="0.35">
      <c r="A33" s="2"/>
      <c r="B33" s="47"/>
      <c r="C33" s="52"/>
      <c r="D33" s="82" t="s">
        <v>10</v>
      </c>
      <c r="E33" s="80"/>
      <c r="F33" s="83">
        <v>10000</v>
      </c>
      <c r="G33" s="80"/>
      <c r="H33" s="28" t="s">
        <v>6</v>
      </c>
      <c r="I33" s="80"/>
      <c r="J33" s="87" t="s">
        <v>7</v>
      </c>
      <c r="K33" s="80"/>
      <c r="L33" s="12" t="s">
        <v>6</v>
      </c>
    </row>
    <row r="34" spans="1:12" ht="5.15" customHeight="1" x14ac:dyDescent="0.4">
      <c r="A34" s="2"/>
      <c r="B34" s="47"/>
      <c r="C34" s="53"/>
      <c r="D34" s="44"/>
      <c r="E34" s="7"/>
      <c r="F34" s="88"/>
      <c r="G34" s="7"/>
      <c r="H34" s="6"/>
      <c r="I34" s="7"/>
      <c r="J34" s="88"/>
      <c r="K34" s="7"/>
      <c r="L34" s="45"/>
    </row>
    <row r="35" spans="1:12" ht="5.15" customHeight="1" x14ac:dyDescent="0.4">
      <c r="A35" s="2"/>
      <c r="B35" s="47"/>
      <c r="C35" s="52"/>
      <c r="D35" s="2"/>
      <c r="E35" s="80"/>
      <c r="F35" s="81"/>
      <c r="G35" s="80"/>
      <c r="H35" s="9"/>
      <c r="I35" s="80"/>
      <c r="J35" s="81"/>
      <c r="K35" s="80"/>
      <c r="L35" s="10"/>
    </row>
    <row r="36" spans="1:12" ht="15.9" customHeight="1" x14ac:dyDescent="0.35">
      <c r="A36" s="2"/>
      <c r="B36" s="47"/>
      <c r="C36" s="52"/>
      <c r="D36" s="82" t="s">
        <v>11</v>
      </c>
      <c r="E36" s="80"/>
      <c r="F36" s="90">
        <v>10000</v>
      </c>
      <c r="G36" s="80"/>
      <c r="H36" s="28" t="s">
        <v>20</v>
      </c>
      <c r="I36" s="80"/>
      <c r="J36" s="87" t="s">
        <v>7</v>
      </c>
      <c r="K36" s="80"/>
      <c r="L36" s="12" t="s">
        <v>19</v>
      </c>
    </row>
    <row r="37" spans="1:12" ht="5.15" customHeight="1" x14ac:dyDescent="0.4">
      <c r="A37" s="2"/>
      <c r="B37" s="47"/>
      <c r="C37" s="53"/>
      <c r="D37" s="44"/>
      <c r="E37" s="7"/>
      <c r="F37" s="88"/>
      <c r="G37" s="7"/>
      <c r="H37" s="6"/>
      <c r="I37" s="7"/>
      <c r="J37" s="88"/>
      <c r="K37" s="7"/>
      <c r="L37" s="45"/>
    </row>
    <row r="38" spans="1:12" ht="5.15" customHeight="1" x14ac:dyDescent="0.4">
      <c r="A38" s="2"/>
      <c r="B38" s="47"/>
      <c r="C38" s="52"/>
      <c r="D38" s="2"/>
      <c r="E38" s="80"/>
      <c r="F38" s="81"/>
      <c r="G38" s="80"/>
      <c r="H38" s="9"/>
      <c r="I38" s="80"/>
      <c r="J38" s="81"/>
      <c r="K38" s="80"/>
      <c r="L38" s="10"/>
    </row>
    <row r="39" spans="1:12" ht="15.9" customHeight="1" x14ac:dyDescent="0.4">
      <c r="A39" s="2"/>
      <c r="B39" s="47"/>
      <c r="C39" s="52"/>
      <c r="D39" s="82" t="s">
        <v>12</v>
      </c>
      <c r="E39" s="80"/>
      <c r="F39" s="81"/>
      <c r="G39" s="80"/>
      <c r="H39" s="9"/>
      <c r="I39" s="80"/>
      <c r="J39" s="81"/>
      <c r="K39" s="80"/>
      <c r="L39" s="10"/>
    </row>
    <row r="40" spans="1:12" ht="5.15" customHeight="1" x14ac:dyDescent="0.4">
      <c r="A40" s="2"/>
      <c r="B40" s="47"/>
      <c r="C40" s="42"/>
      <c r="D40" s="82"/>
      <c r="E40" s="80"/>
      <c r="F40" s="81"/>
      <c r="G40" s="80"/>
      <c r="H40" s="9"/>
      <c r="I40" s="80"/>
      <c r="J40" s="81"/>
      <c r="K40" s="80"/>
      <c r="L40" s="10"/>
    </row>
    <row r="41" spans="1:12" ht="15.9" customHeight="1" x14ac:dyDescent="0.35">
      <c r="A41" s="2"/>
      <c r="B41" s="47"/>
      <c r="C41" s="42"/>
      <c r="D41" s="91" t="s">
        <v>26</v>
      </c>
      <c r="E41" s="80"/>
      <c r="F41" s="92">
        <v>10000</v>
      </c>
      <c r="G41" s="80"/>
      <c r="H41" s="28" t="s">
        <v>27</v>
      </c>
      <c r="I41" s="80"/>
      <c r="J41" s="93" t="s">
        <v>7</v>
      </c>
      <c r="K41" s="80"/>
      <c r="L41" s="12" t="s">
        <v>27</v>
      </c>
    </row>
    <row r="42" spans="1:12" ht="5.15" customHeight="1" x14ac:dyDescent="0.4">
      <c r="A42" s="2"/>
      <c r="B42" s="47"/>
      <c r="C42" s="42"/>
      <c r="D42" s="24"/>
      <c r="E42" s="7"/>
      <c r="F42" s="88"/>
      <c r="G42" s="7"/>
      <c r="H42" s="6"/>
      <c r="I42" s="7"/>
      <c r="J42" s="88"/>
      <c r="K42" s="7"/>
      <c r="L42" s="45"/>
    </row>
    <row r="43" spans="1:12" ht="5.15" customHeight="1" x14ac:dyDescent="0.4">
      <c r="A43" s="2"/>
      <c r="B43" s="47"/>
      <c r="C43" s="42"/>
      <c r="D43" s="82"/>
      <c r="E43" s="80"/>
      <c r="F43" s="81"/>
      <c r="G43" s="80"/>
      <c r="H43" s="9"/>
      <c r="I43" s="80"/>
      <c r="J43" s="81"/>
      <c r="K43" s="80"/>
      <c r="L43" s="10"/>
    </row>
    <row r="44" spans="1:12" ht="15.9" customHeight="1" x14ac:dyDescent="0.35">
      <c r="A44" s="2"/>
      <c r="B44" s="47"/>
      <c r="C44" s="42"/>
      <c r="D44" s="94" t="s">
        <v>31</v>
      </c>
      <c r="E44" s="80"/>
      <c r="F44" s="95">
        <v>10000</v>
      </c>
      <c r="G44" s="80"/>
      <c r="H44" s="28" t="s">
        <v>32</v>
      </c>
      <c r="I44" s="80"/>
      <c r="J44" s="87" t="s">
        <v>7</v>
      </c>
      <c r="K44" s="80"/>
      <c r="L44" s="12" t="s">
        <v>19</v>
      </c>
    </row>
    <row r="45" spans="1:12" ht="5.15" customHeight="1" x14ac:dyDescent="0.4">
      <c r="A45" s="2"/>
      <c r="B45" s="47"/>
      <c r="C45" s="42"/>
      <c r="D45" s="24"/>
      <c r="E45" s="7"/>
      <c r="F45" s="88"/>
      <c r="G45" s="7"/>
      <c r="H45" s="6"/>
      <c r="I45" s="7"/>
      <c r="J45" s="88"/>
      <c r="K45" s="7"/>
      <c r="L45" s="45"/>
    </row>
    <row r="46" spans="1:12" ht="21.9" customHeight="1" x14ac:dyDescent="0.4">
      <c r="A46" s="2"/>
      <c r="B46" s="47"/>
      <c r="C46" s="42"/>
      <c r="D46" s="2"/>
      <c r="E46" s="2"/>
      <c r="F46" s="78"/>
      <c r="G46" s="2"/>
      <c r="H46" s="9"/>
      <c r="I46" s="2"/>
      <c r="J46" s="78"/>
      <c r="K46" s="2"/>
      <c r="L46" s="10"/>
    </row>
    <row r="47" spans="1:12" ht="5.15" customHeight="1" thickBot="1" x14ac:dyDescent="0.45">
      <c r="A47" s="2"/>
      <c r="B47" s="70"/>
      <c r="C47" s="43"/>
      <c r="D47" s="29"/>
      <c r="E47" s="29"/>
      <c r="F47" s="96"/>
      <c r="G47" s="29"/>
      <c r="H47" s="31"/>
      <c r="I47" s="29"/>
      <c r="J47" s="96"/>
      <c r="K47" s="29"/>
      <c r="L47" s="32"/>
    </row>
    <row r="48" spans="1:12" ht="15.9" customHeight="1" x14ac:dyDescent="0.4">
      <c r="A48" s="2"/>
      <c r="B48" s="69" t="s">
        <v>8</v>
      </c>
      <c r="C48" s="13"/>
      <c r="D48" s="13"/>
      <c r="E48" s="13"/>
      <c r="F48" s="79"/>
      <c r="G48" s="13"/>
      <c r="H48" s="13"/>
      <c r="I48" s="13"/>
      <c r="J48" s="79"/>
      <c r="K48" s="13"/>
      <c r="L48" s="14"/>
    </row>
    <row r="49" spans="1:12" ht="18" customHeight="1" x14ac:dyDescent="0.35">
      <c r="A49" s="2"/>
      <c r="B49" s="47"/>
      <c r="C49" s="5"/>
      <c r="D49" s="6"/>
      <c r="E49" s="48" t="s">
        <v>1</v>
      </c>
      <c r="F49" s="49"/>
      <c r="G49" s="50"/>
      <c r="H49" s="4" t="s">
        <v>2</v>
      </c>
      <c r="I49" s="48" t="s">
        <v>3</v>
      </c>
      <c r="J49" s="49"/>
      <c r="K49" s="50"/>
      <c r="L49" s="11" t="s">
        <v>2</v>
      </c>
    </row>
    <row r="50" spans="1:12" ht="5.15" customHeight="1" x14ac:dyDescent="0.4">
      <c r="A50" s="2"/>
      <c r="B50" s="47"/>
      <c r="C50" s="52"/>
      <c r="D50" s="2"/>
      <c r="E50" s="80"/>
      <c r="F50" s="81"/>
      <c r="G50" s="80"/>
      <c r="H50" s="9"/>
      <c r="I50" s="80"/>
      <c r="J50" s="81"/>
      <c r="K50" s="80"/>
      <c r="L50" s="10"/>
    </row>
    <row r="51" spans="1:12" ht="15.9" customHeight="1" x14ac:dyDescent="0.35">
      <c r="A51" s="2"/>
      <c r="B51" s="47"/>
      <c r="C51" s="52"/>
      <c r="D51" s="82" t="s">
        <v>23</v>
      </c>
      <c r="E51" s="80"/>
      <c r="F51" s="83">
        <v>10000</v>
      </c>
      <c r="G51" s="80"/>
      <c r="H51" s="28" t="s">
        <v>6</v>
      </c>
      <c r="I51" s="80"/>
      <c r="J51" s="87" t="s">
        <v>7</v>
      </c>
      <c r="K51" s="80"/>
      <c r="L51" s="12" t="s">
        <v>6</v>
      </c>
    </row>
    <row r="52" spans="1:12" ht="5.15" customHeight="1" x14ac:dyDescent="0.4">
      <c r="A52" s="2"/>
      <c r="B52" s="47"/>
      <c r="C52" s="53"/>
      <c r="D52" s="44"/>
      <c r="E52" s="7"/>
      <c r="F52" s="88"/>
      <c r="G52" s="7"/>
      <c r="H52" s="6"/>
      <c r="I52" s="7"/>
      <c r="J52" s="88"/>
      <c r="K52" s="7"/>
      <c r="L52" s="45"/>
    </row>
    <row r="53" spans="1:12" ht="5.15" customHeight="1" x14ac:dyDescent="0.4">
      <c r="A53" s="2"/>
      <c r="B53" s="47"/>
      <c r="C53" s="52"/>
      <c r="D53" s="2"/>
      <c r="E53" s="80"/>
      <c r="F53" s="81"/>
      <c r="G53" s="80"/>
      <c r="H53" s="9"/>
      <c r="I53" s="80"/>
      <c r="J53" s="81"/>
      <c r="K53" s="80"/>
      <c r="L53" s="10"/>
    </row>
    <row r="54" spans="1:12" ht="15.9" customHeight="1" x14ac:dyDescent="0.35">
      <c r="A54" s="2"/>
      <c r="B54" s="47"/>
      <c r="C54" s="52"/>
      <c r="D54" s="82" t="s">
        <v>24</v>
      </c>
      <c r="E54" s="80"/>
      <c r="F54" s="89">
        <v>10000</v>
      </c>
      <c r="G54" s="80"/>
      <c r="H54" s="28" t="s">
        <v>20</v>
      </c>
      <c r="I54" s="80"/>
      <c r="J54" s="87" t="s">
        <v>7</v>
      </c>
      <c r="K54" s="80"/>
      <c r="L54" s="12" t="s">
        <v>19</v>
      </c>
    </row>
    <row r="55" spans="1:12" ht="5.15" customHeight="1" x14ac:dyDescent="0.4">
      <c r="A55" s="2"/>
      <c r="B55" s="47"/>
      <c r="C55" s="53"/>
      <c r="D55" s="44"/>
      <c r="E55" s="7"/>
      <c r="F55" s="88"/>
      <c r="G55" s="7"/>
      <c r="H55" s="6"/>
      <c r="I55" s="7"/>
      <c r="J55" s="88"/>
      <c r="K55" s="7"/>
      <c r="L55" s="45"/>
    </row>
    <row r="56" spans="1:12" ht="5.15" customHeight="1" x14ac:dyDescent="0.4">
      <c r="A56" s="2"/>
      <c r="B56" s="47"/>
      <c r="C56" s="52"/>
      <c r="D56" s="2"/>
      <c r="E56" s="80"/>
      <c r="F56" s="81"/>
      <c r="G56" s="80"/>
      <c r="H56" s="9"/>
      <c r="I56" s="80"/>
      <c r="J56" s="81"/>
      <c r="K56" s="80"/>
      <c r="L56" s="10"/>
    </row>
    <row r="57" spans="1:12" ht="15.9" customHeight="1" x14ac:dyDescent="0.35">
      <c r="A57" s="2"/>
      <c r="B57" s="47"/>
      <c r="C57" s="52"/>
      <c r="D57" s="82" t="s">
        <v>10</v>
      </c>
      <c r="E57" s="80"/>
      <c r="F57" s="89">
        <v>10000</v>
      </c>
      <c r="G57" s="80"/>
      <c r="H57" s="28" t="s">
        <v>6</v>
      </c>
      <c r="I57" s="80"/>
      <c r="J57" s="87" t="s">
        <v>7</v>
      </c>
      <c r="K57" s="80"/>
      <c r="L57" s="12" t="s">
        <v>6</v>
      </c>
    </row>
    <row r="58" spans="1:12" ht="5.15" customHeight="1" x14ac:dyDescent="0.4">
      <c r="A58" s="2"/>
      <c r="B58" s="47"/>
      <c r="C58" s="53"/>
      <c r="D58" s="44"/>
      <c r="E58" s="7"/>
      <c r="F58" s="88"/>
      <c r="G58" s="7"/>
      <c r="H58" s="6"/>
      <c r="I58" s="7"/>
      <c r="J58" s="88"/>
      <c r="K58" s="7"/>
      <c r="L58" s="45"/>
    </row>
    <row r="59" spans="1:12" ht="5.15" customHeight="1" x14ac:dyDescent="0.4">
      <c r="A59" s="2"/>
      <c r="B59" s="47"/>
      <c r="C59" s="52"/>
      <c r="D59" s="2"/>
      <c r="E59" s="80"/>
      <c r="F59" s="81"/>
      <c r="G59" s="80"/>
      <c r="H59" s="9"/>
      <c r="I59" s="80"/>
      <c r="J59" s="81"/>
      <c r="K59" s="80"/>
      <c r="L59" s="10"/>
    </row>
    <row r="60" spans="1:12" ht="15.9" customHeight="1" x14ac:dyDescent="0.35">
      <c r="A60" s="2"/>
      <c r="B60" s="47"/>
      <c r="C60" s="52"/>
      <c r="D60" s="82" t="s">
        <v>11</v>
      </c>
      <c r="E60" s="80"/>
      <c r="F60" s="89">
        <v>10000</v>
      </c>
      <c r="G60" s="80"/>
      <c r="H60" s="28" t="s">
        <v>6</v>
      </c>
      <c r="I60" s="80"/>
      <c r="J60" s="87" t="s">
        <v>7</v>
      </c>
      <c r="K60" s="80"/>
      <c r="L60" s="12" t="s">
        <v>6</v>
      </c>
    </row>
    <row r="61" spans="1:12" ht="5.15" customHeight="1" x14ac:dyDescent="0.4">
      <c r="A61" s="2"/>
      <c r="B61" s="47"/>
      <c r="C61" s="53"/>
      <c r="D61" s="44"/>
      <c r="E61" s="7"/>
      <c r="F61" s="88"/>
      <c r="G61" s="7"/>
      <c r="H61" s="6"/>
      <c r="I61" s="7"/>
      <c r="J61" s="88"/>
      <c r="K61" s="7"/>
      <c r="L61" s="45"/>
    </row>
    <row r="62" spans="1:12" ht="5.15" customHeight="1" x14ac:dyDescent="0.4">
      <c r="A62" s="2"/>
      <c r="B62" s="47"/>
      <c r="C62" s="52"/>
      <c r="D62" s="2"/>
      <c r="E62" s="80"/>
      <c r="F62" s="81"/>
      <c r="G62" s="80"/>
      <c r="H62" s="9"/>
      <c r="I62" s="80"/>
      <c r="J62" s="81"/>
      <c r="K62" s="80"/>
      <c r="L62" s="10"/>
    </row>
    <row r="63" spans="1:12" ht="15.9" customHeight="1" x14ac:dyDescent="0.4">
      <c r="A63" s="2"/>
      <c r="B63" s="47"/>
      <c r="C63" s="52"/>
      <c r="D63" s="82" t="s">
        <v>12</v>
      </c>
      <c r="E63" s="80"/>
      <c r="F63" s="81"/>
      <c r="G63" s="80"/>
      <c r="H63" s="9"/>
      <c r="I63" s="80"/>
      <c r="J63" s="81"/>
      <c r="K63" s="80"/>
      <c r="L63" s="10"/>
    </row>
    <row r="64" spans="1:12" ht="5.15" customHeight="1" x14ac:dyDescent="0.4">
      <c r="A64" s="2"/>
      <c r="B64" s="47"/>
      <c r="C64" s="42"/>
      <c r="D64" s="82"/>
      <c r="E64" s="80"/>
      <c r="F64" s="81"/>
      <c r="G64" s="80"/>
      <c r="H64" s="9"/>
      <c r="I64" s="80"/>
      <c r="J64" s="81"/>
      <c r="K64" s="80"/>
      <c r="L64" s="10"/>
    </row>
    <row r="65" spans="1:12" ht="15.9" customHeight="1" x14ac:dyDescent="0.35">
      <c r="A65" s="2"/>
      <c r="B65" s="47"/>
      <c r="C65" s="42"/>
      <c r="D65" s="91" t="s">
        <v>33</v>
      </c>
      <c r="E65" s="80"/>
      <c r="F65" s="97">
        <v>10000</v>
      </c>
      <c r="G65" s="80"/>
      <c r="H65" s="28" t="s">
        <v>27</v>
      </c>
      <c r="I65" s="80"/>
      <c r="J65" s="87" t="s">
        <v>7</v>
      </c>
      <c r="K65" s="80"/>
      <c r="L65" s="12" t="s">
        <v>19</v>
      </c>
    </row>
    <row r="66" spans="1:12" ht="5.15" customHeight="1" x14ac:dyDescent="0.4">
      <c r="A66" s="2"/>
      <c r="B66" s="47"/>
      <c r="C66" s="42"/>
      <c r="D66" s="24"/>
      <c r="E66" s="7"/>
      <c r="F66" s="88"/>
      <c r="G66" s="7"/>
      <c r="H66" s="6"/>
      <c r="I66" s="7"/>
      <c r="J66" s="88"/>
      <c r="K66" s="7"/>
      <c r="L66" s="45"/>
    </row>
    <row r="67" spans="1:12" ht="5.15" customHeight="1" x14ac:dyDescent="0.4">
      <c r="A67" s="2"/>
      <c r="B67" s="47"/>
      <c r="C67" s="42"/>
      <c r="D67" s="82"/>
      <c r="E67" s="80"/>
      <c r="F67" s="81"/>
      <c r="G67" s="80"/>
      <c r="H67" s="9"/>
      <c r="I67" s="80"/>
      <c r="J67" s="81"/>
      <c r="K67" s="80"/>
      <c r="L67" s="10"/>
    </row>
    <row r="68" spans="1:12" ht="15.9" customHeight="1" x14ac:dyDescent="0.35">
      <c r="A68" s="2"/>
      <c r="B68" s="47"/>
      <c r="C68" s="42"/>
      <c r="D68" s="91" t="s">
        <v>34</v>
      </c>
      <c r="E68" s="80"/>
      <c r="F68" s="83">
        <v>10000</v>
      </c>
      <c r="G68" s="80"/>
      <c r="H68" s="28" t="s">
        <v>19</v>
      </c>
      <c r="I68" s="80"/>
      <c r="J68" s="98" t="s">
        <v>7</v>
      </c>
      <c r="K68" s="80"/>
      <c r="L68" s="12" t="s">
        <v>20</v>
      </c>
    </row>
    <row r="69" spans="1:12" ht="5.15" customHeight="1" x14ac:dyDescent="0.4">
      <c r="A69" s="2"/>
      <c r="B69" s="47"/>
      <c r="C69" s="42"/>
      <c r="D69" s="24"/>
      <c r="E69" s="7"/>
      <c r="F69" s="88"/>
      <c r="G69" s="7"/>
      <c r="H69" s="6"/>
      <c r="I69" s="7"/>
      <c r="J69" s="88"/>
      <c r="K69" s="7"/>
      <c r="L69" s="45"/>
    </row>
    <row r="70" spans="1:12" ht="5.15" customHeight="1" x14ac:dyDescent="0.4">
      <c r="A70" s="2"/>
      <c r="B70" s="47"/>
      <c r="C70" s="42"/>
      <c r="D70" s="82"/>
      <c r="E70" s="80"/>
      <c r="F70" s="81"/>
      <c r="G70" s="80"/>
      <c r="H70" s="9"/>
      <c r="I70" s="80"/>
      <c r="J70" s="81"/>
      <c r="K70" s="80"/>
      <c r="L70" s="10"/>
    </row>
    <row r="71" spans="1:12" ht="15.9" customHeight="1" x14ac:dyDescent="0.35">
      <c r="A71" s="2"/>
      <c r="B71" s="47"/>
      <c r="C71" s="42"/>
      <c r="D71" s="91" t="s">
        <v>35</v>
      </c>
      <c r="E71" s="80"/>
      <c r="F71" s="83">
        <v>10000</v>
      </c>
      <c r="G71" s="80"/>
      <c r="H71" s="28" t="s">
        <v>19</v>
      </c>
      <c r="I71" s="80"/>
      <c r="J71" s="99" t="s">
        <v>7</v>
      </c>
      <c r="K71" s="80"/>
      <c r="L71" s="12" t="s">
        <v>20</v>
      </c>
    </row>
    <row r="72" spans="1:12" ht="5.15" customHeight="1" x14ac:dyDescent="0.4">
      <c r="A72" s="2"/>
      <c r="B72" s="47"/>
      <c r="C72" s="42"/>
      <c r="D72" s="24"/>
      <c r="E72" s="7"/>
      <c r="F72" s="88"/>
      <c r="G72" s="7"/>
      <c r="H72" s="6"/>
      <c r="I72" s="7"/>
      <c r="J72" s="88"/>
      <c r="K72" s="7"/>
      <c r="L72" s="45"/>
    </row>
    <row r="73" spans="1:12" ht="5.15" customHeight="1" x14ac:dyDescent="0.4">
      <c r="A73" s="2"/>
      <c r="B73" s="47"/>
      <c r="C73" s="42"/>
      <c r="D73" s="82"/>
      <c r="E73" s="80"/>
      <c r="F73" s="81"/>
      <c r="G73" s="80"/>
      <c r="H73" s="9"/>
      <c r="I73" s="80"/>
      <c r="J73" s="81"/>
      <c r="K73" s="80"/>
      <c r="L73" s="10"/>
    </row>
    <row r="74" spans="1:12" ht="15.9" customHeight="1" x14ac:dyDescent="0.35">
      <c r="A74" s="2"/>
      <c r="B74" s="47"/>
      <c r="C74" s="42"/>
      <c r="D74" s="91" t="s">
        <v>36</v>
      </c>
      <c r="E74" s="80"/>
      <c r="F74" s="83">
        <v>10000</v>
      </c>
      <c r="G74" s="80"/>
      <c r="H74" s="28" t="s">
        <v>19</v>
      </c>
      <c r="I74" s="80"/>
      <c r="J74" s="100" t="s">
        <v>7</v>
      </c>
      <c r="K74" s="80"/>
      <c r="L74" s="12" t="s">
        <v>20</v>
      </c>
    </row>
    <row r="75" spans="1:12" ht="5.15" customHeight="1" x14ac:dyDescent="0.4">
      <c r="A75" s="2"/>
      <c r="B75" s="47"/>
      <c r="C75" s="42"/>
      <c r="D75" s="24"/>
      <c r="E75" s="7"/>
      <c r="F75" s="88"/>
      <c r="G75" s="7"/>
      <c r="H75" s="6"/>
      <c r="I75" s="7"/>
      <c r="J75" s="88"/>
      <c r="K75" s="7"/>
      <c r="L75" s="45"/>
    </row>
    <row r="76" spans="1:12" ht="5.15" customHeight="1" x14ac:dyDescent="0.4">
      <c r="A76" s="2"/>
      <c r="B76" s="47"/>
      <c r="C76" s="42"/>
      <c r="D76" s="82"/>
      <c r="E76" s="80"/>
      <c r="F76" s="81"/>
      <c r="G76" s="80"/>
      <c r="H76" s="9"/>
      <c r="I76" s="80"/>
      <c r="J76" s="81"/>
      <c r="K76" s="80"/>
      <c r="L76" s="10"/>
    </row>
    <row r="77" spans="1:12" ht="15.9" customHeight="1" x14ac:dyDescent="0.35">
      <c r="A77" s="2"/>
      <c r="B77" s="47"/>
      <c r="C77" s="42"/>
      <c r="D77" s="91" t="s">
        <v>37</v>
      </c>
      <c r="E77" s="80"/>
      <c r="F77" s="83">
        <v>10000</v>
      </c>
      <c r="G77" s="80"/>
      <c r="H77" s="28" t="s">
        <v>19</v>
      </c>
      <c r="I77" s="80"/>
      <c r="J77" s="101" t="s">
        <v>7</v>
      </c>
      <c r="K77" s="80"/>
      <c r="L77" s="12" t="s">
        <v>20</v>
      </c>
    </row>
    <row r="78" spans="1:12" ht="5.15" customHeight="1" x14ac:dyDescent="0.4">
      <c r="A78" s="2"/>
      <c r="B78" s="47"/>
      <c r="C78" s="42"/>
      <c r="D78" s="24"/>
      <c r="E78" s="7"/>
      <c r="F78" s="88"/>
      <c r="G78" s="7"/>
      <c r="H78" s="6"/>
      <c r="I78" s="7"/>
      <c r="J78" s="88"/>
      <c r="K78" s="7"/>
      <c r="L78" s="45"/>
    </row>
    <row r="79" spans="1:12" ht="5.15" customHeight="1" x14ac:dyDescent="0.4">
      <c r="A79" s="2"/>
      <c r="B79" s="47"/>
      <c r="C79" s="42"/>
      <c r="D79" s="82"/>
      <c r="E79" s="80"/>
      <c r="F79" s="81"/>
      <c r="G79" s="80"/>
      <c r="H79" s="9"/>
      <c r="I79" s="80"/>
      <c r="J79" s="81"/>
      <c r="K79" s="80"/>
      <c r="L79" s="10"/>
    </row>
    <row r="80" spans="1:12" ht="15.9" customHeight="1" x14ac:dyDescent="0.35">
      <c r="A80" s="2"/>
      <c r="B80" s="47"/>
      <c r="C80" s="42"/>
      <c r="D80" s="91" t="s">
        <v>38</v>
      </c>
      <c r="E80" s="80"/>
      <c r="F80" s="83">
        <v>10000</v>
      </c>
      <c r="G80" s="80"/>
      <c r="H80" s="28" t="s">
        <v>19</v>
      </c>
      <c r="I80" s="80"/>
      <c r="J80" s="102" t="s">
        <v>7</v>
      </c>
      <c r="K80" s="80"/>
      <c r="L80" s="12" t="s">
        <v>20</v>
      </c>
    </row>
    <row r="81" spans="1:12" ht="5.15" customHeight="1" x14ac:dyDescent="0.4">
      <c r="A81" s="2"/>
      <c r="B81" s="47"/>
      <c r="C81" s="42"/>
      <c r="D81" s="24"/>
      <c r="E81" s="7"/>
      <c r="F81" s="88"/>
      <c r="G81" s="7"/>
      <c r="H81" s="6"/>
      <c r="I81" s="7"/>
      <c r="J81" s="88"/>
      <c r="K81" s="7"/>
      <c r="L81" s="45"/>
    </row>
    <row r="82" spans="1:12" ht="5.15" customHeight="1" x14ac:dyDescent="0.4">
      <c r="A82" s="2"/>
      <c r="B82" s="47"/>
      <c r="C82" s="42"/>
      <c r="D82" s="82"/>
      <c r="E82" s="80"/>
      <c r="F82" s="81"/>
      <c r="G82" s="80"/>
      <c r="H82" s="9"/>
      <c r="I82" s="80"/>
      <c r="J82" s="81"/>
      <c r="K82" s="80"/>
      <c r="L82" s="10"/>
    </row>
    <row r="83" spans="1:12" ht="15.9" customHeight="1" x14ac:dyDescent="0.35">
      <c r="A83" s="2"/>
      <c r="B83" s="47"/>
      <c r="C83" s="42"/>
      <c r="D83" s="91" t="s">
        <v>39</v>
      </c>
      <c r="E83" s="80"/>
      <c r="F83" s="83">
        <v>10000</v>
      </c>
      <c r="G83" s="80"/>
      <c r="H83" s="28" t="s">
        <v>19</v>
      </c>
      <c r="I83" s="80"/>
      <c r="J83" s="103" t="s">
        <v>7</v>
      </c>
      <c r="K83" s="80"/>
      <c r="L83" s="12" t="s">
        <v>20</v>
      </c>
    </row>
    <row r="84" spans="1:12" ht="5.15" customHeight="1" x14ac:dyDescent="0.4">
      <c r="A84" s="2"/>
      <c r="B84" s="47"/>
      <c r="C84" s="42"/>
      <c r="D84" s="24"/>
      <c r="E84" s="7"/>
      <c r="F84" s="88"/>
      <c r="G84" s="7"/>
      <c r="H84" s="6"/>
      <c r="I84" s="7"/>
      <c r="J84" s="88"/>
      <c r="K84" s="7"/>
      <c r="L84" s="45"/>
    </row>
    <row r="85" spans="1:12" ht="21.9" customHeight="1" x14ac:dyDescent="0.4">
      <c r="A85" s="2"/>
      <c r="B85" s="47"/>
      <c r="C85" s="42"/>
      <c r="D85" s="2"/>
      <c r="E85" s="2"/>
      <c r="F85" s="78"/>
      <c r="G85" s="2"/>
      <c r="H85" s="9"/>
      <c r="I85" s="2"/>
      <c r="J85" s="78"/>
      <c r="K85" s="2"/>
      <c r="L85" s="10"/>
    </row>
    <row r="86" spans="1:12" ht="5.15" customHeight="1" thickBot="1" x14ac:dyDescent="0.45">
      <c r="A86" s="2"/>
      <c r="B86" s="70"/>
      <c r="C86" s="43"/>
      <c r="D86" s="29"/>
      <c r="E86" s="29"/>
      <c r="F86" s="96"/>
      <c r="G86" s="29"/>
      <c r="H86" s="31"/>
      <c r="I86" s="29"/>
      <c r="J86" s="96"/>
      <c r="K86" s="29"/>
      <c r="L86" s="32"/>
    </row>
    <row r="87" spans="1:12" ht="24.65" customHeight="1" x14ac:dyDescent="0.4">
      <c r="A87" s="2"/>
      <c r="B87" s="2"/>
      <c r="C87" s="2"/>
      <c r="D87" s="2"/>
      <c r="E87" s="2"/>
      <c r="F87" s="78"/>
      <c r="G87" s="2"/>
      <c r="H87" s="2"/>
      <c r="I87" s="2"/>
      <c r="J87" s="78"/>
      <c r="K87" s="2"/>
      <c r="L87" s="2"/>
    </row>
    <row r="88" spans="1:12" ht="15" thickBot="1" x14ac:dyDescent="0.45">
      <c r="A88" s="2"/>
      <c r="B88" s="2"/>
      <c r="C88" s="2"/>
      <c r="D88" s="2"/>
      <c r="E88" s="2"/>
      <c r="F88" s="78"/>
      <c r="G88" s="2"/>
      <c r="H88" s="2"/>
      <c r="I88" s="2"/>
      <c r="J88" s="78"/>
      <c r="K88" s="2"/>
      <c r="L88" s="2"/>
    </row>
    <row r="89" spans="1:12" ht="28.4" customHeight="1" x14ac:dyDescent="0.35">
      <c r="A89" s="2"/>
      <c r="B89" s="54" t="s">
        <v>13</v>
      </c>
      <c r="C89" s="55"/>
      <c r="D89" s="55"/>
      <c r="E89" s="55"/>
      <c r="F89" s="55"/>
      <c r="G89" s="55"/>
      <c r="H89" s="55"/>
      <c r="I89" s="55"/>
      <c r="J89" s="55"/>
      <c r="K89" s="55"/>
      <c r="L89" s="56"/>
    </row>
    <row r="90" spans="1:12" ht="28.4" customHeight="1" x14ac:dyDescent="0.35">
      <c r="A90" s="2"/>
      <c r="B90" s="57"/>
      <c r="C90" s="58"/>
      <c r="D90" s="58"/>
      <c r="E90" s="58"/>
      <c r="F90" s="58"/>
      <c r="G90" s="58"/>
      <c r="H90" s="58"/>
      <c r="I90" s="58"/>
      <c r="J90" s="58"/>
      <c r="K90" s="58"/>
      <c r="L90" s="59"/>
    </row>
    <row r="91" spans="1:12" ht="21.75" customHeight="1" x14ac:dyDescent="0.4">
      <c r="A91" s="2"/>
      <c r="B91" s="46" t="s">
        <v>4</v>
      </c>
      <c r="C91" s="2"/>
      <c r="D91" s="2"/>
      <c r="E91" s="2"/>
      <c r="F91" s="78"/>
      <c r="G91" s="2"/>
      <c r="H91" s="2"/>
      <c r="I91" s="2"/>
      <c r="J91" s="78"/>
      <c r="K91" s="2"/>
      <c r="L91" s="10"/>
    </row>
    <row r="92" spans="1:12" ht="18" customHeight="1" x14ac:dyDescent="0.35">
      <c r="A92" s="2"/>
      <c r="B92" s="47"/>
      <c r="C92" s="5"/>
      <c r="D92" s="6"/>
      <c r="E92" s="48" t="s">
        <v>1</v>
      </c>
      <c r="F92" s="49"/>
      <c r="G92" s="50"/>
      <c r="H92" s="4" t="s">
        <v>2</v>
      </c>
      <c r="I92" s="48" t="s">
        <v>3</v>
      </c>
      <c r="J92" s="49"/>
      <c r="K92" s="50"/>
      <c r="L92" s="11" t="s">
        <v>2</v>
      </c>
    </row>
    <row r="93" spans="1:12" ht="5.15" customHeight="1" x14ac:dyDescent="0.4">
      <c r="A93" s="2"/>
      <c r="B93" s="47"/>
      <c r="C93" s="51"/>
      <c r="D93" s="2"/>
      <c r="E93" s="80"/>
      <c r="F93" s="81"/>
      <c r="G93" s="80"/>
      <c r="H93" s="8"/>
      <c r="I93" s="80"/>
      <c r="J93" s="81"/>
      <c r="K93" s="80"/>
      <c r="L93" s="10"/>
    </row>
    <row r="94" spans="1:12" ht="15.75" customHeight="1" x14ac:dyDescent="0.35">
      <c r="A94" s="2"/>
      <c r="B94" s="47"/>
      <c r="C94" s="52"/>
      <c r="D94" s="82" t="s">
        <v>14</v>
      </c>
      <c r="E94" s="80"/>
      <c r="F94" s="104">
        <v>10000</v>
      </c>
      <c r="G94" s="80"/>
      <c r="H94" s="28" t="s">
        <v>6</v>
      </c>
      <c r="I94" s="80"/>
      <c r="J94" s="87" t="s">
        <v>7</v>
      </c>
      <c r="K94" s="80"/>
      <c r="L94" s="12" t="s">
        <v>6</v>
      </c>
    </row>
    <row r="95" spans="1:12" ht="5.15" customHeight="1" x14ac:dyDescent="0.4">
      <c r="A95" s="2"/>
      <c r="B95" s="47"/>
      <c r="C95" s="53"/>
      <c r="D95" s="44"/>
      <c r="E95" s="7"/>
      <c r="F95" s="88"/>
      <c r="G95" s="7"/>
      <c r="H95" s="6"/>
      <c r="I95" s="7"/>
      <c r="J95" s="88"/>
      <c r="K95" s="7"/>
      <c r="L95" s="45"/>
    </row>
    <row r="96" spans="1:12" ht="5.15" customHeight="1" x14ac:dyDescent="0.4">
      <c r="A96" s="2"/>
      <c r="B96" s="47"/>
      <c r="C96" s="52"/>
      <c r="D96" s="2"/>
      <c r="E96" s="80"/>
      <c r="F96" s="81"/>
      <c r="G96" s="80"/>
      <c r="H96" s="9"/>
      <c r="I96" s="80"/>
      <c r="J96" s="81"/>
      <c r="K96" s="80"/>
      <c r="L96" s="10"/>
    </row>
    <row r="97" spans="1:12" ht="15.75" customHeight="1" x14ac:dyDescent="0.35">
      <c r="A97" s="2"/>
      <c r="B97" s="47"/>
      <c r="C97" s="52"/>
      <c r="D97" s="82" t="s">
        <v>15</v>
      </c>
      <c r="E97" s="80"/>
      <c r="F97" s="104">
        <v>10000</v>
      </c>
      <c r="G97" s="80"/>
      <c r="H97" s="28" t="s">
        <v>6</v>
      </c>
      <c r="I97" s="80"/>
      <c r="J97" s="87" t="s">
        <v>7</v>
      </c>
      <c r="K97" s="80"/>
      <c r="L97" s="12" t="s">
        <v>6</v>
      </c>
    </row>
    <row r="98" spans="1:12" ht="5.15" customHeight="1" x14ac:dyDescent="0.4">
      <c r="A98" s="2"/>
      <c r="B98" s="60"/>
      <c r="C98" s="53"/>
      <c r="D98" s="44"/>
      <c r="E98" s="7"/>
      <c r="F98" s="88"/>
      <c r="G98" s="7"/>
      <c r="H98" s="6"/>
      <c r="I98" s="7"/>
      <c r="J98" s="88"/>
      <c r="K98" s="7"/>
      <c r="L98" s="45"/>
    </row>
    <row r="99" spans="1:12" ht="21.75" customHeight="1" x14ac:dyDescent="0.4">
      <c r="A99" s="2"/>
      <c r="B99" s="46" t="s">
        <v>8</v>
      </c>
      <c r="C99" s="2"/>
      <c r="D99" s="2"/>
      <c r="E99" s="2"/>
      <c r="F99" s="78"/>
      <c r="G99" s="2"/>
      <c r="H99" s="2"/>
      <c r="I99" s="2"/>
      <c r="J99" s="78"/>
      <c r="K99" s="2"/>
      <c r="L99" s="10"/>
    </row>
    <row r="100" spans="1:12" ht="18" customHeight="1" x14ac:dyDescent="0.35">
      <c r="A100" s="2"/>
      <c r="B100" s="47"/>
      <c r="C100" s="5"/>
      <c r="D100" s="6"/>
      <c r="E100" s="48" t="s">
        <v>1</v>
      </c>
      <c r="F100" s="49"/>
      <c r="G100" s="50"/>
      <c r="H100" s="4" t="s">
        <v>2</v>
      </c>
      <c r="I100" s="48" t="s">
        <v>3</v>
      </c>
      <c r="J100" s="49"/>
      <c r="K100" s="50"/>
      <c r="L100" s="11" t="s">
        <v>2</v>
      </c>
    </row>
    <row r="101" spans="1:12" ht="5.15" customHeight="1" x14ac:dyDescent="0.4">
      <c r="A101" s="2"/>
      <c r="B101" s="47"/>
      <c r="C101" s="51"/>
      <c r="D101" s="2"/>
      <c r="E101" s="80"/>
      <c r="F101" s="81"/>
      <c r="G101" s="80"/>
      <c r="H101" s="8"/>
      <c r="I101" s="80"/>
      <c r="J101" s="81"/>
      <c r="K101" s="80"/>
      <c r="L101" s="10"/>
    </row>
    <row r="102" spans="1:12" ht="15.75" customHeight="1" x14ac:dyDescent="0.35">
      <c r="A102" s="2"/>
      <c r="B102" s="47"/>
      <c r="C102" s="52"/>
      <c r="D102" s="82" t="s">
        <v>14</v>
      </c>
      <c r="E102" s="80"/>
      <c r="F102" s="104">
        <v>10000</v>
      </c>
      <c r="G102" s="80"/>
      <c r="H102" s="28" t="s">
        <v>6</v>
      </c>
      <c r="I102" s="80"/>
      <c r="J102" s="87" t="s">
        <v>7</v>
      </c>
      <c r="K102" s="80"/>
      <c r="L102" s="12" t="s">
        <v>6</v>
      </c>
    </row>
    <row r="103" spans="1:12" ht="5.15" customHeight="1" x14ac:dyDescent="0.4">
      <c r="A103" s="2"/>
      <c r="B103" s="47"/>
      <c r="C103" s="53"/>
      <c r="D103" s="44"/>
      <c r="E103" s="7"/>
      <c r="F103" s="88"/>
      <c r="G103" s="7"/>
      <c r="H103" s="6"/>
      <c r="I103" s="7"/>
      <c r="J103" s="88"/>
      <c r="K103" s="7"/>
      <c r="L103" s="45"/>
    </row>
    <row r="104" spans="1:12" ht="5.15" customHeight="1" x14ac:dyDescent="0.4">
      <c r="A104" s="2"/>
      <c r="B104" s="47"/>
      <c r="C104" s="52"/>
      <c r="D104" s="2"/>
      <c r="E104" s="80"/>
      <c r="F104" s="81"/>
      <c r="G104" s="80"/>
      <c r="H104" s="9"/>
      <c r="I104" s="80"/>
      <c r="J104" s="81"/>
      <c r="K104" s="80"/>
      <c r="L104" s="10"/>
    </row>
    <row r="105" spans="1:12" ht="15.75" customHeight="1" x14ac:dyDescent="0.35">
      <c r="A105" s="2"/>
      <c r="B105" s="47"/>
      <c r="C105" s="52"/>
      <c r="D105" s="82" t="s">
        <v>15</v>
      </c>
      <c r="E105" s="80"/>
      <c r="F105" s="104">
        <v>10000</v>
      </c>
      <c r="G105" s="80"/>
      <c r="H105" s="28" t="s">
        <v>6</v>
      </c>
      <c r="I105" s="80"/>
      <c r="J105" s="87" t="s">
        <v>7</v>
      </c>
      <c r="K105" s="80"/>
      <c r="L105" s="12" t="s">
        <v>6</v>
      </c>
    </row>
    <row r="106" spans="1:12" ht="5.15" customHeight="1" thickBot="1" x14ac:dyDescent="0.45">
      <c r="A106" s="2"/>
      <c r="B106" s="70"/>
      <c r="C106" s="71"/>
      <c r="D106" s="29"/>
      <c r="E106" s="30"/>
      <c r="F106" s="85"/>
      <c r="G106" s="30"/>
      <c r="H106" s="31"/>
      <c r="I106" s="30"/>
      <c r="J106" s="85"/>
      <c r="K106" s="30"/>
      <c r="L106" s="32"/>
    </row>
    <row r="107" spans="1:12" ht="15" customHeight="1" x14ac:dyDescent="0.4">
      <c r="A107" s="2"/>
      <c r="B107" s="2"/>
      <c r="C107" s="2"/>
      <c r="D107" s="2"/>
      <c r="E107" s="2"/>
      <c r="F107" s="78"/>
      <c r="G107" s="2"/>
      <c r="H107" s="2"/>
      <c r="I107" s="2"/>
      <c r="J107" s="78"/>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70"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6170" r:id="rId5" name="cbApplyOddEvenFormatting"/>
      </mc:Fallback>
    </mc:AlternateContent>
    <mc:AlternateContent xmlns:mc="http://schemas.openxmlformats.org/markup-compatibility/2006">
      <mc:Choice Requires="x14">
        <control shapeId="6154"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6154" r:id="rId7" name="cbApplyMemberFormatting"/>
      </mc:Fallback>
    </mc:AlternateContent>
    <mc:AlternateContent xmlns:mc="http://schemas.openxmlformats.org/markup-compatibility/2006">
      <mc:Choice Requires="x14">
        <control shapeId="6145"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6145" r:id="rId9" name="cbApplyLevelFormatting"/>
      </mc:Fallback>
    </mc:AlternateContent>
    <mc:AlternateContent xmlns:mc="http://schemas.openxmlformats.org/markup-compatibility/2006">
      <mc:Choice Requires="x14">
        <control shapeId="6146"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6147"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6148"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6149"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6150"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6151"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6152"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6153"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6155"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6156"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6157"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6158"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6159"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6160"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6161"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6162"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6163"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6164"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6165"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6166"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6167"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6168"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6169"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6171"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6172"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6173"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6174"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6175"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6176"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6177"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6178"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6179"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6180"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6181"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6182"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6183"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6184"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6185"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6186"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6187"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6188"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6189"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6190"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6191"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6192"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6193"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6194"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6195"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6196"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6197"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6198"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6199"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6200"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6201"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6202"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6203"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6204"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6205"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6206"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6207"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6208"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6209"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6210"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6211"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6212"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6213"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2" t="s">
        <v>28</v>
      </c>
      <c r="B1" s="73"/>
      <c r="C1" s="73"/>
      <c r="D1" s="73"/>
      <c r="E1" s="73"/>
      <c r="F1" s="73"/>
      <c r="G1" s="73"/>
      <c r="H1" s="73"/>
      <c r="I1" s="73"/>
      <c r="J1" s="73"/>
      <c r="K1" s="74" t="str">
        <f>" "&amp;IFERROR(IF(SOP_Favorite_Name&lt;&gt;" ",SOP_Favorite_Name,IF(SOP_Template_Name&lt;&gt;" ",SOP_Template_Name,"Ad Hoc Planning View")),"Offline")</f>
        <v xml:space="preserve"> Run Simulation</v>
      </c>
      <c r="L1" s="74"/>
      <c r="M1" s="74"/>
      <c r="N1" s="74"/>
      <c r="O1" s="74"/>
      <c r="P1" s="74"/>
      <c r="Q1" s="75" t="str">
        <f>"User: "&amp;_xll.EPMUser()&amp;"   |    Planning Area: "&amp;IFERROR(SOP_Planning_Area,"Offline")&amp;"
"&amp;"Template: "&amp;IFERROR(SOP_Template_Name,"none")</f>
        <v>User: #Error, no current connection.   |    Planning Area: SAP6
Template: template name</v>
      </c>
      <c r="R1" s="75"/>
      <c r="S1" s="75"/>
      <c r="T1" s="75"/>
      <c r="U1" s="75"/>
      <c r="V1" s="75"/>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6"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76"/>
      <c r="C2" s="76"/>
      <c r="D2" s="76"/>
      <c r="E2" s="76"/>
      <c r="F2" s="76"/>
      <c r="G2" s="76"/>
      <c r="H2" s="76"/>
      <c r="I2" s="76"/>
      <c r="J2" s="76"/>
      <c r="K2" s="77" t="str">
        <f>"  Last Refresh: "&amp;IFERROR(YEAR(SOP_Refresh_Timestamp)&amp;"-"&amp;TEXT(SOP_Refresh_Timestamp,"MMM")&amp;"-"&amp;DAY(SOP_Refresh_Timestamp)&amp;"   "&amp;TEXT(SOP_Refresh_Timestamp,"HH:MM:SS"),"Offline")</f>
        <v xml:space="preserve">  Last Refresh: 2022-Jan-25   17:55:06</v>
      </c>
      <c r="L2" s="77"/>
      <c r="M2" s="77"/>
      <c r="N2" s="77"/>
      <c r="O2" s="77"/>
      <c r="P2" s="77"/>
      <c r="Q2" s="77"/>
      <c r="R2" s="77"/>
      <c r="S2" s="77"/>
      <c r="T2" s="77"/>
      <c r="U2" s="77"/>
      <c r="V2" s="77"/>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 xml:space="preserve"> </v>
      </c>
      <c r="H3" s="39" t="str">
        <f>SOP_Heading3</f>
        <v>Product ID</v>
      </c>
      <c r="I3" s="39" t="str">
        <f>SOP_Heading2</f>
        <v>Location ID</v>
      </c>
      <c r="J3" s="39" t="str">
        <f>SOP_Heading1</f>
        <v>Key Figure</v>
      </c>
      <c r="K3" s="25" t="str">
        <f xml:space="preserve"> _xll.EPMOlapMemberO("[PERIODID3].[].[70613]","","JAN 2021","","000")</f>
        <v>JAN 2021</v>
      </c>
      <c r="L3" s="25" t="str">
        <f xml:space="preserve"> _xll.EPMOlapMemberO("[PERIODID3].[].[70614]","","FEB 2021","","000")</f>
        <v>FEB 2021</v>
      </c>
      <c r="M3" s="25" t="str">
        <f xml:space="preserve"> _xll.EPMOlapMemberO("[PERIODID3].[].[70615]","","MAR 2021","","000")</f>
        <v>MAR 2021</v>
      </c>
      <c r="N3" s="25" t="str">
        <f xml:space="preserve"> _xll.EPMOlapMemberO("[PERIODID3].[].[70616]","","APR 2021","","000")</f>
        <v>APR 2021</v>
      </c>
      <c r="O3" s="25" t="str">
        <f xml:space="preserve"> _xll.EPMOlapMemberO("[PERIODID3].[].[70617]","","MAY 2021","","000")</f>
        <v>MAY 2021</v>
      </c>
      <c r="P3" s="25" t="str">
        <f xml:space="preserve"> _xll.EPMOlapMemberO("[PERIODID3].[].[70618]","","JUN 2021","","000")</f>
        <v>JUN 2021</v>
      </c>
      <c r="Q3" s="25" t="str">
        <f xml:space="preserve"> _xll.EPMOlapMemberO("[PERIODID3].[].[70619]","","JUL 2021","","000")</f>
        <v>JUL 2021</v>
      </c>
      <c r="R3" s="25" t="str">
        <f xml:space="preserve"> _xll.EPMOlapMemberO("[PERIODID3].[].[70620]","","AUG 2021","","000")</f>
        <v>AUG 2021</v>
      </c>
      <c r="S3" s="25" t="str">
        <f xml:space="preserve"> _xll.EPMOlapMemberO("[PERIODID3].[].[70621]","","SEP 2021","","000")</f>
        <v>SEP 2021</v>
      </c>
      <c r="T3" s="25" t="str">
        <f xml:space="preserve"> _xll.EPMOlapMemberO("[PERIODID3].[].[70622]","","OCT 2021","","000")</f>
        <v>OCT 2021</v>
      </c>
      <c r="U3" s="25" t="str">
        <f xml:space="preserve"> _xll.EPMOlapMemberO("[PERIODID3].[].[70623]","","NOV 2021","","000")</f>
        <v>NOV 2021</v>
      </c>
      <c r="V3" s="25" t="str">
        <f xml:space="preserve"> _xll.EPMOlapMemberO("[PERIODID3].[].[70624]","","DEC 2021","","000")</f>
        <v>DEC 2021</v>
      </c>
      <c r="W3"/>
      <c r="X3"/>
      <c r="Y3"/>
      <c r="Z3"/>
      <c r="AA3"/>
      <c r="AB3"/>
      <c r="AC3"/>
      <c r="AD3"/>
      <c r="AE3"/>
      <c r="AF3"/>
      <c r="AG3"/>
      <c r="AH3"/>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F4" s="38"/>
      <c r="H4" s="20" t="str">
        <f xml:space="preserve"> _xll.EPMOlapMemberO("[PRDID].[].[HT_001]","","HT_001","","000")</f>
        <v>HT_001</v>
      </c>
      <c r="I4" s="20" t="str">
        <f xml:space="preserve"> _xll.EPMOlapMemberO("[LOCID].[].[HD_DC_CA_E]","","HD_DC_CA_E","","000")</f>
        <v>HD_DC_CA_E</v>
      </c>
      <c r="J4" s="20" t="str">
        <f xml:space="preserve"> _xll.EPMOlapMemberO("[KEY_FIGURES].[].[CONSENSUSDEMAND]","","Consensus Demand without Promotion","","000")</f>
        <v>Consensus Demand without Promotion</v>
      </c>
      <c r="K4" s="27">
        <v>100</v>
      </c>
      <c r="L4" s="40">
        <v>1651.5</v>
      </c>
      <c r="M4" s="27">
        <v>50</v>
      </c>
      <c r="N4" s="27">
        <v>250</v>
      </c>
      <c r="O4" s="41">
        <v>6944</v>
      </c>
      <c r="P4" s="41">
        <v>100</v>
      </c>
      <c r="Q4" s="41">
        <v>125</v>
      </c>
      <c r="R4" s="41">
        <v>100</v>
      </c>
      <c r="S4" s="40">
        <v>100</v>
      </c>
      <c r="T4" s="40">
        <v>100</v>
      </c>
      <c r="U4" s="40">
        <v>300</v>
      </c>
      <c r="V4" s="27">
        <v>5000</v>
      </c>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F5" s="38"/>
      <c r="H5" s="20"/>
      <c r="I5" s="20"/>
      <c r="J5" s="20" t="str">
        <f xml:space="preserve"> _xll.EPMOlapMemberO("[KEY_FIGURES].[].[DEMANDPLANNINGQTY]","","Demand Planning Qty","","000")</f>
        <v>Demand Planning Qty</v>
      </c>
      <c r="K5" s="23">
        <v>0</v>
      </c>
      <c r="L5" s="23">
        <v>0</v>
      </c>
      <c r="M5" s="23">
        <v>343</v>
      </c>
      <c r="N5" s="23">
        <v>0</v>
      </c>
      <c r="O5" s="23">
        <v>0</v>
      </c>
      <c r="P5" s="23"/>
      <c r="Q5" s="23"/>
      <c r="R5" s="23"/>
      <c r="S5" s="23">
        <v>0</v>
      </c>
      <c r="T5" s="23">
        <v>0</v>
      </c>
      <c r="U5" s="23">
        <v>0</v>
      </c>
      <c r="V5" s="23">
        <v>13.5</v>
      </c>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F6" s="38"/>
      <c r="H6" s="20"/>
      <c r="I6" s="20"/>
      <c r="J6" s="20" t="str">
        <f xml:space="preserve"> _xll.EPMOlapMemberO("[KEY_FIGURES].[].[FINALCONSENSUSDEMAND]","","Consensus Demand","","000")</f>
        <v>Consensus Demand</v>
      </c>
      <c r="K6" s="23">
        <v>100</v>
      </c>
      <c r="L6" s="23">
        <v>17316.5</v>
      </c>
      <c r="M6" s="23">
        <v>50</v>
      </c>
      <c r="N6" s="23">
        <v>250</v>
      </c>
      <c r="O6" s="23">
        <v>6944</v>
      </c>
      <c r="P6" s="23">
        <v>100</v>
      </c>
      <c r="Q6" s="23">
        <v>125</v>
      </c>
      <c r="R6" s="23">
        <v>100</v>
      </c>
      <c r="S6" s="23">
        <v>100</v>
      </c>
      <c r="T6" s="23">
        <v>100</v>
      </c>
      <c r="U6" s="23">
        <v>300</v>
      </c>
      <c r="V6" s="23">
        <v>5000</v>
      </c>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F7" s="38"/>
      <c r="H7" s="20"/>
      <c r="I7" s="20"/>
      <c r="J7" s="20" t="str">
        <f xml:space="preserve"> _xll.EPMOlapMemberO("[KEY_FIGURES].[].[ADJDELIVQTY]","","Delivered Qty Adjusted","","000")</f>
        <v>Delivered Qty Adjusted</v>
      </c>
      <c r="K7" s="27">
        <v>2325</v>
      </c>
      <c r="L7" s="27">
        <v>2100</v>
      </c>
      <c r="M7" s="27">
        <v>2325</v>
      </c>
      <c r="N7" s="27">
        <v>1710</v>
      </c>
      <c r="O7" s="27">
        <v>1479</v>
      </c>
      <c r="P7" s="27">
        <v>1437</v>
      </c>
      <c r="Q7" s="27">
        <v>43242</v>
      </c>
      <c r="R7" s="27">
        <v>45</v>
      </c>
      <c r="S7" s="27">
        <v>0</v>
      </c>
      <c r="T7" s="27">
        <v>0</v>
      </c>
      <c r="U7" s="27">
        <v>100000</v>
      </c>
      <c r="V7" s="27">
        <v>0</v>
      </c>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F8" s="38"/>
      <c r="H8" s="20"/>
      <c r="I8" s="20"/>
      <c r="J8" s="20" t="str">
        <f xml:space="preserve"> _xll.EPMOlapMemberO("[KEY_FIGURES].[].[ACTUALSREV]","","Actuals Revenue","","000")</f>
        <v>Actuals Revenue</v>
      </c>
      <c r="K8" s="27"/>
      <c r="L8" s="27"/>
      <c r="M8" s="27"/>
      <c r="N8" s="27"/>
      <c r="O8" s="27"/>
      <c r="P8" s="27"/>
      <c r="Q8" s="27"/>
      <c r="R8" s="27"/>
      <c r="S8" s="27"/>
      <c r="T8" s="27"/>
      <c r="U8" s="27"/>
      <c r="V8" s="27"/>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F9" s="38"/>
      <c r="H9" s="20"/>
      <c r="I9" s="20"/>
      <c r="J9" s="20" t="str">
        <f xml:space="preserve"> _xll.EPMOlapMemberO("[KEY_FIGURES].[].[CONFQTY]","","Confirmed Qty","","000")</f>
        <v>Confirmed Qty</v>
      </c>
      <c r="K9" s="23"/>
      <c r="L9" s="23"/>
      <c r="M9" s="23"/>
      <c r="N9" s="23"/>
      <c r="O9" s="23"/>
      <c r="P9" s="23"/>
      <c r="Q9" s="23"/>
      <c r="R9" s="23"/>
      <c r="S9" s="23"/>
      <c r="T9" s="23"/>
      <c r="U9" s="23"/>
      <c r="V9" s="23"/>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F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F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F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F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F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F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F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F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F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F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F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F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F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F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F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F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F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F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F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F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F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F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F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F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F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F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310243</xdr:colOff>
                <xdr:row>3</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310243</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310243</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310243</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310243</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310243</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310243</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310243</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093"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3093" r:id="rId28" name="FPMExcelClientSheetOptionstb1"/>
      </mc:Fallback>
    </mc:AlternateContent>
    <mc:AlternateContent xmlns:mc="http://schemas.openxmlformats.org/markup-compatibility/2006">
      <mc:Choice Requires="x14">
        <control shapeId="3115" r:id="rId30" name="TextBox1">
          <controlPr defaultSize="0" disabled="1" autoLine="0" r:id="rId31">
            <anchor>
              <from>
                <xdr:col>0</xdr:col>
                <xdr:colOff>38100</xdr:colOff>
                <xdr:row>2</xdr:row>
                <xdr:rowOff>152400</xdr:rowOff>
              </from>
              <to>
                <xdr:col>0</xdr:col>
                <xdr:colOff>43543</xdr:colOff>
                <xdr:row>2</xdr:row>
                <xdr:rowOff>157843</xdr:rowOff>
              </to>
            </anchor>
          </controlPr>
        </control>
      </mc:Choice>
      <mc:Fallback>
        <control shapeId="3115" r:id="rId30" name="TextBox1"/>
      </mc:Fallback>
    </mc:AlternateContent>
    <mc:AlternateContent xmlns:mc="http://schemas.openxmlformats.org/markup-compatibility/2006">
      <mc:Choice Requires="x14">
        <control shapeId="3119" r:id="rId32" name="TextBox2">
          <controlPr defaultSize="0" disabled="1" autoLine="0" r:id="rId33">
            <anchor>
              <from>
                <xdr:col>8</xdr:col>
                <xdr:colOff>631371</xdr:colOff>
                <xdr:row>2</xdr:row>
                <xdr:rowOff>152400</xdr:rowOff>
              </from>
              <to>
                <xdr:col>8</xdr:col>
                <xdr:colOff>636814</xdr:colOff>
                <xdr:row>2</xdr:row>
                <xdr:rowOff>157843</xdr:rowOff>
              </to>
            </anchor>
          </controlPr>
        </control>
      </mc:Choice>
      <mc:Fallback>
        <control shapeId="3119" r:id="rId32" name="TextBox2"/>
      </mc:Fallback>
    </mc:AlternateContent>
    <mc:AlternateContent xmlns:mc="http://schemas.openxmlformats.org/markup-compatibility/2006">
      <mc:Choice Requires="x14">
        <control shapeId="3130" r:id="rId34" name="AnalyzerDynReport000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0" r:id="rId34" name="AnalyzerDynReport000tb1"/>
      </mc:Fallback>
    </mc:AlternateContent>
    <mc:AlternateContent xmlns:mc="http://schemas.openxmlformats.org/markup-compatibility/2006">
      <mc:Choice Requires="x14">
        <control shapeId="3131" r:id="rId36" name="ConnectionDescriptorsInfo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1" r:id="rId36" name="ConnectionDescriptorsInfotb1"/>
      </mc:Fallback>
    </mc:AlternateContent>
    <mc:AlternateContent xmlns:mc="http://schemas.openxmlformats.org/markup-compatibility/2006">
      <mc:Choice Requires="x14">
        <control shapeId="3132" r:id="rId38" name="MultipleReportManagerInfotb1">
          <controlPr defaultSize="0" autoLine="0" autoPict="0" r:id="rId39">
            <anchor moveWithCells="1" sizeWithCells="1">
              <from>
                <xdr:col>0</xdr:col>
                <xdr:colOff>0</xdr:colOff>
                <xdr:row>0</xdr:row>
                <xdr:rowOff>0</xdr:rowOff>
              </from>
              <to>
                <xdr:col>6</xdr:col>
                <xdr:colOff>97971</xdr:colOff>
                <xdr:row>0</xdr:row>
                <xdr:rowOff>0</xdr:rowOff>
              </to>
            </anchor>
          </controlPr>
        </control>
      </mc:Choice>
      <mc:Fallback>
        <control shapeId="3132" r:id="rId38" name="MultipleReportManagerInfotb1"/>
      </mc:Fallback>
    </mc:AlternateContent>
    <mc:AlternateContent xmlns:mc="http://schemas.openxmlformats.org/markup-compatibility/2006">
      <mc:Choice Requires="x14">
        <control shapeId="3133" r:id="rId40" name="ReportSubmitManagerControltb1">
          <controlPr defaultSize="0" autoLine="0" autoPict="0" r:id="rId41">
            <anchor moveWithCells="1" sizeWithCells="1">
              <from>
                <xdr:col>0</xdr:col>
                <xdr:colOff>0</xdr:colOff>
                <xdr:row>0</xdr:row>
                <xdr:rowOff>0</xdr:rowOff>
              </from>
              <to>
                <xdr:col>6</xdr:col>
                <xdr:colOff>97971</xdr:colOff>
                <xdr:row>0</xdr:row>
                <xdr:rowOff>0</xdr:rowOff>
              </to>
            </anchor>
          </controlPr>
        </control>
      </mc:Choice>
      <mc:Fallback>
        <control shapeId="3133" r:id="rId40" name="ReportSubmitManagerControltb1"/>
      </mc:Fallback>
    </mc:AlternateContent>
    <mc:AlternateContent xmlns:mc="http://schemas.openxmlformats.org/markup-compatibility/2006">
      <mc:Choice Requires="x14">
        <control shapeId="3134" r:id="rId42" name="ReportSubmitControl_1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4" r:id="rId42" name="ReportSubmitControl_1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88E8D091-3240-497D-90B0-AC19FE8BE166}">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2023-08-16T11:48:37Z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3bcb4c26-51f8-4b65-bda0-076cf2c5fb45</vt:lpwstr>
  </property>
</Properties>
</file>