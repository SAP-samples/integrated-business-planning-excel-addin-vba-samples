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Keyfigure grouping/"/>
    </mc:Choice>
  </mc:AlternateContent>
  <xr:revisionPtr revIDLastSave="597" documentId="8_{93CCBD4B-83EF-4DFD-8F9C-AF1B7566B194}" xr6:coauthVersionLast="46" xr6:coauthVersionMax="46" xr10:uidLastSave="{2FA0B12C-6897-46A7-92B9-46068EEA998D}"/>
  <bookViews>
    <workbookView xWindow="-120" yWindow="-120" windowWidth="29040" windowHeight="15840" xr2:uid="{D6236D5F-79B6-499B-88CB-065842147E58}"/>
  </bookViews>
  <sheets>
    <sheet name="Planning View" sheetId="1" r:id="rId1"/>
    <sheet name="KFGroups" sheetId="2" r:id="rId2"/>
  </sheets>
  <definedNames>
    <definedName name="__FPMExcelClient_Connection" localSheetId="0">"{A63CB8EE-6674-452e-ACA5-65D5174D689E}_[https://pt6-001.wdf.sap.corp/sap/sop/sopfnd/services/addin/excel/]_[SOP]_[PW4CONF]_[]_[]_[false]_[True]\1"</definedName>
    <definedName name="_SOP" localSheetId="1">" "</definedName>
    <definedName name="_SOP">2</definedName>
    <definedName name="Auto_ReGroup">KFGroups!$F$1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2" hidden="1">"9F3OxBOtzB60hFONCeryveGHd9WJr+7iO45h/1l2AQAA"</definedName>
    <definedName name="KFGroups">KFGroups!$A$2:$C$221</definedName>
    <definedName name="KFHeader">KFGroups!$I$1</definedName>
    <definedName name="SOP_Connection_Name">"PT6 PW4CONF"</definedName>
    <definedName name="SOP_Favorite_Name" localSheetId="1">"SP Supply Planning"</definedName>
    <definedName name="SOP_Favorite_Name">"SOP 051 Supply Plan Optimizer"</definedName>
    <definedName name="SOP_Filter" localSheetId="1">{" "}</definedName>
    <definedName name="SOP_Filter" localSheetId="0">{" "}</definedName>
    <definedName name="SOP_Filter">{" "}</definedName>
    <definedName name="SOP_Filter_Criteria_Count" localSheetId="0">0</definedName>
    <definedName name="SOP_Filter_Name" localSheetId="0">"(None)"</definedName>
    <definedName name="SOP_FilterN">{" "}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"Location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 localSheetId="1">"11-Dec-20 - 11-Dec-21 | Baseline | Base Version | SPA"</definedName>
    <definedName name="SOP_Planning_Scope">"20.09.2021 - 10.09.2023 | Baseline | Base Version"</definedName>
    <definedName name="SOP_Refresh_Timestamp" localSheetId="1">44014.4869675926</definedName>
    <definedName name="SOP_Refresh_Timestamp">44454.5922453704</definedName>
    <definedName name="SOP_Refresh_TimestampN">44083.6692939815</definedName>
    <definedName name="SOP_Template_Name" localSheetId="1">" "</definedName>
    <definedName name="SOP_Template_Name">"SAT2102_SOP 051 Supply Plan_Op"</definedName>
    <definedName name="SOP_Template_NameN">"RM010 Forecast and Constraints"</definedName>
    <definedName name="SOP_Value_Based_Filter" localSheetId="0">{" "}</definedName>
    <definedName name="SOP_Value_Based_Filter_Name" localSheetId="0">"(None)"</definedName>
    <definedName name="TEST">1</definedName>
    <definedName name="TEST1">{"Product Family = FAMILY 100"}</definedName>
    <definedName name="TEST2">43433.4686458333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2" l="1"/>
  <c r="B5" i="2"/>
  <c r="B4" i="2"/>
  <c r="B3" i="2"/>
  <c r="B2" i="2"/>
  <c r="B6" i="2"/>
  <c r="H5" i="1"/>
  <c r="P5" i="1"/>
  <c r="X5" i="1"/>
  <c r="AF5" i="1"/>
  <c r="AN5" i="1"/>
  <c r="AV5" i="1"/>
  <c r="I5" i="1"/>
  <c r="Q5" i="1"/>
  <c r="Y5" i="1"/>
  <c r="AG5" i="1"/>
  <c r="AO5" i="1"/>
  <c r="AW5" i="1"/>
  <c r="J5" i="1"/>
  <c r="R5" i="1"/>
  <c r="Z5" i="1"/>
  <c r="AH5" i="1"/>
  <c r="AP5" i="1"/>
  <c r="AX5" i="1"/>
  <c r="K5" i="1"/>
  <c r="S5" i="1"/>
  <c r="AA5" i="1"/>
  <c r="AI5" i="1"/>
  <c r="AQ5" i="1"/>
  <c r="AY5" i="1"/>
  <c r="AE5" i="1"/>
  <c r="AU5" i="1"/>
  <c r="L5" i="1"/>
  <c r="T5" i="1"/>
  <c r="AB5" i="1"/>
  <c r="AJ5" i="1"/>
  <c r="AR5" i="1"/>
  <c r="AZ5" i="1"/>
  <c r="E5" i="1"/>
  <c r="M5" i="1"/>
  <c r="U5" i="1"/>
  <c r="AC5" i="1"/>
  <c r="AK5" i="1"/>
  <c r="AS5" i="1"/>
  <c r="BA5" i="1"/>
  <c r="F5" i="1"/>
  <c r="N5" i="1"/>
  <c r="V5" i="1"/>
  <c r="AD5" i="1"/>
  <c r="AL5" i="1"/>
  <c r="AT5" i="1"/>
  <c r="BB5" i="1"/>
  <c r="G5" i="1"/>
  <c r="O5" i="1"/>
  <c r="W5" i="1"/>
  <c r="AM5" i="1"/>
  <c r="D22" i="1"/>
  <c r="B6" i="1"/>
  <c r="D19" i="1"/>
  <c r="B18" i="1"/>
  <c r="C6" i="1"/>
  <c r="C12" i="1"/>
  <c r="D10" i="1"/>
  <c r="B12" i="1"/>
  <c r="D20" i="1"/>
  <c r="D15" i="1"/>
  <c r="D14" i="1"/>
  <c r="D8" i="1"/>
  <c r="D13" i="1"/>
  <c r="D11" i="1"/>
  <c r="D21" i="1"/>
  <c r="D12" i="1"/>
  <c r="D17" i="1"/>
  <c r="D23" i="1"/>
  <c r="D7" i="1"/>
  <c r="D9" i="1"/>
  <c r="D18" i="1"/>
  <c r="C18" i="1"/>
  <c r="D6" i="1"/>
  <c r="D16" i="1"/>
  <c r="A5" i="1" l="1"/>
  <c r="B5" i="1"/>
  <c r="C5" i="1"/>
  <c r="D5" i="1"/>
</calcChain>
</file>

<file path=xl/sharedStrings.xml><?xml version="1.0" encoding="utf-8"?>
<sst xmlns="http://schemas.openxmlformats.org/spreadsheetml/2006/main" count="15" uniqueCount="9">
  <si>
    <t>Group?</t>
  </si>
  <si>
    <t>Auto ReGroup?</t>
  </si>
  <si>
    <t>Key Figure</t>
  </si>
  <si>
    <t>X</t>
  </si>
  <si>
    <t>Planning View</t>
  </si>
  <si>
    <t>KF Header Text</t>
  </si>
  <si>
    <t>Adjust in case the SAP IBP Excel Add-in language is not set to English.</t>
  </si>
  <si>
    <t>Sheet name</t>
  </si>
  <si>
    <t>Key figure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</si>
</sst>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1" fillId="2" borderId="0" xfId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5" name="AnalyzerDynReport000t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6" name="ConnectionDescriptorsInfot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7" name="MultipleReportManagerInfotb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8" name="FPMExcelClientSheetOptions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9" name="ReportSubmitManagerControltb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30" name="ReportSubmitControl_1tb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142875</xdr:rowOff>
        </xdr:from>
        <xdr:to>
          <xdr:col>3</xdr:col>
          <xdr:colOff>1695450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152400</xdr:rowOff>
        </xdr:from>
        <xdr:to>
          <xdr:col>6</xdr:col>
          <xdr:colOff>85725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2476500</xdr:colOff>
      <xdr:row>25</xdr:row>
      <xdr:rowOff>114300</xdr:rowOff>
    </xdr:from>
    <xdr:to>
      <xdr:col>8</xdr:col>
      <xdr:colOff>257175</xdr:colOff>
      <xdr:row>32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43425" y="48768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groups key figures</a:t>
          </a:r>
          <a:r>
            <a:rPr lang="de-DE" sz="1100" baseline="0">
              <a:solidFill>
                <a:sysClr val="windowText" lastClr="000000"/>
              </a:solidFill>
            </a:rPr>
            <a:t> respectively</a:t>
          </a:r>
          <a:r>
            <a:rPr lang="de-DE" sz="1100">
              <a:solidFill>
                <a:sysClr val="windowText" lastClr="000000"/>
              </a:solidFill>
            </a:rPr>
            <a:t> rows based on the definition</a:t>
          </a:r>
          <a:r>
            <a:rPr lang="de-DE" sz="1100" baseline="0">
              <a:solidFill>
                <a:sysClr val="windowText" lastClr="000000"/>
              </a:solidFill>
            </a:rPr>
            <a:t> provided in the sheet "KFGroups".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is not designed for productive usage.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3" name="MultipleReportManagerInfoHCtb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4" name="MultipleReportManagerInfoDCtb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5" name="ConnectionDescriptorsInfoHCtb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6" name="ConnectionDescriptorsInfoDCtb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" Type="http://schemas.openxmlformats.org/officeDocument/2006/relationships/customProperty" Target="../customProperty2.bin"/><Relationship Id="rId21" Type="http://schemas.openxmlformats.org/officeDocument/2006/relationships/control" Target="../activeX/activeX8.xm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2.xml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636E-C6A6-4363-81B5-517F5711F8CB}">
  <sheetPr codeName="Sheet1"/>
  <dimension ref="A1:BB26"/>
  <sheetViews>
    <sheetView tabSelected="1" workbookViewId="0">
      <selection activeCell="I21" sqref="I21"/>
    </sheetView>
  </sheetViews>
  <sheetFormatPr defaultRowHeight="15" x14ac:dyDescent="0.25"/>
  <cols>
    <col min="1" max="2" width="10.140625" bestFit="1" customWidth="1"/>
    <col min="3" max="3" width="10.7109375" bestFit="1" customWidth="1"/>
    <col min="4" max="4" width="53.5703125" bestFit="1" customWidth="1"/>
    <col min="5" max="54" width="10.140625" bestFit="1" customWidth="1"/>
  </cols>
  <sheetData>
    <row r="1" spans="1:54" x14ac:dyDescent="0.25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5">
      <c r="A2" s="2"/>
      <c r="B2" s="2"/>
      <c r="C2" s="2"/>
      <c r="D2" s="2"/>
    </row>
    <row r="3" spans="1:54" x14ac:dyDescent="0.25">
      <c r="A3" s="2"/>
      <c r="B3" s="2"/>
      <c r="C3" s="2"/>
      <c r="D3" s="2"/>
    </row>
    <row r="4" spans="1:54" x14ac:dyDescent="0.25">
      <c r="A4" s="2"/>
      <c r="B4" s="2"/>
      <c r="C4" s="2"/>
      <c r="D4" s="2"/>
    </row>
    <row r="5" spans="1:54" x14ac:dyDescent="0.25">
      <c r="A5" t="str">
        <f>SOP_Heading4</f>
        <v xml:space="preserve"> </v>
      </c>
      <c r="B5" t="str">
        <f>SOP_Heading3</f>
        <v>Product ID</v>
      </c>
      <c r="C5" t="str">
        <f>SOP_Heading2</f>
        <v>Location ID</v>
      </c>
      <c r="D5" t="str">
        <f>SOP_Heading1</f>
        <v>Key Figure</v>
      </c>
      <c r="E5" s="1" t="str">
        <f xml:space="preserve"> _xll.EPMOlapMemberO("[PERIODID0].[].[28886]","","15.09.2021","","000")</f>
        <v>15.09.2021</v>
      </c>
      <c r="F5" s="1" t="str">
        <f xml:space="preserve"> _xll.EPMOlapMemberO("[PERIODID0].[].[28887]","","16.09.2021","","000")</f>
        <v>16.09.2021</v>
      </c>
      <c r="G5" s="1" t="str">
        <f xml:space="preserve"> _xll.EPMOlapMemberO("[PERIODID0].[].[28888]","","17.09.2021","","000")</f>
        <v>17.09.2021</v>
      </c>
      <c r="H5" s="1" t="str">
        <f xml:space="preserve"> _xll.EPMOlapMemberO("[PERIODID0].[].[28889]","","18.09.2021","","000")</f>
        <v>18.09.2021</v>
      </c>
      <c r="I5" s="1" t="str">
        <f xml:space="preserve"> _xll.EPMOlapMemberO("[PERIODID0].[].[28890]","","19.09.2021","","000")</f>
        <v>19.09.2021</v>
      </c>
      <c r="J5" s="1" t="str">
        <f xml:space="preserve"> _xll.EPMOlapMemberO("[PERIODID0].[].[28891]","","20.09.2021","","000")</f>
        <v>20.09.2021</v>
      </c>
      <c r="K5" s="1" t="str">
        <f xml:space="preserve"> _xll.EPMOlapMemberO("[PERIODID0].[].[28892]","","21.09.2021","","000")</f>
        <v>21.09.2021</v>
      </c>
      <c r="L5" s="1" t="str">
        <f xml:space="preserve"> _xll.EPMOlapMemberO("[PERIODID0].[].[28893]","","22.09.2021","","000")</f>
        <v>22.09.2021</v>
      </c>
      <c r="M5" s="1" t="str">
        <f xml:space="preserve"> _xll.EPMOlapMemberO("[PERIODID0].[].[28894]","","23.09.2021","","000")</f>
        <v>23.09.2021</v>
      </c>
      <c r="N5" s="1" t="str">
        <f xml:space="preserve"> _xll.EPMOlapMemberO("[PERIODID0].[].[28895]","","24.09.2021","","000")</f>
        <v>24.09.2021</v>
      </c>
      <c r="O5" s="1" t="str">
        <f xml:space="preserve"> _xll.EPMOlapMemberO("[PERIODID0].[].[28896]","","25.09.2021","","000")</f>
        <v>25.09.2021</v>
      </c>
      <c r="P5" s="1" t="str">
        <f xml:space="preserve"> _xll.EPMOlapMemberO("[PERIODID0].[].[28897]","","26.09.2021","","000")</f>
        <v>26.09.2021</v>
      </c>
      <c r="Q5" s="1" t="str">
        <f xml:space="preserve"> _xll.EPMOlapMemberO("[PERIODID0].[].[28898]","","27.09.2021","","000")</f>
        <v>27.09.2021</v>
      </c>
      <c r="R5" s="1" t="str">
        <f xml:space="preserve"> _xll.EPMOlapMemberO("[PERIODID0].[].[28899]","","28.09.2021","","000")</f>
        <v>28.09.2021</v>
      </c>
      <c r="S5" s="1" t="str">
        <f xml:space="preserve"> _xll.EPMOlapMemberO("[PERIODID0].[].[28900]","","29.09.2021","","000")</f>
        <v>29.09.2021</v>
      </c>
      <c r="T5" s="1" t="str">
        <f xml:space="preserve"> _xll.EPMOlapMemberO("[PERIODID0].[].[28901]","","30.09.2021","","000")</f>
        <v>30.09.2021</v>
      </c>
      <c r="U5" s="1" t="str">
        <f xml:space="preserve"> _xll.EPMOlapMemberO("[PERIODID0].[].[28902]","","01.10.2021","","000")</f>
        <v>01.10.2021</v>
      </c>
      <c r="V5" s="1" t="str">
        <f xml:space="preserve"> _xll.EPMOlapMemberO("[PERIODID0].[].[28903]","","02.10.2021","","000")</f>
        <v>02.10.2021</v>
      </c>
      <c r="W5" s="1" t="str">
        <f xml:space="preserve"> _xll.EPMOlapMemberO("[PERIODID0].[].[28904]","","03.10.2021","","000")</f>
        <v>03.10.2021</v>
      </c>
      <c r="X5" s="1" t="str">
        <f xml:space="preserve"> _xll.EPMOlapMemberO("[PERIODID0].[].[28905]","","04.10.2021","","000")</f>
        <v>04.10.2021</v>
      </c>
      <c r="Y5" s="1" t="str">
        <f xml:space="preserve"> _xll.EPMOlapMemberO("[PERIODID0].[].[28906]","","05.10.2021","","000")</f>
        <v>05.10.2021</v>
      </c>
      <c r="Z5" s="1" t="str">
        <f xml:space="preserve"> _xll.EPMOlapMemberO("[PERIODID0].[].[28907]","","06.10.2021","","000")</f>
        <v>06.10.2021</v>
      </c>
      <c r="AA5" s="1" t="str">
        <f xml:space="preserve"> _xll.EPMOlapMemberO("[PERIODID0].[].[28908]","","07.10.2021","","000")</f>
        <v>07.10.2021</v>
      </c>
      <c r="AB5" s="1" t="str">
        <f xml:space="preserve"> _xll.EPMOlapMemberO("[PERIODID0].[].[28909]","","08.10.2021","","000")</f>
        <v>08.10.2021</v>
      </c>
      <c r="AC5" s="1" t="str">
        <f xml:space="preserve"> _xll.EPMOlapMemberO("[PERIODID0].[].[28910]","","09.10.2021","","000")</f>
        <v>09.10.2021</v>
      </c>
      <c r="AD5" s="1" t="str">
        <f xml:space="preserve"> _xll.EPMOlapMemberO("[PERIODID0].[].[28911]","","10.10.2021","","000")</f>
        <v>10.10.2021</v>
      </c>
      <c r="AE5" s="1" t="str">
        <f xml:space="preserve"> _xll.EPMOlapMemberO("[PERIODID0].[].[28912]","","11.10.2021","","000")</f>
        <v>11.10.2021</v>
      </c>
      <c r="AF5" s="1" t="str">
        <f xml:space="preserve"> _xll.EPMOlapMemberO("[PERIODID0].[].[28913]","","12.10.2021","","000")</f>
        <v>12.10.2021</v>
      </c>
      <c r="AG5" s="1" t="str">
        <f xml:space="preserve"> _xll.EPMOlapMemberO("[PERIODID0].[].[28914]","","13.10.2021","","000")</f>
        <v>13.10.2021</v>
      </c>
      <c r="AH5" s="1" t="str">
        <f xml:space="preserve"> _xll.EPMOlapMemberO("[PERIODID0].[].[28915]","","14.10.2021","","000")</f>
        <v>14.10.2021</v>
      </c>
      <c r="AI5" s="1" t="str">
        <f xml:space="preserve"> _xll.EPMOlapMemberO("[PERIODID0].[].[28916]","","15.10.2021","","000")</f>
        <v>15.10.2021</v>
      </c>
      <c r="AJ5" s="1" t="str">
        <f xml:space="preserve"> _xll.EPMOlapMemberO("[PERIODID0].[].[28917]","","16.10.2021","","000")</f>
        <v>16.10.2021</v>
      </c>
      <c r="AK5" s="1" t="str">
        <f xml:space="preserve"> _xll.EPMOlapMemberO("[PERIODID0].[].[28918]","","17.10.2021","","000")</f>
        <v>17.10.2021</v>
      </c>
      <c r="AL5" s="1" t="str">
        <f xml:space="preserve"> _xll.EPMOlapMemberO("[PERIODID0].[].[28919]","","18.10.2021","","000")</f>
        <v>18.10.2021</v>
      </c>
      <c r="AM5" s="1" t="str">
        <f xml:space="preserve"> _xll.EPMOlapMemberO("[PERIODID0].[].[28920]","","19.10.2021","","000")</f>
        <v>19.10.2021</v>
      </c>
      <c r="AN5" s="1" t="str">
        <f xml:space="preserve"> _xll.EPMOlapMemberO("[PERIODID0].[].[28921]","","20.10.2021","","000")</f>
        <v>20.10.2021</v>
      </c>
      <c r="AO5" s="1" t="str">
        <f xml:space="preserve"> _xll.EPMOlapMemberO("[PERIODID0].[].[28922]","","21.10.2021","","000")</f>
        <v>21.10.2021</v>
      </c>
      <c r="AP5" s="1" t="str">
        <f xml:space="preserve"> _xll.EPMOlapMemberO("[PERIODID0].[].[28923]","","22.10.2021","","000")</f>
        <v>22.10.2021</v>
      </c>
      <c r="AQ5" s="1" t="str">
        <f xml:space="preserve"> _xll.EPMOlapMemberO("[PERIODID0].[].[28924]","","23.10.2021","","000")</f>
        <v>23.10.2021</v>
      </c>
      <c r="AR5" s="1" t="str">
        <f xml:space="preserve"> _xll.EPMOlapMemberO("[PERIODID0].[].[28925]","","24.10.2021","","000")</f>
        <v>24.10.2021</v>
      </c>
      <c r="AS5" s="1" t="str">
        <f xml:space="preserve"> _xll.EPMOlapMemberO("[PERIODID0].[].[28926]","","25.10.2021","","000")</f>
        <v>25.10.2021</v>
      </c>
      <c r="AT5" s="1" t="str">
        <f xml:space="preserve"> _xll.EPMOlapMemberO("[PERIODID0].[].[28927]","","26.10.2021","","000")</f>
        <v>26.10.2021</v>
      </c>
      <c r="AU5" s="1" t="str">
        <f xml:space="preserve"> _xll.EPMOlapMemberO("[PERIODID0].[].[28928]","","27.10.2021","","000")</f>
        <v>27.10.2021</v>
      </c>
      <c r="AV5" s="1" t="str">
        <f xml:space="preserve"> _xll.EPMOlapMemberO("[PERIODID0].[].[28929]","","28.10.2021","","000")</f>
        <v>28.10.2021</v>
      </c>
      <c r="AW5" s="1" t="str">
        <f xml:space="preserve"> _xll.EPMOlapMemberO("[PERIODID0].[].[28930]","","29.10.2021","","000")</f>
        <v>29.10.2021</v>
      </c>
      <c r="AX5" s="1" t="str">
        <f xml:space="preserve"> _xll.EPMOlapMemberO("[PERIODID0].[].[28931]","","30.10.2021","","000")</f>
        <v>30.10.2021</v>
      </c>
      <c r="AY5" s="1" t="str">
        <f xml:space="preserve"> _xll.EPMOlapMemberO("[PERIODID0].[].[28932]","","31.10.2021","","000")</f>
        <v>31.10.2021</v>
      </c>
      <c r="AZ5" s="1" t="str">
        <f xml:space="preserve"> _xll.EPMOlapMemberO("[PERIODID0].[].[28933]","","01.11.2021","","000")</f>
        <v>01.11.2021</v>
      </c>
      <c r="BA5" s="1" t="str">
        <f xml:space="preserve"> _xll.EPMOlapMemberO("[PERIODID0].[].[28934]","","02.11.2021","","000")</f>
        <v>02.11.2021</v>
      </c>
      <c r="BB5" s="1" t="str">
        <f xml:space="preserve"> _xll.EPMOlapMemberO("[PERIODID0].[].[28935]","","03.11.2021","","000")</f>
        <v>03.11.2021</v>
      </c>
    </row>
    <row r="6" spans="1:54" x14ac:dyDescent="0.25">
      <c r="A6" s="2"/>
      <c r="B6" s="2" t="str">
        <f xml:space="preserve"> _xll.EPMOlapMemberO("[PRDID].[].[IBP-100]","","IBP-100","","000")</f>
        <v>IBP-100</v>
      </c>
      <c r="C6" s="2" t="str">
        <f xml:space="preserve"> _xll.EPMOlapMemberO("[LOCID].[].[0100]","","Plant 0100","","000")</f>
        <v>Plant 0100</v>
      </c>
      <c r="D6" s="2" t="str">
        <f xml:space="preserve"> _xll.EPMOlapMemberO("[KEY_FIGURES].[].[INDEPENDENTDEMAND]","","Independent Demand","","000")</f>
        <v>Independent Demand</v>
      </c>
    </row>
    <row r="7" spans="1:54" x14ac:dyDescent="0.25">
      <c r="A7" s="2"/>
      <c r="B7" s="2"/>
      <c r="C7" s="2"/>
      <c r="D7" s="2" t="str">
        <f xml:space="preserve"> _xll.EPMOlapMemberO("[KEY_FIGURES].[].[INDEPDEMDELIVEREDLATE]","","Independent Demand Delivered Late","","000")</f>
        <v>Independent Demand Delivered Late</v>
      </c>
    </row>
    <row r="8" spans="1:54" x14ac:dyDescent="0.25">
      <c r="A8" s="2"/>
      <c r="B8" s="2"/>
      <c r="C8" s="2"/>
      <c r="D8" s="2" t="str">
        <f xml:space="preserve"> _xll.EPMOlapMemberO("[KEY_FIGURES].[].[INDEPDEMANDNONDELIVERYCOSTRATE]","","Independent Demand Non-Delivery Cost Rate","","000")</f>
        <v>Independent Demand Non-Delivery Cost Rate</v>
      </c>
    </row>
    <row r="9" spans="1:54" x14ac:dyDescent="0.25">
      <c r="A9" s="2"/>
      <c r="B9" s="2"/>
      <c r="C9" s="2"/>
      <c r="D9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0" spans="1:54" x14ac:dyDescent="0.25">
      <c r="A10" s="2"/>
      <c r="B10" s="2"/>
      <c r="C10" s="2"/>
      <c r="D10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1" spans="1:54" x14ac:dyDescent="0.25">
      <c r="A11" s="2"/>
      <c r="B11" s="2"/>
      <c r="C11" s="2"/>
      <c r="D11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2" spans="1:54" x14ac:dyDescent="0.25">
      <c r="A12" s="2"/>
      <c r="B12" s="2" t="str">
        <f xml:space="preserve"> _xll.EPMOlapMemberO("[PRDID].[].[IBP-150]","","IBP-150","","000")</f>
        <v>IBP-150</v>
      </c>
      <c r="C12" s="2" t="str">
        <f xml:space="preserve"> _xll.EPMOlapMemberO("[LOCID].[].[0100]","","Plant 0100","","000")</f>
        <v>Plant 0100</v>
      </c>
      <c r="D12" s="2" t="str">
        <f xml:space="preserve"> _xll.EPMOlapMemberO("[KEY_FIGURES].[].[INDEPENDENTDEMAND]","","Independent Demand","","000")</f>
        <v>Independent Demand</v>
      </c>
    </row>
    <row r="13" spans="1:54" collapsed="1" x14ac:dyDescent="0.25">
      <c r="A13" s="2"/>
      <c r="B13" s="2"/>
      <c r="C13" s="2"/>
      <c r="D13" s="2" t="str">
        <f xml:space="preserve"> _xll.EPMOlapMemberO("[KEY_FIGURES].[].[INDEPDEMDELIVEREDLATE]","","Independent Demand Delivered Late","","000")</f>
        <v>Independent Demand Delivered Late</v>
      </c>
    </row>
    <row r="14" spans="1:54" x14ac:dyDescent="0.25">
      <c r="A14" s="2"/>
      <c r="B14" s="2"/>
      <c r="C14" s="2"/>
      <c r="D14" s="2" t="str">
        <f xml:space="preserve"> _xll.EPMOlapMemberO("[KEY_FIGURES].[].[INDEPDEMANDNONDELIVERYCOSTRATE]","","Independent Demand Non-Delivery Cost Rate","","000")</f>
        <v>Independent Demand Non-Delivery Cost Rate</v>
      </c>
    </row>
    <row r="15" spans="1:54" x14ac:dyDescent="0.25">
      <c r="A15" s="2"/>
      <c r="B15" s="2"/>
      <c r="C15" s="2"/>
      <c r="D1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6" spans="1:54" x14ac:dyDescent="0.25">
      <c r="A16" s="2"/>
      <c r="B16" s="2"/>
      <c r="C16" s="2"/>
      <c r="D16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7" spans="1:4" x14ac:dyDescent="0.25">
      <c r="A17" s="2"/>
      <c r="B17" s="2"/>
      <c r="C17" s="2"/>
      <c r="D17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8" spans="1:4" collapsed="1" x14ac:dyDescent="0.25">
      <c r="A18" s="2"/>
      <c r="B18" s="2" t="str">
        <f xml:space="preserve"> _xll.EPMOlapMemberO("[PRDID].[].[IBP-200]","","IBP-200","","000")</f>
        <v>IBP-200</v>
      </c>
      <c r="C18" s="2" t="str">
        <f xml:space="preserve"> _xll.EPMOlapMemberO("[LOCID].[].[0200]","","Plant 0200","","000")</f>
        <v>Plant 0200</v>
      </c>
      <c r="D18" s="2" t="str">
        <f xml:space="preserve"> _xll.EPMOlapMemberO("[KEY_FIGURES].[].[INDEPENDENTDEMAND]","","Independent Demand","","000")</f>
        <v>Independent Demand</v>
      </c>
    </row>
    <row r="19" spans="1:4" x14ac:dyDescent="0.25">
      <c r="A19" s="2"/>
      <c r="B19" s="2"/>
      <c r="C19" s="2"/>
      <c r="D19" s="2" t="str">
        <f xml:space="preserve"> _xll.EPMOlapMemberO("[KEY_FIGURES].[].[INDEPDEMDELIVEREDLATE]","","Independent Demand Delivered Late","","000")</f>
        <v>Independent Demand Delivered Late</v>
      </c>
    </row>
    <row r="20" spans="1:4" x14ac:dyDescent="0.25">
      <c r="A20" s="2"/>
      <c r="B20" s="2"/>
      <c r="C20" s="2"/>
      <c r="D20" s="2" t="str">
        <f xml:space="preserve"> _xll.EPMOlapMemberO("[KEY_FIGURES].[].[INDEPDEMANDNONDELIVERYCOSTRATE]","","Independent Demand Non-Delivery Cost Rate","","000")</f>
        <v>Independent Demand Non-Delivery Cost Rate</v>
      </c>
    </row>
    <row r="21" spans="1:4" x14ac:dyDescent="0.25">
      <c r="A21" s="2"/>
      <c r="B21" s="2"/>
      <c r="C21" s="2"/>
      <c r="D21" s="2" t="str">
        <f xml:space="preserve"> _xll.EPMOlapMemberO("[KEY_FIGURES].[].[INDEPDEMLATEDELIVCOSTRATE]","","Late-Delivery Cost Rate for Independent Demand","","000")</f>
        <v>Late-Delivery Cost Rate for Independent Demand</v>
      </c>
    </row>
    <row r="22" spans="1:4" x14ac:dyDescent="0.25">
      <c r="A22" s="2"/>
      <c r="B22" s="2"/>
      <c r="C22" s="2"/>
      <c r="D22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23" spans="1:4" x14ac:dyDescent="0.25">
      <c r="A23" s="2"/>
      <c r="B23" s="2"/>
      <c r="C23" s="2"/>
      <c r="D23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24" spans="1:4" collapsed="1" x14ac:dyDescent="0.25">
      <c r="A24" s="2"/>
      <c r="B24" s="2"/>
      <c r="C24" s="2"/>
      <c r="D24" s="2"/>
    </row>
    <row r="25" spans="1:4" collapsed="1" x14ac:dyDescent="0.25">
      <c r="A25" s="2"/>
      <c r="B25" s="2"/>
      <c r="C25" s="2"/>
      <c r="D25" s="2"/>
    </row>
    <row r="26" spans="1:4" collapsed="1" x14ac:dyDescent="0.25"/>
  </sheetData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1030" r:id="rId7" name="ReportSubmitControl_1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30" r:id="rId7" name="ReportSubmitControl_1tb1"/>
      </mc:Fallback>
    </mc:AlternateContent>
    <mc:AlternateContent xmlns:mc="http://schemas.openxmlformats.org/markup-compatibility/2006">
      <mc:Choice Requires="x14">
        <control shapeId="1029" r:id="rId9" name="ReportSubmitManagerControl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9" r:id="rId9" name="ReportSubmitManagerControltb1"/>
      </mc:Fallback>
    </mc:AlternateContent>
    <mc:AlternateContent xmlns:mc="http://schemas.openxmlformats.org/markup-compatibility/2006">
      <mc:Choice Requires="x14">
        <control shapeId="1028" r:id="rId11" name="FPMExcelClientSheetOptions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8" r:id="rId11" name="FPMExcelClientSheetOptionstb1"/>
      </mc:Fallback>
    </mc:AlternateContent>
    <mc:AlternateContent xmlns:mc="http://schemas.openxmlformats.org/markup-compatibility/2006">
      <mc:Choice Requires="x14">
        <control shapeId="1027" r:id="rId13" name="MultipleReportManagerInfo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7" r:id="rId13" name="MultipleReportManagerInfotb1"/>
      </mc:Fallback>
    </mc:AlternateContent>
    <mc:AlternateContent xmlns:mc="http://schemas.openxmlformats.org/markup-compatibility/2006">
      <mc:Choice Requires="x14">
        <control shapeId="1026" r:id="rId15" name="ConnectionDescriptorsInfo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6" r:id="rId15" name="ConnectionDescriptorsInfotb1"/>
      </mc:Fallback>
    </mc:AlternateContent>
    <mc:AlternateContent xmlns:mc="http://schemas.openxmlformats.org/markup-compatibility/2006">
      <mc:Choice Requires="x14">
        <control shapeId="1025" r:id="rId17" name="AnalyzerDynReport000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5" r:id="rId17" name="AnalyzerDynReport000tb1"/>
      </mc:Fallback>
    </mc:AlternateContent>
    <mc:AlternateContent xmlns:mc="http://schemas.openxmlformats.org/markup-compatibility/2006">
      <mc:Choice Requires="x14">
        <control shapeId="1033" r:id="rId19" name="MultipleReportManagerInfoHCtb1">
          <controlPr defaultSize="0" autoLine="0" autoPict="0" r:id="rId2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3" r:id="rId19" name="MultipleReportManagerInfoHCtb1"/>
      </mc:Fallback>
    </mc:AlternateContent>
    <mc:AlternateContent xmlns:mc="http://schemas.openxmlformats.org/markup-compatibility/2006">
      <mc:Choice Requires="x14">
        <control shapeId="1034" r:id="rId21" name="MultipleReportManagerInfoDCtb1">
          <controlPr defaultSize="0" autoLine="0" autoPict="0" r:id="rId2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4" r:id="rId21" name="MultipleReportManagerInfoDCtb1"/>
      </mc:Fallback>
    </mc:AlternateContent>
    <mc:AlternateContent xmlns:mc="http://schemas.openxmlformats.org/markup-compatibility/2006">
      <mc:Choice Requires="x14">
        <control shapeId="1035" r:id="rId23" name="ConnectionDescriptorsInfoHCtb1">
          <controlPr defaultSize="0" autoLine="0" autoPict="0" r:id="rId2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5" r:id="rId23" name="ConnectionDescriptorsInfoHCtb1"/>
      </mc:Fallback>
    </mc:AlternateContent>
    <mc:AlternateContent xmlns:mc="http://schemas.openxmlformats.org/markup-compatibility/2006">
      <mc:Choice Requires="x14">
        <control shapeId="1036" r:id="rId25" name="ConnectionDescriptorsInfoDCtb1">
          <controlPr defaultSize="0" autoLine="0" autoPict="0" r:id="rId2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6" r:id="rId25" name="ConnectionDescriptorsInfoDCtb1"/>
      </mc:Fallback>
    </mc:AlternateContent>
    <mc:AlternateContent xmlns:mc="http://schemas.openxmlformats.org/markup-compatibility/2006">
      <mc:Choice Requires="x14">
        <control shapeId="1031" r:id="rId27" name="Button 7">
          <controlPr defaultSize="0" print="0" autoFill="0" autoPict="0" macro="[0]!Set_KF_Grouping">
            <anchor moveWithCells="1" sizeWithCells="1">
              <from>
                <xdr:col>3</xdr:col>
                <xdr:colOff>257175</xdr:colOff>
                <xdr:row>0</xdr:row>
                <xdr:rowOff>142875</xdr:rowOff>
              </from>
              <to>
                <xdr:col>3</xdr:col>
                <xdr:colOff>1695450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8" name="Button 8">
          <controlPr defaultSize="0" print="0" autoFill="0" autoPict="0" macro="[0]!Set_Ungroup">
            <anchor moveWithCells="1" sizeWithCells="1">
              <from>
                <xdr:col>4</xdr:col>
                <xdr:colOff>0</xdr:colOff>
                <xdr:row>0</xdr:row>
                <xdr:rowOff>152400</xdr:rowOff>
              </from>
              <to>
                <xdr:col>6</xdr:col>
                <xdr:colOff>85725</xdr:colOff>
                <xdr:row>2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92B4-C37E-403B-94F7-6607C63412D1}">
  <sheetPr codeName="Sheet14">
    <outlinePr summaryBelow="0" summaryRight="0"/>
  </sheetPr>
  <dimension ref="A1:I7"/>
  <sheetViews>
    <sheetView workbookViewId="0">
      <pane ySplit="1" topLeftCell="A2" activePane="bottomLeft" state="frozen"/>
      <selection pane="bottomLeft" activeCell="C5" sqref="C5"/>
    </sheetView>
  </sheetViews>
  <sheetFormatPr defaultRowHeight="15" x14ac:dyDescent="0.25"/>
  <cols>
    <col min="1" max="1" width="27.28515625" bestFit="1" customWidth="1"/>
    <col min="2" max="2" width="62" customWidth="1"/>
    <col min="3" max="3" width="7.42578125" bestFit="1" customWidth="1"/>
    <col min="5" max="5" width="14.5703125" bestFit="1" customWidth="1"/>
    <col min="8" max="8" width="15.5703125" customWidth="1"/>
    <col min="9" max="9" width="15.85546875" customWidth="1"/>
  </cols>
  <sheetData>
    <row r="1" spans="1:9" x14ac:dyDescent="0.25">
      <c r="A1" s="3" t="s">
        <v>7</v>
      </c>
      <c r="B1" s="3" t="s">
        <v>8</v>
      </c>
      <c r="C1" s="3" t="s">
        <v>0</v>
      </c>
      <c r="E1" s="3" t="s">
        <v>1</v>
      </c>
      <c r="F1">
        <v>1</v>
      </c>
      <c r="H1" s="3" t="s">
        <v>5</v>
      </c>
      <c r="I1" s="4" t="s">
        <v>2</v>
      </c>
    </row>
    <row r="2" spans="1:9" x14ac:dyDescent="0.25">
      <c r="A2" t="s">
        <v>4</v>
      </c>
      <c r="B2" s="2" t="str">
        <f xml:space="preserve"> _xll.EPMOlapMemberO("[KEY_FIGURES].[].[INDEPENDENTDEMAND]","","Independent Demand","","000")</f>
        <v>Independent Demand</v>
      </c>
      <c r="I2" t="s">
        <v>6</v>
      </c>
    </row>
    <row r="3" spans="1:9" x14ac:dyDescent="0.25">
      <c r="A3" t="s">
        <v>4</v>
      </c>
      <c r="B3" s="2" t="str">
        <f xml:space="preserve"> _xll.EPMOlapMemberO("[KEY_FIGURES].[].[INDEPDEMDELIVEREDLATE]","","Independent Demand Delivered Late","","000")</f>
        <v>Independent Demand Delivered Late</v>
      </c>
    </row>
    <row r="4" spans="1:9" x14ac:dyDescent="0.25">
      <c r="A4" t="s">
        <v>4</v>
      </c>
      <c r="B4" s="2" t="str">
        <f xml:space="preserve"> _xll.EPMOlapMemberO("[KEY_FIGURES].[].[INDEPDEMANDNONDELIVERYCOSTRATE]","","Independent Demand Non-Delivery Cost Rate","","000")</f>
        <v>Independent Demand Non-Delivery Cost Rate</v>
      </c>
    </row>
    <row r="5" spans="1:9" x14ac:dyDescent="0.25">
      <c r="A5" t="s">
        <v>4</v>
      </c>
      <c r="B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6" spans="1:9" x14ac:dyDescent="0.25">
      <c r="A6" t="s">
        <v>4</v>
      </c>
      <c r="B6" s="2" t="str">
        <f xml:space="preserve"> _xll.EPMOlapMemberO("[KEY_FIGURES].[].[INDEPENDENTDEMANDSUPPLY]","","Total Independent Demand Delivered (Demand-Centric)","","000")</f>
        <v>Total Independent Demand Delivered (Demand-Centric)</v>
      </c>
      <c r="C6" t="s">
        <v>3</v>
      </c>
    </row>
    <row r="7" spans="1:9" x14ac:dyDescent="0.25">
      <c r="A7" t="s">
        <v>4</v>
      </c>
      <c r="B7" s="2" t="str">
        <f xml:space="preserve"> _xll.EPMOlapMemberO("[KEY_FIGURES].[].[INDEPDEMLATEDELIVMAX]","","Maximum Late-Delivery Periods for Independent Demand","","000")</f>
        <v>Maximum Late-Delivery Periods for Independent Demand</v>
      </c>
      <c r="C7" t="s">
        <v>3</v>
      </c>
    </row>
  </sheetData>
  <dataValidations count="2">
    <dataValidation type="list" allowBlank="1" showInputMessage="1" showErrorMessage="1" sqref="F1" xr:uid="{C67C0FD5-9011-4ECB-9F7D-567FE3EEC66B}">
      <formula1>"1, 2, Off"</formula1>
    </dataValidation>
    <dataValidation type="list" allowBlank="1" showInputMessage="1" showErrorMessage="1" sqref="C4:C221" xr:uid="{3CA160CA-B4B8-430B-B330-95B4EC270837}">
      <formula1>"X"</formula1>
    </dataValidation>
  </dataValidations>
  <pageMargins left="0.7" right="0.7" top="0.75" bottom="0.75" header="0.3" footer="0.3"/>
  <pageSetup paperSize="9" orientation="portrait" horizontalDpi="200" verticalDpi="200" r:id="rId1"/>
  <customProperties>
    <customPr name="Ibp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LOCID</value>
      </planningLevels>
      <keyFigures>
        <value>INDEPENDENTDEMAND</value>
        <value>INDEPDEMDELIVEREDLATE</value>
        <value>INDEPDEMANDNONDELIVERYCOSTRATE</value>
        <value>INDEPDEMLATEDELIVCOSTRATE</value>
        <value>INDEPENDENTDEMANDSUPPLY</value>
        <value>INDEPDEMLATEDELIVMAX</value>
      </keyFigures>
      <conversions/>
      <rowAxis>
        <value>PRDID</value>
        <value>LOCID</value>
        <value>KEY_FIGURES</value>
      </rowAxis>
      <columnAxis>
        <value>PERIODID0</value>
      </columnAxis>
      <alerts/>
      <dimsDispOptnId/>
      <dimsDispOptnBoth>
        <value>CUSTID</value>
      </dimsDispOptnBoth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LOCID</dimensionId>
          <description>Ascending</description>
          <name>A-Z</name>
          <id>-11</id>
        </attributeSorting>
      </attributeSortings>
    </settings>
  </report_Sheet1>
</config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7D85EF-7125-4A8B-80F0-0C1846CCD0FE}">
  <ds:schemaRefs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a240ad8e-32f0-49ff-8cbe-0619d9b747ef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bbc324ba-a621-4ce9-b168-efe94d1c4d21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8EDE18F-A1E1-4D25-9582-3620243210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009B7EB-952E-4182-9BE5-96D9B898CC23}">
  <ds:schemaRefs>
    <ds:schemaRef ds:uri="http://com.sap.sop/sopconfig"/>
    <ds:schemaRef ds:uri=""/>
  </ds:schemaRefs>
</ds:datastoreItem>
</file>

<file path=customXml/itemProps4.xml><?xml version="1.0" encoding="utf-8"?>
<ds:datastoreItem xmlns:ds="http://schemas.openxmlformats.org/officeDocument/2006/customXml" ds:itemID="{6923FD78-C7A0-4BCB-A857-DC88C43A5C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Planning View</vt:lpstr>
      <vt:lpstr>KFGroups</vt:lpstr>
      <vt:lpstr>Auto_ReGroup</vt:lpstr>
      <vt:lpstr>KFGroups</vt:lpstr>
      <vt:lpstr>KFHeader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2021-07-20T05:53:34Z</dcterms:created>
  <dcterms:modified xsi:type="dcterms:W3CDTF">2021-09-20T14:48:34Z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d238ba18-329d-4476-a8ab-18dfb77c5d70</vt:lpwstr>
  </property>
</Properties>
</file>