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Planning UI/SAP IBP Excel/VBA/VBA GitHub/Hide empty columns/"/>
    </mc:Choice>
  </mc:AlternateContent>
  <xr:revisionPtr revIDLastSave="39" documentId="14_{21CE94C6-9F77-4325-8289-EBF1F1826B77}" xr6:coauthVersionLast="45" xr6:coauthVersionMax="45" xr10:uidLastSave="{8E967B45-3F89-4960-B3B0-A66CD610308B}"/>
  <bookViews>
    <workbookView xWindow="-120" yWindow="-120" windowWidth="29040" windowHeight="15840" xr2:uid="{AFCA2548-B1F5-46A5-AD5E-5890557E352A}"/>
  </bookViews>
  <sheets>
    <sheet name="Planning view" sheetId="2" r:id="rId1"/>
  </sheets>
  <functionGroups builtInGroupCount="19"/>
  <definedNames>
    <definedName name="__FPMExcelClient_Connection" localSheetId="0">"{A63CB8EE-6674-452e-ACA5-65D5174D689E}_[https://pt6-001.wdf.sap.corp/sap/sop/sopfnd/services/addin/excel/]_[SOP]_[PW4CONF]_[]_[]_[false]_[True]\1"</definedName>
    <definedName name="EPMWorkbookOptions_1" hidden="1">"IAEAAB+LCAAAAAAAAAqFj7EOgjAURXcT/6HpDgVNHEiBQUcNJgy61vKABmhJWymfLxohUQfX+87Ju5emY9eiAbQRSsY49AOMQHJVCFnF+G5LL9zhNFmv6EXp5qZUk/V2Qg2aPGmi0YgY19b2ESHOOd9tfaUrsgmCkFxPx5zX0DFPSGOZ5IAXq/hv4ekrQnTfAtMHZlkmczZAUrLWACXf8YudO561ssAtFDP9e/jkXYHIc+QCvlcmDz7HneUg"</definedName>
    <definedName name="EPMWorkbookOptions_2" hidden="1">"AQAA"</definedName>
    <definedName name="SOP_Connection_Name">"PT6 PW4CONF"</definedName>
    <definedName name="SOP_Filter" localSheetId="0">{" "}</definedName>
    <definedName name="SOP_Filter_Criteria_Count" localSheetId="0">0</definedName>
    <definedName name="SOP_Filter_Name" localSheetId="0">"(None)"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"Customer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>"20.08.2021 - 10.08.2023 | Baseline | Base Version"</definedName>
    <definedName name="SOP_Refresh_Timestamp">44428.5905092593</definedName>
    <definedName name="SOP_TargetCurrency" localSheetId="0">"__EMPTY"</definedName>
    <definedName name="SOP_TargetUoM" localSheetId="0">"__EMPTY"</definedName>
    <definedName name="SOP_Value_Based_Filter" localSheetId="0">{" "}</definedName>
    <definedName name="SOP_Value_Based_Filter_Name" localSheetId="0">"(None)"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2" l="1"/>
  <c r="AF4" i="2"/>
  <c r="AG4" i="2"/>
  <c r="J4" i="2"/>
  <c r="R4" i="2"/>
  <c r="Z4" i="2"/>
  <c r="AH4" i="2"/>
  <c r="AP4" i="2"/>
  <c r="AX4" i="2"/>
  <c r="S4" i="2"/>
  <c r="AA4" i="2"/>
  <c r="AI4" i="2"/>
  <c r="AQ4" i="2"/>
  <c r="AY4" i="2"/>
  <c r="AE4" i="2"/>
  <c r="BC4" i="2"/>
  <c r="AV4" i="2"/>
  <c r="I4" i="2"/>
  <c r="AW4" i="2"/>
  <c r="K4" i="2"/>
  <c r="P4" i="2"/>
  <c r="Y4" i="2"/>
  <c r="L4" i="2"/>
  <c r="T4" i="2"/>
  <c r="AB4" i="2"/>
  <c r="AJ4" i="2"/>
  <c r="AR4" i="2"/>
  <c r="AZ4" i="2"/>
  <c r="AD4" i="2"/>
  <c r="AT4" i="2"/>
  <c r="O4" i="2"/>
  <c r="AU4" i="2"/>
  <c r="X4" i="2"/>
  <c r="BD4" i="2"/>
  <c r="M4" i="2"/>
  <c r="U4" i="2"/>
  <c r="AC4" i="2"/>
  <c r="AK4" i="2"/>
  <c r="AS4" i="2"/>
  <c r="BA4" i="2"/>
  <c r="N4" i="2"/>
  <c r="V4" i="2"/>
  <c r="AL4" i="2"/>
  <c r="BB4" i="2"/>
  <c r="W4" i="2"/>
  <c r="AM4" i="2"/>
  <c r="H4" i="2"/>
  <c r="AN4" i="2"/>
  <c r="Q4" i="2"/>
  <c r="AO4" i="2"/>
  <c r="D4" i="2" l="1"/>
  <c r="E4" i="2"/>
  <c r="F4" i="2"/>
  <c r="A4" i="2"/>
  <c r="B4" i="2"/>
  <c r="C4" i="2"/>
  <c r="F5" i="2"/>
  <c r="D9" i="2"/>
  <c r="D7" i="2"/>
  <c r="E10" i="2"/>
  <c r="F7" i="2"/>
  <c r="E8" i="2"/>
  <c r="E6" i="2"/>
  <c r="E9" i="2"/>
  <c r="F9" i="2"/>
  <c r="D10" i="2"/>
  <c r="D5" i="2"/>
  <c r="F6" i="2"/>
  <c r="F8" i="2"/>
  <c r="E7" i="2"/>
  <c r="F10" i="2"/>
  <c r="E5" i="2"/>
</calcChain>
</file>

<file path=xl/sharedStrings.xml><?xml version="1.0" encoding="utf-8"?>
<sst xmlns="http://schemas.openxmlformats.org/spreadsheetml/2006/main" count="1" uniqueCount="1">
  <si>
    <t>[PERIODID0].[].[28793]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</si>
</sst>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Protection="1"/>
    <xf numFmtId="0" fontId="0" fillId="0" borderId="0" xfId="0" applyNumberFormat="1" applyProtection="1"/>
    <xf numFmtId="0" fontId="0" fillId="0" borderId="0" xfId="0" applyNumberFormat="1" applyAlignment="1" applyProtection="1"/>
    <xf numFmtId="0" fontId="0" fillId="0" borderId="0" xfId="0" applyProtection="1">
      <protection locked="0"/>
    </xf>
    <xf numFmtId="0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49" name="AnalyzerDynReport000tb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0" name="ConnectionDescriptorsInfotb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1" name="MultipleReportManagerInfotb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2" name="FPMExcelClientSheetOptionstb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3" name="ReportSubmitManagerControltb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0</xdr:rowOff>
        </xdr:to>
        <xdr:sp macro="" textlink="">
          <xdr:nvSpPr>
            <xdr:cNvPr id="2054" name="ReportSubmitControl_1tb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0</xdr:rowOff>
        </xdr:from>
        <xdr:to>
          <xdr:col>5</xdr:col>
          <xdr:colOff>695325</xdr:colOff>
          <xdr:row>2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column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47625</xdr:colOff>
      <xdr:row>11</xdr:row>
      <xdr:rowOff>171449</xdr:rowOff>
    </xdr:from>
    <xdr:to>
      <xdr:col>13</xdr:col>
      <xdr:colOff>47625</xdr:colOff>
      <xdr:row>20</xdr:row>
      <xdr:rowOff>161925</xdr:rowOff>
    </xdr:to>
    <xdr:sp macro="" textlink="">
      <xdr:nvSpPr>
        <xdr:cNvPr id="12" name="Rectangle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714750" y="2266949"/>
          <a:ext cx="4057650" cy="1704976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will reduce the </a:t>
          </a:r>
          <a:r>
            <a:rPr lang="de-DE" sz="1100" baseline="0">
              <a:solidFill>
                <a:sysClr val="windowText" lastClr="000000"/>
              </a:solidFill>
            </a:rPr>
            <a:t>width of columns that doesn't contain any attribute. To test the sample, you can manually increase the width of the columns on the left-hand side of the planning view and press the "Hide column" button or refresh the planning view. 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Please select "Developer", "Visual Basic" and "Modules" to analyze the VBA coding.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are not designed for productive usage.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customProperty" Target="../customProperty2.bin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5FDB-22EE-4011-9D6B-2E877E0E21BE}">
  <sheetPr codeName="Sheet1"/>
  <dimension ref="A1:QI371"/>
  <sheetViews>
    <sheetView tabSelected="1" workbookViewId="0">
      <pane xSplit="6" ySplit="4" topLeftCell="G5" activePane="bottomRight" state="frozen"/>
      <selection pane="topRight" activeCell="I1" sqref="I1"/>
      <selection pane="bottomLeft" activeCell="A4" sqref="A4"/>
      <selection pane="bottomRight" activeCell="B1" sqref="B1"/>
    </sheetView>
  </sheetViews>
  <sheetFormatPr defaultRowHeight="15" x14ac:dyDescent="0.25"/>
  <cols>
    <col min="1" max="3" width="1.7109375" customWidth="1"/>
    <col min="4" max="4" width="10.140625" bestFit="1" customWidth="1"/>
    <col min="5" max="5" width="11.85546875" bestFit="1" customWidth="1"/>
    <col min="6" max="6" width="17.7109375" bestFit="1" customWidth="1"/>
    <col min="7" max="65" width="10.140625" bestFit="1" customWidth="1"/>
    <col min="66" max="66" width="11" bestFit="1" customWidth="1"/>
    <col min="67" max="159" width="10.140625" bestFit="1" customWidth="1"/>
    <col min="160" max="160" width="7.5703125" bestFit="1" customWidth="1"/>
    <col min="161" max="161" width="11.28515625" bestFit="1" customWidth="1"/>
    <col min="162" max="162" width="17.7109375" bestFit="1" customWidth="1"/>
    <col min="163" max="337" width="10.140625" bestFit="1" customWidth="1"/>
    <col min="338" max="338" width="11" bestFit="1" customWidth="1"/>
    <col min="339" max="351" width="10.140625" bestFit="1" customWidth="1"/>
    <col min="352" max="352" width="21.140625" bestFit="1" customWidth="1"/>
    <col min="353" max="401" width="10.140625" bestFit="1" customWidth="1"/>
    <col min="402" max="408" width="11" bestFit="1" customWidth="1"/>
    <col min="409" max="451" width="9.28515625" bestFit="1" customWidth="1"/>
  </cols>
  <sheetData>
    <row r="1" spans="1:451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1"/>
      <c r="OK1" s="1"/>
    </row>
    <row r="2" spans="1:451" x14ac:dyDescent="0.25">
      <c r="A2" s="1"/>
      <c r="B2" s="1"/>
      <c r="C2" s="3"/>
      <c r="D2" s="3"/>
      <c r="E2" s="1"/>
      <c r="F2" s="1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 t="s">
        <v>0</v>
      </c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</row>
    <row r="3" spans="1:451" x14ac:dyDescent="0.25">
      <c r="A3" s="1"/>
      <c r="B3" s="1"/>
      <c r="C3" s="3"/>
      <c r="D3" s="3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</row>
    <row r="4" spans="1:451" x14ac:dyDescent="0.25">
      <c r="A4" s="2" t="str">
        <f>SOP_Heading6</f>
        <v xml:space="preserve"> </v>
      </c>
      <c r="B4" s="2" t="str">
        <f>SOP_Heading5</f>
        <v xml:space="preserve"> </v>
      </c>
      <c r="C4" s="2" t="str">
        <f>SOP_Heading4</f>
        <v xml:space="preserve"> </v>
      </c>
      <c r="D4" s="2" t="str">
        <f>SOP_Heading3</f>
        <v>Product ID</v>
      </c>
      <c r="E4" s="2" t="str">
        <f>SOP_Heading2</f>
        <v>Customer ID</v>
      </c>
      <c r="F4" s="2" t="str">
        <f>SOP_Heading1</f>
        <v>Key Figure</v>
      </c>
      <c r="G4" s="2" t="str">
        <f xml:space="preserve"> _xll.EPMOlapMemberO("[PERIODID0].[].[28860]","","20.08.2021","","000")</f>
        <v>20.08.2021</v>
      </c>
      <c r="H4" s="2" t="str">
        <f xml:space="preserve"> _xll.EPMOlapMemberO("[PERIODID0].[].[28861]","","21.08.2021","","000")</f>
        <v>21.08.2021</v>
      </c>
      <c r="I4" s="2" t="str">
        <f xml:space="preserve"> _xll.EPMOlapMemberO("[PERIODID0].[].[28862]","","22.08.2021","","000")</f>
        <v>22.08.2021</v>
      </c>
      <c r="J4" s="2" t="str">
        <f xml:space="preserve"> _xll.EPMOlapMemberO("[PERIODID0].[].[28863]","","23.08.2021","","000")</f>
        <v>23.08.2021</v>
      </c>
      <c r="K4" s="2" t="str">
        <f xml:space="preserve"> _xll.EPMOlapMemberO("[PERIODID0].[].[28864]","","24.08.2021","","000")</f>
        <v>24.08.2021</v>
      </c>
      <c r="L4" s="2" t="str">
        <f xml:space="preserve"> _xll.EPMOlapMemberO("[PERIODID0].[].[28865]","","25.08.2021","","000")</f>
        <v>25.08.2021</v>
      </c>
      <c r="M4" s="2" t="str">
        <f xml:space="preserve"> _xll.EPMOlapMemberO("[PERIODID0].[].[28866]","","26.08.2021","","000")</f>
        <v>26.08.2021</v>
      </c>
      <c r="N4" s="2" t="str">
        <f xml:space="preserve"> _xll.EPMOlapMemberO("[PERIODID0].[].[28867]","","27.08.2021","","000")</f>
        <v>27.08.2021</v>
      </c>
      <c r="O4" s="2" t="str">
        <f xml:space="preserve"> _xll.EPMOlapMemberO("[PERIODID0].[].[28868]","","28.08.2021","","000")</f>
        <v>28.08.2021</v>
      </c>
      <c r="P4" s="2" t="str">
        <f xml:space="preserve"> _xll.EPMOlapMemberO("[PERIODID0].[].[28869]","","29.08.2021","","000")</f>
        <v>29.08.2021</v>
      </c>
      <c r="Q4" s="2" t="str">
        <f xml:space="preserve"> _xll.EPMOlapMemberO("[PERIODID0].[].[28870]","","30.08.2021","","000")</f>
        <v>30.08.2021</v>
      </c>
      <c r="R4" s="2" t="str">
        <f xml:space="preserve"> _xll.EPMOlapMemberO("[PERIODID0].[].[28871]","","31.08.2021","","000")</f>
        <v>31.08.2021</v>
      </c>
      <c r="S4" s="2" t="str">
        <f xml:space="preserve"> _xll.EPMOlapMemberO("[PERIODID0].[].[28872]","","01.09.2021","","000")</f>
        <v>01.09.2021</v>
      </c>
      <c r="T4" s="2" t="str">
        <f xml:space="preserve"> _xll.EPMOlapMemberO("[PERIODID0].[].[28873]","","02.09.2021","","000")</f>
        <v>02.09.2021</v>
      </c>
      <c r="U4" s="2" t="str">
        <f xml:space="preserve"> _xll.EPMOlapMemberO("[PERIODID0].[].[28874]","","03.09.2021","","000")</f>
        <v>03.09.2021</v>
      </c>
      <c r="V4" s="2" t="str">
        <f xml:space="preserve"> _xll.EPMOlapMemberO("[PERIODID0].[].[28875]","","04.09.2021","","000")</f>
        <v>04.09.2021</v>
      </c>
      <c r="W4" s="2" t="str">
        <f xml:space="preserve"> _xll.EPMOlapMemberO("[PERIODID0].[].[28876]","","05.09.2021","","000")</f>
        <v>05.09.2021</v>
      </c>
      <c r="X4" s="2" t="str">
        <f xml:space="preserve"> _xll.EPMOlapMemberO("[PERIODID0].[].[28877]","","06.09.2021","","000")</f>
        <v>06.09.2021</v>
      </c>
      <c r="Y4" s="2" t="str">
        <f xml:space="preserve"> _xll.EPMOlapMemberO("[PERIODID0].[].[28878]","","07.09.2021","","000")</f>
        <v>07.09.2021</v>
      </c>
      <c r="Z4" s="2" t="str">
        <f xml:space="preserve"> _xll.EPMOlapMemberO("[PERIODID0].[].[28879]","","08.09.2021","","000")</f>
        <v>08.09.2021</v>
      </c>
      <c r="AA4" s="2" t="str">
        <f xml:space="preserve"> _xll.EPMOlapMemberO("[PERIODID0].[].[28880]","","09.09.2021","","000")</f>
        <v>09.09.2021</v>
      </c>
      <c r="AB4" s="2" t="str">
        <f xml:space="preserve"> _xll.EPMOlapMemberO("[PERIODID0].[].[28881]","","10.09.2021","","000")</f>
        <v>10.09.2021</v>
      </c>
      <c r="AC4" s="2" t="str">
        <f xml:space="preserve"> _xll.EPMOlapMemberO("[PERIODID0].[].[28882]","","11.09.2021","","000")</f>
        <v>11.09.2021</v>
      </c>
      <c r="AD4" s="2" t="str">
        <f xml:space="preserve"> _xll.EPMOlapMemberO("[PERIODID0].[].[28883]","","12.09.2021","","000")</f>
        <v>12.09.2021</v>
      </c>
      <c r="AE4" s="2" t="str">
        <f xml:space="preserve"> _xll.EPMOlapMemberO("[PERIODID0].[].[28884]","","13.09.2021","","000")</f>
        <v>13.09.2021</v>
      </c>
      <c r="AF4" s="2" t="str">
        <f xml:space="preserve"> _xll.EPMOlapMemberO("[PERIODID0].[].[28885]","","14.09.2021","","000")</f>
        <v>14.09.2021</v>
      </c>
      <c r="AG4" s="2" t="str">
        <f xml:space="preserve"> _xll.EPMOlapMemberO("[PERIODID0].[].[28886]","","15.09.2021","","000")</f>
        <v>15.09.2021</v>
      </c>
      <c r="AH4" s="2" t="str">
        <f xml:space="preserve"> _xll.EPMOlapMemberO("[PERIODID0].[].[28887]","","16.09.2021","","000")</f>
        <v>16.09.2021</v>
      </c>
      <c r="AI4" s="2" t="str">
        <f xml:space="preserve"> _xll.EPMOlapMemberO("[PERIODID0].[].[28888]","","17.09.2021","","000")</f>
        <v>17.09.2021</v>
      </c>
      <c r="AJ4" s="2" t="str">
        <f xml:space="preserve"> _xll.EPMOlapMemberO("[PERIODID0].[].[28889]","","18.09.2021","","000")</f>
        <v>18.09.2021</v>
      </c>
      <c r="AK4" s="2" t="str">
        <f xml:space="preserve"> _xll.EPMOlapMemberO("[PERIODID0].[].[28890]","","19.09.2021","","000")</f>
        <v>19.09.2021</v>
      </c>
      <c r="AL4" s="2" t="str">
        <f xml:space="preserve"> _xll.EPMOlapMemberO("[PERIODID0].[].[28891]","","20.09.2021","","000")</f>
        <v>20.09.2021</v>
      </c>
      <c r="AM4" s="2" t="str">
        <f xml:space="preserve"> _xll.EPMOlapMemberO("[PERIODID0].[].[28892]","","21.09.2021","","000")</f>
        <v>21.09.2021</v>
      </c>
      <c r="AN4" s="2" t="str">
        <f xml:space="preserve"> _xll.EPMOlapMemberO("[PERIODID0].[].[28893]","","22.09.2021","","000")</f>
        <v>22.09.2021</v>
      </c>
      <c r="AO4" s="2" t="str">
        <f xml:space="preserve"> _xll.EPMOlapMemberO("[PERIODID0].[].[28894]","","23.09.2021","","000")</f>
        <v>23.09.2021</v>
      </c>
      <c r="AP4" s="2" t="str">
        <f xml:space="preserve"> _xll.EPMOlapMemberO("[PERIODID0].[].[28895]","","24.09.2021","","000")</f>
        <v>24.09.2021</v>
      </c>
      <c r="AQ4" s="2" t="str">
        <f xml:space="preserve"> _xll.EPMOlapMemberO("[PERIODID0].[].[28896]","","25.09.2021","","000")</f>
        <v>25.09.2021</v>
      </c>
      <c r="AR4" s="2" t="str">
        <f xml:space="preserve"> _xll.EPMOlapMemberO("[PERIODID0].[].[28897]","","26.09.2021","","000")</f>
        <v>26.09.2021</v>
      </c>
      <c r="AS4" s="2" t="str">
        <f xml:space="preserve"> _xll.EPMOlapMemberO("[PERIODID0].[].[28898]","","27.09.2021","","000")</f>
        <v>27.09.2021</v>
      </c>
      <c r="AT4" s="2" t="str">
        <f xml:space="preserve"> _xll.EPMOlapMemberO("[PERIODID0].[].[28899]","","28.09.2021","","000")</f>
        <v>28.09.2021</v>
      </c>
      <c r="AU4" s="2" t="str">
        <f xml:space="preserve"> _xll.EPMOlapMemberO("[PERIODID0].[].[28900]","","29.09.2021","","000")</f>
        <v>29.09.2021</v>
      </c>
      <c r="AV4" s="2" t="str">
        <f xml:space="preserve"> _xll.EPMOlapMemberO("[PERIODID0].[].[28901]","","30.09.2021","","000")</f>
        <v>30.09.2021</v>
      </c>
      <c r="AW4" s="2" t="str">
        <f xml:space="preserve"> _xll.EPMOlapMemberO("[PERIODID0].[].[28902]","","01.10.2021","","000")</f>
        <v>01.10.2021</v>
      </c>
      <c r="AX4" s="2" t="str">
        <f xml:space="preserve"> _xll.EPMOlapMemberO("[PERIODID0].[].[28903]","","02.10.2021","","000")</f>
        <v>02.10.2021</v>
      </c>
      <c r="AY4" s="2" t="str">
        <f xml:space="preserve"> _xll.EPMOlapMemberO("[PERIODID0].[].[28904]","","03.10.2021","","000")</f>
        <v>03.10.2021</v>
      </c>
      <c r="AZ4" s="2" t="str">
        <f xml:space="preserve"> _xll.EPMOlapMemberO("[PERIODID0].[].[28905]","","04.10.2021","","000")</f>
        <v>04.10.2021</v>
      </c>
      <c r="BA4" s="2" t="str">
        <f xml:space="preserve"> _xll.EPMOlapMemberO("[PERIODID0].[].[28906]","","05.10.2021","","000")</f>
        <v>05.10.2021</v>
      </c>
      <c r="BB4" s="2" t="str">
        <f xml:space="preserve"> _xll.EPMOlapMemberO("[PERIODID0].[].[28907]","","06.10.2021","","000")</f>
        <v>06.10.2021</v>
      </c>
      <c r="BC4" s="2" t="str">
        <f xml:space="preserve"> _xll.EPMOlapMemberO("[PERIODID0].[].[28908]","","07.10.2021","","000")</f>
        <v>07.10.2021</v>
      </c>
      <c r="BD4" s="2" t="str">
        <f xml:space="preserve"> _xll.EPMOlapMemberO("[PERIODID0].[].[28909]","","08.10.2021","","000")</f>
        <v>08.10.2021</v>
      </c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</row>
    <row r="5" spans="1:451" x14ac:dyDescent="0.25">
      <c r="A5" s="1"/>
      <c r="B5" s="1"/>
      <c r="C5" s="3"/>
      <c r="D5" s="3" t="str">
        <f xml:space="preserve"> _xll.EPMOlapMemberO("[PRDID].[].[IBP-100]","","IBP-100","","000")</f>
        <v>IBP-100</v>
      </c>
      <c r="E5" s="3" t="str">
        <f xml:space="preserve"> _xll.EPMOlapMemberO("[CUSTID].[].[CUST A]","","Customer A","","000")</f>
        <v>Customer A</v>
      </c>
      <c r="F5" s="3" t="str">
        <f xml:space="preserve"> _xll.EPMOlapMemberO("[KEY_FIGURES].[].[CONSENSUSDEMAND]","","Customer Demand","","000")</f>
        <v>Customer Demand</v>
      </c>
      <c r="G5" s="4">
        <v>51</v>
      </c>
      <c r="H5" s="4">
        <v>72</v>
      </c>
      <c r="I5" s="4">
        <v>29</v>
      </c>
      <c r="J5" s="4">
        <v>78</v>
      </c>
      <c r="K5" s="4">
        <v>2</v>
      </c>
      <c r="L5" s="4">
        <v>66</v>
      </c>
      <c r="M5" s="4">
        <v>60</v>
      </c>
      <c r="N5" s="4">
        <v>74</v>
      </c>
      <c r="O5" s="4">
        <v>41</v>
      </c>
      <c r="P5" s="4">
        <v>24</v>
      </c>
      <c r="Q5" s="4">
        <v>48</v>
      </c>
      <c r="R5" s="4">
        <v>44</v>
      </c>
      <c r="S5" s="4">
        <v>62</v>
      </c>
      <c r="T5" s="4">
        <v>61</v>
      </c>
      <c r="U5" s="4">
        <v>87</v>
      </c>
      <c r="V5" s="4">
        <v>81</v>
      </c>
      <c r="W5" s="4">
        <v>74</v>
      </c>
      <c r="X5" s="4">
        <v>66</v>
      </c>
      <c r="Y5" s="4">
        <v>65</v>
      </c>
      <c r="Z5" s="4">
        <v>51</v>
      </c>
      <c r="AA5" s="4">
        <v>75</v>
      </c>
      <c r="AB5" s="4">
        <v>58</v>
      </c>
      <c r="AC5" s="4">
        <v>90</v>
      </c>
      <c r="AD5" s="4">
        <v>10</v>
      </c>
      <c r="AE5" s="4">
        <v>91</v>
      </c>
      <c r="AF5" s="4">
        <v>57</v>
      </c>
      <c r="AG5" s="4">
        <v>46</v>
      </c>
      <c r="AH5" s="4">
        <v>33</v>
      </c>
      <c r="AI5" s="4">
        <v>7</v>
      </c>
      <c r="AJ5" s="4">
        <v>67</v>
      </c>
      <c r="AK5" s="4">
        <v>67</v>
      </c>
      <c r="AL5" s="4">
        <v>51</v>
      </c>
      <c r="AM5" s="4">
        <v>94</v>
      </c>
      <c r="AN5" s="4">
        <v>68</v>
      </c>
      <c r="AO5" s="4">
        <v>1</v>
      </c>
      <c r="AP5" s="4">
        <v>58</v>
      </c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7"/>
      <c r="FE5" s="7"/>
      <c r="FF5" s="7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</row>
    <row r="6" spans="1:451" x14ac:dyDescent="0.25">
      <c r="A6" s="1"/>
      <c r="B6" s="1"/>
      <c r="C6" s="3"/>
      <c r="D6" s="3"/>
      <c r="E6" s="3" t="str">
        <f xml:space="preserve"> _xll.EPMOlapMemberO("[CUSTID].[].[CUST B]","","Customer B","","000")</f>
        <v>Customer B</v>
      </c>
      <c r="F6" s="3" t="str">
        <f xml:space="preserve"> _xll.EPMOlapMemberO("[KEY_FIGURES].[].[CONSENSUSDEMAND]","","Customer Demand","","000")</f>
        <v>Customer Demand</v>
      </c>
      <c r="G6" s="4">
        <v>26</v>
      </c>
      <c r="H6" s="4">
        <v>62</v>
      </c>
      <c r="I6" s="4">
        <v>71</v>
      </c>
      <c r="J6" s="4">
        <v>28</v>
      </c>
      <c r="K6" s="4">
        <v>1</v>
      </c>
      <c r="L6" s="4">
        <v>26</v>
      </c>
      <c r="M6" s="4">
        <v>82</v>
      </c>
      <c r="N6" s="4">
        <v>63</v>
      </c>
      <c r="O6" s="4">
        <v>70</v>
      </c>
      <c r="P6" s="4">
        <v>37</v>
      </c>
      <c r="Q6" s="4">
        <v>9</v>
      </c>
      <c r="R6" s="4">
        <v>76</v>
      </c>
      <c r="S6" s="4">
        <v>11</v>
      </c>
      <c r="T6" s="4">
        <v>41</v>
      </c>
      <c r="U6" s="4">
        <v>69</v>
      </c>
      <c r="V6" s="4">
        <v>69</v>
      </c>
      <c r="W6" s="4">
        <v>68</v>
      </c>
      <c r="X6" s="4">
        <v>76</v>
      </c>
      <c r="Y6" s="4">
        <v>7</v>
      </c>
      <c r="Z6" s="4">
        <v>59</v>
      </c>
      <c r="AA6" s="4">
        <v>98</v>
      </c>
      <c r="AB6" s="4">
        <v>30</v>
      </c>
      <c r="AC6" s="4">
        <v>26</v>
      </c>
      <c r="AD6" s="4">
        <v>40</v>
      </c>
      <c r="AE6" s="4">
        <v>35</v>
      </c>
      <c r="AF6" s="4">
        <v>80</v>
      </c>
      <c r="AG6" s="4">
        <v>76</v>
      </c>
      <c r="AH6" s="4">
        <v>2</v>
      </c>
      <c r="AI6" s="4">
        <v>54</v>
      </c>
      <c r="AJ6" s="4">
        <v>36</v>
      </c>
      <c r="AK6" s="4">
        <v>82</v>
      </c>
      <c r="AL6" s="4">
        <v>10</v>
      </c>
      <c r="AM6" s="4">
        <v>16</v>
      </c>
      <c r="AN6" s="4">
        <v>39</v>
      </c>
      <c r="AO6" s="4">
        <v>12</v>
      </c>
      <c r="AP6" s="4">
        <v>6</v>
      </c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7"/>
      <c r="FE6" s="7"/>
      <c r="FF6" s="7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</row>
    <row r="7" spans="1:451" x14ac:dyDescent="0.25">
      <c r="A7" s="1"/>
      <c r="B7" s="1"/>
      <c r="C7" s="3"/>
      <c r="D7" s="3" t="str">
        <f xml:space="preserve"> _xll.EPMOlapMemberO("[PRDID].[].[IBP-150]","","IBP-150","","000")</f>
        <v>IBP-150</v>
      </c>
      <c r="E7" s="3" t="str">
        <f xml:space="preserve"> _xll.EPMOlapMemberO("[CUSTID].[].[CUST A]","","Customer A","","000")</f>
        <v>Customer A</v>
      </c>
      <c r="F7" s="3" t="str">
        <f xml:space="preserve"> _xll.EPMOlapMemberO("[KEY_FIGURES].[].[CONSENSUSDEMAND]","","Customer Demand","","000")</f>
        <v>Customer Demand</v>
      </c>
      <c r="G7" s="4">
        <v>56</v>
      </c>
      <c r="H7" s="4">
        <v>84</v>
      </c>
      <c r="I7" s="4">
        <v>54</v>
      </c>
      <c r="J7" s="4">
        <v>62</v>
      </c>
      <c r="K7" s="4">
        <v>74</v>
      </c>
      <c r="L7" s="4">
        <v>31</v>
      </c>
      <c r="M7" s="4">
        <v>58</v>
      </c>
      <c r="N7" s="4">
        <v>11</v>
      </c>
      <c r="O7" s="4">
        <v>1</v>
      </c>
      <c r="P7" s="4">
        <v>68</v>
      </c>
      <c r="Q7" s="4">
        <v>34</v>
      </c>
      <c r="R7" s="4">
        <v>79</v>
      </c>
      <c r="S7" s="4">
        <v>18</v>
      </c>
      <c r="T7" s="4">
        <v>57</v>
      </c>
      <c r="U7" s="4">
        <v>47</v>
      </c>
      <c r="V7" s="4">
        <v>82</v>
      </c>
      <c r="W7" s="4">
        <v>5</v>
      </c>
      <c r="X7" s="4">
        <v>98</v>
      </c>
      <c r="Y7" s="4">
        <v>62</v>
      </c>
      <c r="Z7" s="4">
        <v>86</v>
      </c>
      <c r="AA7" s="4">
        <v>57</v>
      </c>
      <c r="AB7" s="4">
        <v>56</v>
      </c>
      <c r="AC7" s="4">
        <v>68</v>
      </c>
      <c r="AD7" s="4">
        <v>0</v>
      </c>
      <c r="AE7" s="4">
        <v>62</v>
      </c>
      <c r="AF7" s="4">
        <v>4</v>
      </c>
      <c r="AG7" s="4">
        <v>5</v>
      </c>
      <c r="AH7" s="4">
        <v>29</v>
      </c>
      <c r="AI7" s="4">
        <v>48</v>
      </c>
      <c r="AJ7" s="4">
        <v>4</v>
      </c>
      <c r="AK7" s="4">
        <v>59</v>
      </c>
      <c r="AL7" s="4">
        <v>27</v>
      </c>
      <c r="AM7" s="4">
        <v>80</v>
      </c>
      <c r="AN7" s="4">
        <v>6</v>
      </c>
      <c r="AO7" s="4">
        <v>28</v>
      </c>
      <c r="AP7" s="4">
        <v>45</v>
      </c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7"/>
      <c r="FE7" s="7"/>
      <c r="FF7" s="7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</row>
    <row r="8" spans="1:451" x14ac:dyDescent="0.25">
      <c r="A8" s="1"/>
      <c r="B8" s="1"/>
      <c r="C8" s="3"/>
      <c r="D8" s="3"/>
      <c r="E8" s="3" t="str">
        <f xml:space="preserve"> _xll.EPMOlapMemberO("[CUSTID].[].[CUST B]","","Customer B","","000")</f>
        <v>Customer B</v>
      </c>
      <c r="F8" s="3" t="str">
        <f xml:space="preserve"> _xll.EPMOlapMemberO("[KEY_FIGURES].[].[CONSENSUSDEMAND]","","Customer Demand","","000")</f>
        <v>Customer Demand</v>
      </c>
      <c r="G8" s="4">
        <v>92</v>
      </c>
      <c r="H8" s="4">
        <v>13</v>
      </c>
      <c r="I8" s="4">
        <v>85</v>
      </c>
      <c r="J8" s="4">
        <v>32</v>
      </c>
      <c r="K8" s="4">
        <v>82</v>
      </c>
      <c r="L8" s="4">
        <v>2</v>
      </c>
      <c r="M8" s="4">
        <v>68</v>
      </c>
      <c r="N8" s="4">
        <v>69</v>
      </c>
      <c r="O8" s="4">
        <v>33</v>
      </c>
      <c r="P8" s="4">
        <v>32</v>
      </c>
      <c r="Q8" s="4">
        <v>78</v>
      </c>
      <c r="R8" s="4">
        <v>30</v>
      </c>
      <c r="S8" s="4">
        <v>51</v>
      </c>
      <c r="T8" s="4">
        <v>56</v>
      </c>
      <c r="U8" s="4">
        <v>63</v>
      </c>
      <c r="V8" s="4">
        <v>82</v>
      </c>
      <c r="W8" s="4">
        <v>63</v>
      </c>
      <c r="X8" s="4">
        <v>35</v>
      </c>
      <c r="Y8" s="4">
        <v>38</v>
      </c>
      <c r="Z8" s="4">
        <v>57</v>
      </c>
      <c r="AA8" s="4">
        <v>63</v>
      </c>
      <c r="AB8" s="4">
        <v>44</v>
      </c>
      <c r="AC8" s="4">
        <v>29</v>
      </c>
      <c r="AD8" s="4">
        <v>38</v>
      </c>
      <c r="AE8" s="4">
        <v>21</v>
      </c>
      <c r="AF8" s="4">
        <v>70</v>
      </c>
      <c r="AG8" s="4">
        <v>84</v>
      </c>
      <c r="AH8" s="4">
        <v>38</v>
      </c>
      <c r="AI8" s="4">
        <v>26</v>
      </c>
      <c r="AJ8" s="4">
        <v>50</v>
      </c>
      <c r="AK8" s="4">
        <v>3</v>
      </c>
      <c r="AL8" s="4">
        <v>21</v>
      </c>
      <c r="AM8" s="4">
        <v>25</v>
      </c>
      <c r="AN8" s="4">
        <v>80</v>
      </c>
      <c r="AO8" s="4">
        <v>29</v>
      </c>
      <c r="AP8" s="4">
        <v>12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7"/>
      <c r="FE8" s="7"/>
      <c r="FF8" s="7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</row>
    <row r="9" spans="1:451" x14ac:dyDescent="0.25">
      <c r="A9" s="1"/>
      <c r="B9" s="1"/>
      <c r="C9" s="3"/>
      <c r="D9" s="3" t="str">
        <f xml:space="preserve"> _xll.EPMOlapMemberO("[PRDID].[].[IBP-200]","","IBP-200","","000")</f>
        <v>IBP-200</v>
      </c>
      <c r="E9" s="3" t="str">
        <f xml:space="preserve"> _xll.EPMOlapMemberO("[CUSTID].[].[CUST A]","","Customer A","","000")</f>
        <v>Customer A</v>
      </c>
      <c r="F9" s="3" t="str">
        <f xml:space="preserve"> _xll.EPMOlapMemberO("[KEY_FIGURES].[].[CONSENSUSDEMAND]","","Customer Demand","","000")</f>
        <v>Customer Demand</v>
      </c>
      <c r="G9" s="4">
        <v>3</v>
      </c>
      <c r="H9" s="4">
        <v>11</v>
      </c>
      <c r="I9" s="4">
        <v>1</v>
      </c>
      <c r="J9" s="4">
        <v>36</v>
      </c>
      <c r="K9" s="4">
        <v>79</v>
      </c>
      <c r="L9" s="4">
        <v>6</v>
      </c>
      <c r="M9" s="4">
        <v>3</v>
      </c>
      <c r="N9" s="4">
        <v>57</v>
      </c>
      <c r="O9" s="4">
        <v>26</v>
      </c>
      <c r="P9" s="4">
        <v>20</v>
      </c>
      <c r="Q9" s="4">
        <v>33</v>
      </c>
      <c r="R9" s="4">
        <v>51</v>
      </c>
      <c r="S9" s="4">
        <v>7</v>
      </c>
      <c r="T9" s="4">
        <v>41</v>
      </c>
      <c r="U9" s="4">
        <v>13</v>
      </c>
      <c r="V9" s="4">
        <v>52</v>
      </c>
      <c r="W9" s="4">
        <v>25</v>
      </c>
      <c r="X9" s="4">
        <v>80</v>
      </c>
      <c r="Y9" s="4">
        <v>28</v>
      </c>
      <c r="Z9" s="4">
        <v>85</v>
      </c>
      <c r="AA9" s="4">
        <v>5</v>
      </c>
      <c r="AB9" s="4">
        <v>81</v>
      </c>
      <c r="AC9" s="4">
        <v>28</v>
      </c>
      <c r="AD9" s="4">
        <v>19</v>
      </c>
      <c r="AE9" s="4">
        <v>43</v>
      </c>
      <c r="AF9" s="4">
        <v>50</v>
      </c>
      <c r="AG9" s="4">
        <v>46</v>
      </c>
      <c r="AH9" s="4">
        <v>18</v>
      </c>
      <c r="AI9" s="4">
        <v>9</v>
      </c>
      <c r="AJ9" s="4">
        <v>5</v>
      </c>
      <c r="AK9" s="4">
        <v>50</v>
      </c>
      <c r="AL9" s="4">
        <v>44</v>
      </c>
      <c r="AM9" s="4">
        <v>87</v>
      </c>
      <c r="AN9" s="4">
        <v>48</v>
      </c>
      <c r="AO9" s="4">
        <v>27</v>
      </c>
      <c r="AP9" s="4">
        <v>81</v>
      </c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7"/>
      <c r="FE9" s="7"/>
      <c r="FF9" s="7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</row>
    <row r="10" spans="1:451" x14ac:dyDescent="0.25">
      <c r="A10" s="1"/>
      <c r="B10" s="1"/>
      <c r="C10" s="3"/>
      <c r="D10" s="3" t="str">
        <f xml:space="preserve"> _xll.EPMOlapMemberO("[PRDID].[].[IBP-300]","","IBP-300","","000")</f>
        <v>IBP-300</v>
      </c>
      <c r="E10" s="3" t="str">
        <f xml:space="preserve"> _xll.EPMOlapMemberO("[CUSTID].[].[CUST A]","","Customer A","","000")</f>
        <v>Customer A</v>
      </c>
      <c r="F10" s="3" t="str">
        <f xml:space="preserve"> _xll.EPMOlapMemberO("[KEY_FIGURES].[].[CONSENSUSDEMAND]","","Customer Demand","","000")</f>
        <v>Customer Demand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7"/>
      <c r="FE10" s="7"/>
      <c r="FF10" s="7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</row>
    <row r="11" spans="1:451" x14ac:dyDescent="0.25">
      <c r="C11" s="6"/>
      <c r="D11" s="6"/>
      <c r="E11" s="6"/>
      <c r="F11" s="6"/>
    </row>
    <row r="12" spans="1:451" x14ac:dyDescent="0.25">
      <c r="C12" s="6"/>
      <c r="D12" s="6"/>
      <c r="E12" s="6"/>
      <c r="F12" s="6"/>
    </row>
    <row r="13" spans="1:451" x14ac:dyDescent="0.25">
      <c r="C13" s="6"/>
      <c r="D13" s="6"/>
      <c r="E13" s="6"/>
      <c r="F13" s="6"/>
    </row>
    <row r="14" spans="1:451" x14ac:dyDescent="0.25">
      <c r="C14" s="6"/>
      <c r="D14" s="6"/>
      <c r="E14" s="6"/>
      <c r="F14" s="6"/>
    </row>
    <row r="15" spans="1:451" x14ac:dyDescent="0.25">
      <c r="C15" s="6"/>
      <c r="D15" s="6"/>
      <c r="E15" s="6"/>
      <c r="F15" s="6"/>
    </row>
    <row r="16" spans="1:451" x14ac:dyDescent="0.25">
      <c r="C16" s="6"/>
      <c r="D16" s="6"/>
      <c r="E16" s="6"/>
      <c r="F16" s="6"/>
    </row>
    <row r="17" spans="3:6" x14ac:dyDescent="0.25">
      <c r="C17" s="6"/>
      <c r="D17" s="6"/>
      <c r="E17" s="6"/>
      <c r="F17" s="6"/>
    </row>
    <row r="18" spans="3:6" x14ac:dyDescent="0.25">
      <c r="C18" s="6"/>
      <c r="D18" s="6"/>
      <c r="E18" s="6"/>
      <c r="F18" s="6"/>
    </row>
    <row r="19" spans="3:6" x14ac:dyDescent="0.25">
      <c r="C19" s="6"/>
      <c r="D19" s="6"/>
      <c r="E19" s="6"/>
      <c r="F19" s="6"/>
    </row>
    <row r="20" spans="3:6" x14ac:dyDescent="0.25">
      <c r="C20" s="6"/>
      <c r="D20" s="6"/>
      <c r="E20" s="6"/>
      <c r="F20" s="6"/>
    </row>
    <row r="21" spans="3:6" x14ac:dyDescent="0.25">
      <c r="C21" s="6"/>
      <c r="D21" s="6"/>
      <c r="E21" s="6"/>
      <c r="F21" s="6"/>
    </row>
    <row r="22" spans="3:6" x14ac:dyDescent="0.25">
      <c r="C22" s="6"/>
      <c r="D22" s="6"/>
      <c r="E22" s="6"/>
      <c r="F22" s="6"/>
    </row>
    <row r="23" spans="3:6" x14ac:dyDescent="0.25">
      <c r="C23" s="6"/>
      <c r="D23" s="6"/>
      <c r="E23" s="6"/>
      <c r="F23" s="6"/>
    </row>
    <row r="24" spans="3:6" x14ac:dyDescent="0.25">
      <c r="C24" s="6"/>
      <c r="D24" s="6"/>
      <c r="E24" s="6"/>
      <c r="F24" s="6"/>
    </row>
    <row r="25" spans="3:6" x14ac:dyDescent="0.25">
      <c r="C25" s="6"/>
      <c r="D25" s="6"/>
      <c r="E25" s="6"/>
      <c r="F25" s="6"/>
    </row>
    <row r="26" spans="3:6" x14ac:dyDescent="0.25">
      <c r="C26" s="6"/>
      <c r="D26" s="6"/>
      <c r="E26" s="6"/>
      <c r="F26" s="6"/>
    </row>
    <row r="27" spans="3:6" x14ac:dyDescent="0.25">
      <c r="C27" s="6"/>
      <c r="D27" s="6"/>
      <c r="E27" s="6"/>
      <c r="F27" s="6"/>
    </row>
    <row r="28" spans="3:6" x14ac:dyDescent="0.25">
      <c r="C28" s="6"/>
      <c r="D28" s="6"/>
      <c r="E28" s="6"/>
      <c r="F28" s="6"/>
    </row>
    <row r="29" spans="3:6" x14ac:dyDescent="0.25">
      <c r="C29" s="6"/>
      <c r="D29" s="6"/>
      <c r="E29" s="6"/>
      <c r="F29" s="6"/>
    </row>
    <row r="30" spans="3:6" x14ac:dyDescent="0.25">
      <c r="C30" s="6"/>
      <c r="D30" s="6"/>
      <c r="E30" s="6"/>
      <c r="F30" s="6"/>
    </row>
    <row r="31" spans="3:6" x14ac:dyDescent="0.25">
      <c r="C31" s="6"/>
      <c r="D31" s="6"/>
      <c r="E31" s="6"/>
      <c r="F31" s="6"/>
    </row>
    <row r="32" spans="3:6" x14ac:dyDescent="0.25">
      <c r="C32" s="6"/>
      <c r="D32" s="6"/>
      <c r="E32" s="6"/>
      <c r="F32" s="6"/>
    </row>
    <row r="33" spans="3:6" x14ac:dyDescent="0.25">
      <c r="C33" s="6"/>
      <c r="D33" s="6"/>
      <c r="E33" s="6"/>
      <c r="F33" s="6"/>
    </row>
    <row r="34" spans="3:6" x14ac:dyDescent="0.25">
      <c r="C34" s="6"/>
      <c r="D34" s="6"/>
      <c r="E34" s="6"/>
      <c r="F34" s="6"/>
    </row>
    <row r="35" spans="3:6" x14ac:dyDescent="0.25">
      <c r="C35" s="6"/>
      <c r="D35" s="6"/>
      <c r="E35" s="6"/>
      <c r="F35" s="6"/>
    </row>
    <row r="36" spans="3:6" x14ac:dyDescent="0.25">
      <c r="C36" s="6"/>
      <c r="D36" s="6"/>
      <c r="E36" s="6"/>
      <c r="F36" s="6"/>
    </row>
    <row r="37" spans="3:6" x14ac:dyDescent="0.25">
      <c r="C37" s="6"/>
      <c r="D37" s="6"/>
      <c r="E37" s="6"/>
      <c r="F37" s="6"/>
    </row>
    <row r="38" spans="3:6" x14ac:dyDescent="0.25">
      <c r="C38" s="6"/>
      <c r="D38" s="6"/>
      <c r="E38" s="6"/>
      <c r="F38" s="6"/>
    </row>
    <row r="39" spans="3:6" x14ac:dyDescent="0.25">
      <c r="C39" s="6"/>
      <c r="D39" s="6"/>
      <c r="E39" s="6"/>
      <c r="F39" s="6"/>
    </row>
    <row r="40" spans="3:6" x14ac:dyDescent="0.25">
      <c r="C40" s="6"/>
      <c r="D40" s="6"/>
      <c r="E40" s="6"/>
      <c r="F40" s="6"/>
    </row>
    <row r="41" spans="3:6" x14ac:dyDescent="0.25">
      <c r="C41" s="6"/>
      <c r="D41" s="6"/>
      <c r="E41" s="6"/>
      <c r="F41" s="6"/>
    </row>
    <row r="42" spans="3:6" x14ac:dyDescent="0.25">
      <c r="C42" s="6"/>
      <c r="D42" s="6"/>
      <c r="E42" s="6"/>
      <c r="F42" s="6"/>
    </row>
    <row r="43" spans="3:6" x14ac:dyDescent="0.25">
      <c r="C43" s="6"/>
      <c r="D43" s="6"/>
      <c r="E43" s="6"/>
      <c r="F43" s="6"/>
    </row>
    <row r="44" spans="3:6" x14ac:dyDescent="0.25">
      <c r="C44" s="6"/>
      <c r="D44" s="6"/>
      <c r="E44" s="6"/>
      <c r="F44" s="6"/>
    </row>
    <row r="45" spans="3:6" x14ac:dyDescent="0.25">
      <c r="C45" s="6"/>
      <c r="D45" s="6"/>
      <c r="E45" s="6"/>
      <c r="F45" s="6"/>
    </row>
    <row r="46" spans="3:6" x14ac:dyDescent="0.25">
      <c r="C46" s="6"/>
      <c r="D46" s="6"/>
      <c r="E46" s="6"/>
      <c r="F46" s="6"/>
    </row>
    <row r="47" spans="3:6" x14ac:dyDescent="0.25">
      <c r="C47" s="6"/>
      <c r="D47" s="6"/>
      <c r="E47" s="6"/>
      <c r="F47" s="6"/>
    </row>
    <row r="48" spans="3:6" x14ac:dyDescent="0.25">
      <c r="C48" s="6"/>
      <c r="D48" s="6"/>
      <c r="E48" s="6"/>
      <c r="F48" s="6"/>
    </row>
    <row r="49" spans="3:6" x14ac:dyDescent="0.25">
      <c r="C49" s="6"/>
      <c r="D49" s="6"/>
      <c r="E49" s="6"/>
      <c r="F49" s="6"/>
    </row>
    <row r="50" spans="3:6" x14ac:dyDescent="0.25">
      <c r="C50" s="6"/>
      <c r="D50" s="6"/>
      <c r="E50" s="6"/>
      <c r="F50" s="6"/>
    </row>
    <row r="51" spans="3:6" x14ac:dyDescent="0.25">
      <c r="C51" s="6"/>
      <c r="D51" s="6"/>
      <c r="E51" s="6"/>
      <c r="F51" s="6"/>
    </row>
    <row r="52" spans="3:6" x14ac:dyDescent="0.25">
      <c r="C52" s="6"/>
      <c r="D52" s="6"/>
      <c r="E52" s="6"/>
      <c r="F52" s="6"/>
    </row>
    <row r="53" spans="3:6" x14ac:dyDescent="0.25">
      <c r="C53" s="6"/>
      <c r="D53" s="6"/>
      <c r="E53" s="6"/>
      <c r="F53" s="6"/>
    </row>
    <row r="54" spans="3:6" x14ac:dyDescent="0.25">
      <c r="C54" s="6"/>
      <c r="D54" s="6"/>
      <c r="E54" s="6"/>
      <c r="F54" s="6"/>
    </row>
    <row r="55" spans="3:6" x14ac:dyDescent="0.25">
      <c r="C55" s="6"/>
      <c r="D55" s="6"/>
      <c r="E55" s="6"/>
      <c r="F55" s="6"/>
    </row>
    <row r="56" spans="3:6" x14ac:dyDescent="0.25">
      <c r="C56" s="6"/>
      <c r="D56" s="6"/>
      <c r="E56" s="6"/>
      <c r="F56" s="6"/>
    </row>
    <row r="57" spans="3:6" x14ac:dyDescent="0.25">
      <c r="C57" s="6"/>
      <c r="D57" s="6"/>
      <c r="E57" s="6"/>
      <c r="F57" s="6"/>
    </row>
    <row r="58" spans="3:6" x14ac:dyDescent="0.25">
      <c r="C58" s="6"/>
      <c r="D58" s="6"/>
      <c r="E58" s="6"/>
      <c r="F58" s="6"/>
    </row>
    <row r="59" spans="3:6" x14ac:dyDescent="0.25">
      <c r="C59" s="6"/>
      <c r="D59" s="6"/>
      <c r="E59" s="6"/>
      <c r="F59" s="6"/>
    </row>
    <row r="60" spans="3:6" x14ac:dyDescent="0.25">
      <c r="C60" s="6"/>
      <c r="D60" s="6"/>
      <c r="E60" s="6"/>
      <c r="F60" s="6"/>
    </row>
    <row r="61" spans="3:6" x14ac:dyDescent="0.25">
      <c r="C61" s="6"/>
      <c r="D61" s="6"/>
      <c r="E61" s="6"/>
      <c r="F61" s="6"/>
    </row>
    <row r="62" spans="3:6" x14ac:dyDescent="0.25">
      <c r="C62" s="6"/>
      <c r="D62" s="6"/>
      <c r="E62" s="6"/>
      <c r="F62" s="6"/>
    </row>
    <row r="63" spans="3:6" x14ac:dyDescent="0.25">
      <c r="C63" s="6"/>
      <c r="D63" s="6"/>
      <c r="E63" s="6"/>
      <c r="F63" s="6"/>
    </row>
    <row r="64" spans="3:6" x14ac:dyDescent="0.25">
      <c r="C64" s="6"/>
      <c r="D64" s="6"/>
      <c r="E64" s="6"/>
      <c r="F64" s="6"/>
    </row>
    <row r="65" spans="3:6" x14ac:dyDescent="0.25">
      <c r="C65" s="6"/>
      <c r="D65" s="6"/>
      <c r="E65" s="6"/>
      <c r="F65" s="6"/>
    </row>
    <row r="66" spans="3:6" x14ac:dyDescent="0.25">
      <c r="C66" s="6"/>
      <c r="D66" s="6"/>
      <c r="E66" s="6"/>
      <c r="F66" s="6"/>
    </row>
    <row r="67" spans="3:6" x14ac:dyDescent="0.25">
      <c r="C67" s="6"/>
      <c r="D67" s="6"/>
      <c r="E67" s="6"/>
      <c r="F67" s="6"/>
    </row>
    <row r="68" spans="3:6" x14ac:dyDescent="0.25">
      <c r="C68" s="6"/>
      <c r="D68" s="6"/>
      <c r="E68" s="6"/>
      <c r="F68" s="6"/>
    </row>
    <row r="69" spans="3:6" x14ac:dyDescent="0.25">
      <c r="C69" s="6"/>
      <c r="D69" s="6"/>
      <c r="E69" s="6"/>
      <c r="F69" s="6"/>
    </row>
    <row r="70" spans="3:6" x14ac:dyDescent="0.25">
      <c r="C70" s="6"/>
      <c r="D70" s="6"/>
      <c r="E70" s="6"/>
      <c r="F70" s="6"/>
    </row>
    <row r="71" spans="3:6" x14ac:dyDescent="0.25">
      <c r="C71" s="6"/>
      <c r="D71" s="6"/>
      <c r="E71" s="6"/>
      <c r="F71" s="6"/>
    </row>
    <row r="72" spans="3:6" x14ac:dyDescent="0.25">
      <c r="C72" s="6"/>
      <c r="D72" s="6"/>
      <c r="E72" s="6"/>
      <c r="F72" s="6"/>
    </row>
    <row r="73" spans="3:6" x14ac:dyDescent="0.25">
      <c r="C73" s="6"/>
      <c r="D73" s="6"/>
      <c r="E73" s="6"/>
      <c r="F73" s="6"/>
    </row>
    <row r="74" spans="3:6" x14ac:dyDescent="0.25">
      <c r="C74" s="6"/>
      <c r="D74" s="6"/>
      <c r="E74" s="6"/>
      <c r="F74" s="6"/>
    </row>
    <row r="75" spans="3:6" x14ac:dyDescent="0.25">
      <c r="C75" s="6"/>
      <c r="D75" s="6"/>
      <c r="E75" s="6"/>
      <c r="F75" s="6"/>
    </row>
    <row r="76" spans="3:6" x14ac:dyDescent="0.25">
      <c r="C76" s="6"/>
      <c r="D76" s="6"/>
      <c r="E76" s="6"/>
      <c r="F76" s="6"/>
    </row>
    <row r="77" spans="3:6" x14ac:dyDescent="0.25">
      <c r="C77" s="6"/>
      <c r="D77" s="6"/>
      <c r="E77" s="6"/>
      <c r="F77" s="6"/>
    </row>
    <row r="78" spans="3:6" x14ac:dyDescent="0.25">
      <c r="C78" s="6"/>
      <c r="D78" s="6"/>
      <c r="E78" s="6"/>
      <c r="F78" s="6"/>
    </row>
    <row r="79" spans="3:6" x14ac:dyDescent="0.25">
      <c r="C79" s="6"/>
      <c r="D79" s="6"/>
      <c r="E79" s="6"/>
      <c r="F79" s="6"/>
    </row>
    <row r="80" spans="3:6" x14ac:dyDescent="0.25">
      <c r="C80" s="6"/>
      <c r="D80" s="6"/>
      <c r="E80" s="6"/>
      <c r="F80" s="6"/>
    </row>
    <row r="81" spans="3:6" x14ac:dyDescent="0.25">
      <c r="C81" s="6"/>
      <c r="D81" s="6"/>
      <c r="E81" s="6"/>
      <c r="F81" s="6"/>
    </row>
    <row r="82" spans="3:6" x14ac:dyDescent="0.25">
      <c r="C82" s="6"/>
      <c r="D82" s="6"/>
      <c r="E82" s="6"/>
      <c r="F82" s="6"/>
    </row>
    <row r="83" spans="3:6" x14ac:dyDescent="0.25">
      <c r="C83" s="6"/>
      <c r="D83" s="6"/>
      <c r="E83" s="6"/>
      <c r="F83" s="6"/>
    </row>
    <row r="84" spans="3:6" x14ac:dyDescent="0.25">
      <c r="C84" s="6"/>
      <c r="D84" s="6"/>
      <c r="E84" s="6"/>
      <c r="F84" s="6"/>
    </row>
    <row r="85" spans="3:6" x14ac:dyDescent="0.25">
      <c r="C85" s="6"/>
      <c r="D85" s="6"/>
      <c r="E85" s="6"/>
      <c r="F85" s="6"/>
    </row>
    <row r="86" spans="3:6" x14ac:dyDescent="0.25">
      <c r="C86" s="6"/>
      <c r="D86" s="6"/>
      <c r="E86" s="6"/>
      <c r="F86" s="6"/>
    </row>
    <row r="87" spans="3:6" x14ac:dyDescent="0.25">
      <c r="C87" s="6"/>
      <c r="D87" s="6"/>
      <c r="E87" s="6"/>
      <c r="F87" s="6"/>
    </row>
    <row r="88" spans="3:6" x14ac:dyDescent="0.25">
      <c r="C88" s="6"/>
      <c r="D88" s="6"/>
      <c r="E88" s="6"/>
      <c r="F88" s="6"/>
    </row>
    <row r="89" spans="3:6" x14ac:dyDescent="0.25">
      <c r="C89" s="6"/>
      <c r="D89" s="6"/>
      <c r="E89" s="6"/>
      <c r="F89" s="6"/>
    </row>
    <row r="90" spans="3:6" x14ac:dyDescent="0.25">
      <c r="C90" s="6"/>
      <c r="D90" s="6"/>
      <c r="E90" s="6"/>
      <c r="F90" s="6"/>
    </row>
    <row r="91" spans="3:6" x14ac:dyDescent="0.25">
      <c r="C91" s="6"/>
      <c r="D91" s="6"/>
      <c r="E91" s="6"/>
      <c r="F91" s="6"/>
    </row>
    <row r="92" spans="3:6" x14ac:dyDescent="0.25">
      <c r="C92" s="6"/>
      <c r="D92" s="6"/>
      <c r="E92" s="6"/>
      <c r="F92" s="6"/>
    </row>
    <row r="93" spans="3:6" x14ac:dyDescent="0.25">
      <c r="C93" s="6"/>
      <c r="D93" s="6"/>
      <c r="E93" s="6"/>
      <c r="F93" s="6"/>
    </row>
    <row r="94" spans="3:6" x14ac:dyDescent="0.25">
      <c r="C94" s="6"/>
      <c r="D94" s="6"/>
      <c r="E94" s="6"/>
      <c r="F94" s="6"/>
    </row>
    <row r="95" spans="3:6" x14ac:dyDescent="0.25">
      <c r="C95" s="6"/>
      <c r="D95" s="6"/>
      <c r="E95" s="6"/>
      <c r="F95" s="6"/>
    </row>
    <row r="96" spans="3:6" x14ac:dyDescent="0.25">
      <c r="C96" s="6"/>
      <c r="D96" s="6"/>
      <c r="E96" s="6"/>
      <c r="F96" s="6"/>
    </row>
    <row r="97" spans="3:6" x14ac:dyDescent="0.25">
      <c r="C97" s="6"/>
      <c r="D97" s="6"/>
      <c r="E97" s="6"/>
      <c r="F97" s="6"/>
    </row>
    <row r="98" spans="3:6" x14ac:dyDescent="0.25">
      <c r="C98" s="6"/>
      <c r="D98" s="6"/>
      <c r="E98" s="6"/>
      <c r="F98" s="6"/>
    </row>
    <row r="99" spans="3:6" x14ac:dyDescent="0.25">
      <c r="C99" s="6"/>
      <c r="D99" s="6"/>
      <c r="E99" s="6"/>
      <c r="F99" s="6"/>
    </row>
    <row r="100" spans="3:6" x14ac:dyDescent="0.25">
      <c r="C100" s="6"/>
      <c r="D100" s="6"/>
      <c r="E100" s="6"/>
      <c r="F100" s="6"/>
    </row>
    <row r="101" spans="3:6" x14ac:dyDescent="0.25">
      <c r="C101" s="6"/>
      <c r="D101" s="6"/>
      <c r="E101" s="6"/>
      <c r="F101" s="6"/>
    </row>
    <row r="102" spans="3:6" x14ac:dyDescent="0.25">
      <c r="C102" s="6"/>
      <c r="D102" s="6"/>
      <c r="E102" s="6"/>
      <c r="F102" s="6"/>
    </row>
    <row r="103" spans="3:6" x14ac:dyDescent="0.25">
      <c r="C103" s="6"/>
      <c r="D103" s="6"/>
      <c r="E103" s="6"/>
      <c r="F103" s="6"/>
    </row>
    <row r="104" spans="3:6" x14ac:dyDescent="0.25">
      <c r="C104" s="6"/>
      <c r="D104" s="6"/>
      <c r="E104" s="6"/>
      <c r="F104" s="6"/>
    </row>
    <row r="105" spans="3:6" x14ac:dyDescent="0.25">
      <c r="C105" s="6"/>
      <c r="D105" s="6"/>
      <c r="E105" s="6"/>
      <c r="F105" s="6"/>
    </row>
    <row r="106" spans="3:6" x14ac:dyDescent="0.25">
      <c r="C106" s="6"/>
      <c r="D106" s="6"/>
      <c r="E106" s="6"/>
      <c r="F106" s="6"/>
    </row>
    <row r="107" spans="3:6" x14ac:dyDescent="0.25">
      <c r="C107" s="6"/>
      <c r="D107" s="6"/>
      <c r="E107" s="6"/>
      <c r="F107" s="6"/>
    </row>
    <row r="108" spans="3:6" x14ac:dyDescent="0.25">
      <c r="C108" s="6"/>
      <c r="D108" s="6"/>
      <c r="E108" s="6"/>
      <c r="F108" s="6"/>
    </row>
    <row r="109" spans="3:6" x14ac:dyDescent="0.25">
      <c r="C109" s="6"/>
      <c r="D109" s="6"/>
      <c r="E109" s="6"/>
      <c r="F109" s="6"/>
    </row>
    <row r="110" spans="3:6" x14ac:dyDescent="0.25">
      <c r="C110" s="6"/>
      <c r="D110" s="6"/>
      <c r="E110" s="6"/>
      <c r="F110" s="6"/>
    </row>
    <row r="111" spans="3:6" x14ac:dyDescent="0.25">
      <c r="C111" s="6"/>
      <c r="D111" s="6"/>
      <c r="E111" s="6"/>
      <c r="F111" s="6"/>
    </row>
    <row r="112" spans="3:6" x14ac:dyDescent="0.25">
      <c r="C112" s="6"/>
      <c r="D112" s="6"/>
      <c r="E112" s="6"/>
      <c r="F112" s="6"/>
    </row>
    <row r="113" spans="3:6" x14ac:dyDescent="0.25">
      <c r="C113" s="6"/>
      <c r="D113" s="6"/>
      <c r="E113" s="6"/>
      <c r="F113" s="6"/>
    </row>
    <row r="114" spans="3:6" x14ac:dyDescent="0.25">
      <c r="C114" s="6"/>
      <c r="D114" s="6"/>
      <c r="E114" s="6"/>
      <c r="F114" s="6"/>
    </row>
    <row r="115" spans="3:6" x14ac:dyDescent="0.25">
      <c r="C115" s="6"/>
      <c r="D115" s="6"/>
      <c r="E115" s="6"/>
      <c r="F115" s="6"/>
    </row>
    <row r="116" spans="3:6" x14ac:dyDescent="0.25">
      <c r="C116" s="6"/>
      <c r="D116" s="6"/>
      <c r="E116" s="6"/>
      <c r="F116" s="6"/>
    </row>
    <row r="117" spans="3:6" x14ac:dyDescent="0.25">
      <c r="C117" s="6"/>
      <c r="D117" s="6"/>
      <c r="E117" s="6"/>
      <c r="F117" s="6"/>
    </row>
    <row r="118" spans="3:6" x14ac:dyDescent="0.25">
      <c r="C118" s="6"/>
      <c r="D118" s="6"/>
      <c r="E118" s="6"/>
      <c r="F118" s="6"/>
    </row>
    <row r="119" spans="3:6" x14ac:dyDescent="0.25">
      <c r="C119" s="6"/>
      <c r="D119" s="6"/>
      <c r="E119" s="6"/>
      <c r="F119" s="6"/>
    </row>
    <row r="120" spans="3:6" x14ac:dyDescent="0.25">
      <c r="C120" s="6"/>
      <c r="D120" s="6"/>
      <c r="E120" s="6"/>
      <c r="F120" s="6"/>
    </row>
    <row r="121" spans="3:6" x14ac:dyDescent="0.25">
      <c r="C121" s="6"/>
      <c r="D121" s="6"/>
      <c r="E121" s="6"/>
      <c r="F121" s="6"/>
    </row>
    <row r="122" spans="3:6" x14ac:dyDescent="0.25">
      <c r="C122" s="6"/>
      <c r="D122" s="6"/>
      <c r="E122" s="6"/>
      <c r="F122" s="6"/>
    </row>
    <row r="123" spans="3:6" x14ac:dyDescent="0.25">
      <c r="C123" s="6"/>
      <c r="D123" s="6"/>
      <c r="E123" s="6"/>
      <c r="F123" s="6"/>
    </row>
    <row r="124" spans="3:6" x14ac:dyDescent="0.25">
      <c r="C124" s="6"/>
      <c r="D124" s="6"/>
      <c r="E124" s="6"/>
      <c r="F124" s="6"/>
    </row>
    <row r="125" spans="3:6" x14ac:dyDescent="0.25">
      <c r="C125" s="6"/>
      <c r="D125" s="6"/>
      <c r="E125" s="6"/>
      <c r="F125" s="6"/>
    </row>
    <row r="126" spans="3:6" x14ac:dyDescent="0.25">
      <c r="C126" s="6"/>
      <c r="D126" s="6"/>
      <c r="E126" s="6"/>
      <c r="F126" s="6"/>
    </row>
    <row r="127" spans="3:6" x14ac:dyDescent="0.25">
      <c r="C127" s="6"/>
      <c r="D127" s="6"/>
      <c r="E127" s="6"/>
      <c r="F127" s="6"/>
    </row>
    <row r="128" spans="3:6" x14ac:dyDescent="0.25">
      <c r="C128" s="6"/>
      <c r="D128" s="6"/>
      <c r="E128" s="6"/>
      <c r="F128" s="6"/>
    </row>
    <row r="129" spans="3:6" x14ac:dyDescent="0.25">
      <c r="C129" s="6"/>
      <c r="D129" s="6"/>
      <c r="E129" s="6"/>
      <c r="F129" s="6"/>
    </row>
    <row r="130" spans="3:6" x14ac:dyDescent="0.25">
      <c r="C130" s="6"/>
      <c r="D130" s="6"/>
      <c r="E130" s="6"/>
      <c r="F130" s="6"/>
    </row>
    <row r="131" spans="3:6" x14ac:dyDescent="0.25">
      <c r="C131" s="6"/>
      <c r="D131" s="6"/>
      <c r="E131" s="6"/>
      <c r="F131" s="6"/>
    </row>
    <row r="132" spans="3:6" x14ac:dyDescent="0.25">
      <c r="C132" s="6"/>
      <c r="D132" s="6"/>
      <c r="E132" s="6"/>
      <c r="F132" s="6"/>
    </row>
    <row r="133" spans="3:6" x14ac:dyDescent="0.25">
      <c r="C133" s="6"/>
      <c r="D133" s="6"/>
      <c r="E133" s="6"/>
      <c r="F133" s="6"/>
    </row>
    <row r="134" spans="3:6" x14ac:dyDescent="0.25">
      <c r="C134" s="6"/>
      <c r="D134" s="6"/>
      <c r="E134" s="6"/>
      <c r="F134" s="6"/>
    </row>
    <row r="135" spans="3:6" x14ac:dyDescent="0.25">
      <c r="C135" s="6"/>
      <c r="D135" s="6"/>
      <c r="E135" s="6"/>
      <c r="F135" s="6"/>
    </row>
    <row r="136" spans="3:6" x14ac:dyDescent="0.25">
      <c r="C136" s="6"/>
      <c r="D136" s="6"/>
      <c r="E136" s="6"/>
      <c r="F136" s="6"/>
    </row>
    <row r="137" spans="3:6" x14ac:dyDescent="0.25">
      <c r="C137" s="6"/>
      <c r="D137" s="6"/>
      <c r="E137" s="6"/>
      <c r="F137" s="6"/>
    </row>
    <row r="138" spans="3:6" x14ac:dyDescent="0.25">
      <c r="C138" s="6"/>
      <c r="D138" s="6"/>
      <c r="E138" s="6"/>
      <c r="F138" s="6"/>
    </row>
    <row r="139" spans="3:6" x14ac:dyDescent="0.25">
      <c r="C139" s="6"/>
      <c r="D139" s="6"/>
      <c r="E139" s="6"/>
      <c r="F139" s="6"/>
    </row>
    <row r="140" spans="3:6" x14ac:dyDescent="0.25">
      <c r="C140" s="6"/>
      <c r="D140" s="6"/>
      <c r="E140" s="6"/>
      <c r="F140" s="6"/>
    </row>
    <row r="141" spans="3:6" x14ac:dyDescent="0.25">
      <c r="C141" s="6"/>
      <c r="D141" s="6"/>
      <c r="E141" s="6"/>
      <c r="F141" s="6"/>
    </row>
    <row r="142" spans="3:6" x14ac:dyDescent="0.25">
      <c r="C142" s="6"/>
      <c r="D142" s="6"/>
      <c r="E142" s="6"/>
      <c r="F142" s="6"/>
    </row>
    <row r="143" spans="3:6" x14ac:dyDescent="0.25">
      <c r="C143" s="6"/>
      <c r="D143" s="6"/>
      <c r="E143" s="6"/>
      <c r="F143" s="6"/>
    </row>
    <row r="144" spans="3:6" x14ac:dyDescent="0.25">
      <c r="C144" s="6"/>
      <c r="D144" s="6"/>
      <c r="E144" s="6"/>
      <c r="F144" s="6"/>
    </row>
    <row r="145" spans="3:6" x14ac:dyDescent="0.25">
      <c r="C145" s="6"/>
      <c r="D145" s="6"/>
      <c r="E145" s="6"/>
      <c r="F145" s="6"/>
    </row>
    <row r="146" spans="3:6" x14ac:dyDescent="0.25">
      <c r="C146" s="6"/>
      <c r="D146" s="6"/>
      <c r="E146" s="6"/>
      <c r="F146" s="6"/>
    </row>
    <row r="147" spans="3:6" x14ac:dyDescent="0.25">
      <c r="C147" s="6"/>
      <c r="D147" s="6"/>
      <c r="E147" s="6"/>
      <c r="F147" s="6"/>
    </row>
    <row r="148" spans="3:6" x14ac:dyDescent="0.25">
      <c r="C148" s="6"/>
      <c r="D148" s="6"/>
      <c r="E148" s="6"/>
      <c r="F148" s="6"/>
    </row>
    <row r="149" spans="3:6" x14ac:dyDescent="0.25">
      <c r="C149" s="6"/>
      <c r="D149" s="6"/>
      <c r="E149" s="6"/>
      <c r="F149" s="6"/>
    </row>
    <row r="150" spans="3:6" x14ac:dyDescent="0.25">
      <c r="C150" s="6"/>
      <c r="D150" s="6"/>
      <c r="E150" s="6"/>
      <c r="F150" s="6"/>
    </row>
    <row r="151" spans="3:6" x14ac:dyDescent="0.25">
      <c r="C151" s="6"/>
      <c r="D151" s="6"/>
      <c r="E151" s="6"/>
      <c r="F151" s="6"/>
    </row>
    <row r="152" spans="3:6" x14ac:dyDescent="0.25">
      <c r="C152" s="6"/>
      <c r="D152" s="6"/>
      <c r="E152" s="6"/>
      <c r="F152" s="6"/>
    </row>
    <row r="153" spans="3:6" x14ac:dyDescent="0.25">
      <c r="C153" s="6"/>
      <c r="D153" s="6"/>
      <c r="E153" s="6"/>
      <c r="F153" s="6"/>
    </row>
    <row r="154" spans="3:6" x14ac:dyDescent="0.25">
      <c r="C154" s="6"/>
      <c r="D154" s="6"/>
      <c r="E154" s="6"/>
      <c r="F154" s="6"/>
    </row>
    <row r="155" spans="3:6" x14ac:dyDescent="0.25">
      <c r="C155" s="6"/>
      <c r="D155" s="6"/>
      <c r="E155" s="6"/>
      <c r="F155" s="6"/>
    </row>
    <row r="156" spans="3:6" x14ac:dyDescent="0.25">
      <c r="C156" s="6"/>
      <c r="D156" s="6"/>
      <c r="E156" s="6"/>
      <c r="F156" s="6"/>
    </row>
    <row r="157" spans="3:6" x14ac:dyDescent="0.25">
      <c r="C157" s="6"/>
      <c r="D157" s="6"/>
      <c r="E157" s="6"/>
      <c r="F157" s="6"/>
    </row>
    <row r="158" spans="3:6" x14ac:dyDescent="0.25">
      <c r="C158" s="6"/>
      <c r="D158" s="6"/>
      <c r="E158" s="6"/>
      <c r="F158" s="6"/>
    </row>
    <row r="159" spans="3:6" x14ac:dyDescent="0.25">
      <c r="C159" s="6"/>
      <c r="D159" s="6"/>
      <c r="E159" s="6"/>
      <c r="F159" s="6"/>
    </row>
    <row r="160" spans="3:6" x14ac:dyDescent="0.25">
      <c r="C160" s="6"/>
      <c r="D160" s="6"/>
      <c r="E160" s="6"/>
      <c r="F160" s="6"/>
    </row>
    <row r="161" spans="3:6" x14ac:dyDescent="0.25">
      <c r="C161" s="6"/>
      <c r="D161" s="6"/>
      <c r="E161" s="6"/>
      <c r="F161" s="6"/>
    </row>
    <row r="162" spans="3:6" x14ac:dyDescent="0.25">
      <c r="C162" s="6"/>
      <c r="D162" s="6"/>
      <c r="E162" s="6"/>
      <c r="F162" s="6"/>
    </row>
    <row r="163" spans="3:6" x14ac:dyDescent="0.25">
      <c r="C163" s="6"/>
      <c r="D163" s="6"/>
      <c r="E163" s="6"/>
      <c r="F163" s="6"/>
    </row>
    <row r="164" spans="3:6" x14ac:dyDescent="0.25">
      <c r="C164" s="6"/>
      <c r="D164" s="6"/>
      <c r="E164" s="6"/>
      <c r="F164" s="6"/>
    </row>
    <row r="165" spans="3:6" x14ac:dyDescent="0.25">
      <c r="C165" s="6"/>
      <c r="D165" s="6"/>
      <c r="E165" s="6"/>
      <c r="F165" s="6"/>
    </row>
    <row r="166" spans="3:6" x14ac:dyDescent="0.25">
      <c r="C166" s="6"/>
      <c r="D166" s="6"/>
      <c r="E166" s="6"/>
      <c r="F166" s="6"/>
    </row>
    <row r="167" spans="3:6" x14ac:dyDescent="0.25">
      <c r="C167" s="6"/>
      <c r="D167" s="6"/>
      <c r="E167" s="6"/>
      <c r="F167" s="6"/>
    </row>
    <row r="168" spans="3:6" x14ac:dyDescent="0.25">
      <c r="C168" s="6"/>
      <c r="D168" s="6"/>
      <c r="E168" s="6"/>
      <c r="F168" s="6"/>
    </row>
    <row r="169" spans="3:6" x14ac:dyDescent="0.25">
      <c r="C169" s="6"/>
      <c r="D169" s="6"/>
      <c r="E169" s="6"/>
      <c r="F169" s="6"/>
    </row>
    <row r="170" spans="3:6" x14ac:dyDescent="0.25">
      <c r="C170" s="6"/>
      <c r="D170" s="6"/>
      <c r="E170" s="6"/>
      <c r="F170" s="6"/>
    </row>
    <row r="171" spans="3:6" x14ac:dyDescent="0.25">
      <c r="C171" s="6"/>
      <c r="D171" s="6"/>
      <c r="E171" s="6"/>
      <c r="F171" s="6"/>
    </row>
    <row r="172" spans="3:6" x14ac:dyDescent="0.25">
      <c r="C172" s="6"/>
      <c r="D172" s="6"/>
      <c r="E172" s="6"/>
      <c r="F172" s="6"/>
    </row>
    <row r="173" spans="3:6" x14ac:dyDescent="0.25">
      <c r="C173" s="6"/>
      <c r="D173" s="6"/>
      <c r="E173" s="6"/>
      <c r="F173" s="6"/>
    </row>
    <row r="174" spans="3:6" x14ac:dyDescent="0.25">
      <c r="C174" s="6"/>
      <c r="D174" s="6"/>
      <c r="E174" s="6"/>
      <c r="F174" s="6"/>
    </row>
    <row r="175" spans="3:6" x14ac:dyDescent="0.25">
      <c r="C175" s="6"/>
      <c r="D175" s="6"/>
      <c r="E175" s="6"/>
      <c r="F175" s="6"/>
    </row>
    <row r="176" spans="3:6" x14ac:dyDescent="0.25">
      <c r="C176" s="6"/>
      <c r="D176" s="6"/>
      <c r="E176" s="6"/>
      <c r="F176" s="6"/>
    </row>
    <row r="177" spans="3:6" x14ac:dyDescent="0.25">
      <c r="C177" s="6"/>
      <c r="D177" s="6"/>
      <c r="E177" s="6"/>
      <c r="F177" s="6"/>
    </row>
    <row r="178" spans="3:6" x14ac:dyDescent="0.25">
      <c r="C178" s="6"/>
      <c r="D178" s="6"/>
      <c r="E178" s="6"/>
      <c r="F178" s="6"/>
    </row>
    <row r="179" spans="3:6" x14ac:dyDescent="0.25">
      <c r="C179" s="6"/>
      <c r="D179" s="6"/>
      <c r="E179" s="6"/>
      <c r="F179" s="6"/>
    </row>
    <row r="180" spans="3:6" x14ac:dyDescent="0.25">
      <c r="C180" s="6"/>
      <c r="D180" s="6"/>
      <c r="E180" s="6"/>
      <c r="F180" s="6"/>
    </row>
    <row r="181" spans="3:6" x14ac:dyDescent="0.25">
      <c r="C181" s="6"/>
      <c r="D181" s="6"/>
      <c r="E181" s="6"/>
      <c r="F181" s="6"/>
    </row>
    <row r="182" spans="3:6" x14ac:dyDescent="0.25">
      <c r="C182" s="6"/>
      <c r="D182" s="6"/>
      <c r="E182" s="6"/>
      <c r="F182" s="6"/>
    </row>
    <row r="183" spans="3:6" x14ac:dyDescent="0.25">
      <c r="C183" s="6"/>
      <c r="D183" s="6"/>
      <c r="E183" s="6"/>
      <c r="F183" s="6"/>
    </row>
    <row r="184" spans="3:6" x14ac:dyDescent="0.25">
      <c r="C184" s="6"/>
      <c r="D184" s="6"/>
      <c r="E184" s="6"/>
      <c r="F184" s="6"/>
    </row>
    <row r="185" spans="3:6" x14ac:dyDescent="0.25">
      <c r="C185" s="6"/>
      <c r="D185" s="6"/>
      <c r="E185" s="6"/>
      <c r="F185" s="6"/>
    </row>
    <row r="186" spans="3:6" x14ac:dyDescent="0.25">
      <c r="C186" s="6"/>
      <c r="D186" s="6"/>
      <c r="E186" s="6"/>
      <c r="F186" s="6"/>
    </row>
    <row r="187" spans="3:6" x14ac:dyDescent="0.25">
      <c r="C187" s="6"/>
      <c r="D187" s="6"/>
      <c r="E187" s="6"/>
      <c r="F187" s="6"/>
    </row>
    <row r="188" spans="3:6" x14ac:dyDescent="0.25">
      <c r="C188" s="6"/>
      <c r="D188" s="6"/>
      <c r="E188" s="6"/>
      <c r="F188" s="6"/>
    </row>
    <row r="189" spans="3:6" x14ac:dyDescent="0.25">
      <c r="C189" s="6"/>
      <c r="D189" s="6"/>
      <c r="E189" s="6"/>
      <c r="F189" s="6"/>
    </row>
    <row r="190" spans="3:6" x14ac:dyDescent="0.25">
      <c r="C190" s="6"/>
      <c r="D190" s="6"/>
      <c r="E190" s="6"/>
      <c r="F190" s="6"/>
    </row>
    <row r="191" spans="3:6" x14ac:dyDescent="0.25">
      <c r="C191" s="6"/>
      <c r="D191" s="6"/>
      <c r="E191" s="6"/>
      <c r="F191" s="6"/>
    </row>
    <row r="192" spans="3:6" x14ac:dyDescent="0.25">
      <c r="C192" s="6"/>
      <c r="D192" s="6"/>
      <c r="E192" s="6"/>
      <c r="F192" s="6"/>
    </row>
    <row r="193" spans="3:6" x14ac:dyDescent="0.25">
      <c r="C193" s="6"/>
      <c r="D193" s="6"/>
      <c r="E193" s="6"/>
      <c r="F193" s="6"/>
    </row>
    <row r="194" spans="3:6" x14ac:dyDescent="0.25">
      <c r="C194" s="6"/>
      <c r="D194" s="6"/>
      <c r="E194" s="6"/>
      <c r="F194" s="6"/>
    </row>
    <row r="195" spans="3:6" x14ac:dyDescent="0.25">
      <c r="C195" s="6"/>
      <c r="D195" s="6"/>
      <c r="E195" s="6"/>
      <c r="F195" s="6"/>
    </row>
    <row r="196" spans="3:6" x14ac:dyDescent="0.25">
      <c r="C196" s="6"/>
      <c r="D196" s="6"/>
      <c r="E196" s="6"/>
      <c r="F196" s="6"/>
    </row>
    <row r="197" spans="3:6" x14ac:dyDescent="0.25">
      <c r="C197" s="6"/>
      <c r="D197" s="6"/>
      <c r="E197" s="6"/>
      <c r="F197" s="6"/>
    </row>
    <row r="198" spans="3:6" x14ac:dyDescent="0.25">
      <c r="C198" s="6"/>
      <c r="D198" s="6"/>
      <c r="E198" s="6"/>
      <c r="F198" s="6"/>
    </row>
    <row r="199" spans="3:6" x14ac:dyDescent="0.25">
      <c r="C199" s="6"/>
      <c r="D199" s="6"/>
      <c r="E199" s="6"/>
      <c r="F199" s="6"/>
    </row>
    <row r="200" spans="3:6" x14ac:dyDescent="0.25">
      <c r="C200" s="6"/>
      <c r="D200" s="6"/>
      <c r="E200" s="6"/>
      <c r="F200" s="6"/>
    </row>
    <row r="201" spans="3:6" x14ac:dyDescent="0.25">
      <c r="C201" s="6"/>
      <c r="D201" s="6"/>
      <c r="E201" s="6"/>
      <c r="F201" s="6"/>
    </row>
    <row r="202" spans="3:6" x14ac:dyDescent="0.25">
      <c r="C202" s="6"/>
      <c r="D202" s="6"/>
      <c r="E202" s="6"/>
      <c r="F202" s="6"/>
    </row>
    <row r="203" spans="3:6" x14ac:dyDescent="0.25">
      <c r="C203" s="6"/>
      <c r="D203" s="6"/>
      <c r="E203" s="6"/>
      <c r="F203" s="6"/>
    </row>
    <row r="204" spans="3:6" x14ac:dyDescent="0.25">
      <c r="C204" s="6"/>
      <c r="D204" s="6"/>
      <c r="E204" s="6"/>
      <c r="F204" s="6"/>
    </row>
    <row r="205" spans="3:6" x14ac:dyDescent="0.25">
      <c r="C205" s="6"/>
      <c r="D205" s="6"/>
      <c r="E205" s="6"/>
      <c r="F205" s="6"/>
    </row>
    <row r="206" spans="3:6" x14ac:dyDescent="0.25">
      <c r="C206" s="6"/>
      <c r="D206" s="6"/>
      <c r="E206" s="6"/>
      <c r="F206" s="6"/>
    </row>
    <row r="207" spans="3:6" x14ac:dyDescent="0.25">
      <c r="C207" s="6"/>
      <c r="D207" s="6"/>
      <c r="E207" s="6"/>
      <c r="F207" s="6"/>
    </row>
    <row r="208" spans="3:6" x14ac:dyDescent="0.25">
      <c r="C208" s="6"/>
      <c r="D208" s="6"/>
      <c r="E208" s="6"/>
      <c r="F208" s="6"/>
    </row>
    <row r="209" spans="3:6" x14ac:dyDescent="0.25">
      <c r="C209" s="6"/>
      <c r="D209" s="6"/>
      <c r="E209" s="6"/>
      <c r="F209" s="6"/>
    </row>
    <row r="210" spans="3:6" x14ac:dyDescent="0.25">
      <c r="C210" s="6"/>
      <c r="D210" s="6"/>
      <c r="E210" s="6"/>
      <c r="F210" s="6"/>
    </row>
    <row r="211" spans="3:6" x14ac:dyDescent="0.25">
      <c r="C211" s="6"/>
      <c r="D211" s="6"/>
      <c r="E211" s="6"/>
      <c r="F211" s="6"/>
    </row>
    <row r="212" spans="3:6" x14ac:dyDescent="0.25">
      <c r="C212" s="6"/>
      <c r="D212" s="6"/>
      <c r="E212" s="6"/>
      <c r="F212" s="6"/>
    </row>
    <row r="213" spans="3:6" x14ac:dyDescent="0.25">
      <c r="C213" s="6"/>
      <c r="D213" s="6"/>
      <c r="E213" s="6"/>
      <c r="F213" s="6"/>
    </row>
    <row r="214" spans="3:6" x14ac:dyDescent="0.25">
      <c r="C214" s="6"/>
      <c r="D214" s="6"/>
      <c r="E214" s="6"/>
      <c r="F214" s="6"/>
    </row>
    <row r="215" spans="3:6" x14ac:dyDescent="0.25">
      <c r="C215" s="6"/>
      <c r="D215" s="6"/>
      <c r="E215" s="6"/>
      <c r="F215" s="6"/>
    </row>
    <row r="216" spans="3:6" x14ac:dyDescent="0.25">
      <c r="C216" s="6"/>
      <c r="D216" s="6"/>
      <c r="E216" s="6"/>
      <c r="F216" s="6"/>
    </row>
    <row r="217" spans="3:6" x14ac:dyDescent="0.25">
      <c r="C217" s="6"/>
      <c r="D217" s="6"/>
      <c r="E217" s="6"/>
      <c r="F217" s="6"/>
    </row>
    <row r="218" spans="3:6" x14ac:dyDescent="0.25">
      <c r="C218" s="6"/>
      <c r="D218" s="6"/>
      <c r="E218" s="6"/>
      <c r="F218" s="6"/>
    </row>
    <row r="219" spans="3:6" x14ac:dyDescent="0.25">
      <c r="C219" s="6"/>
      <c r="D219" s="6"/>
      <c r="E219" s="6"/>
      <c r="F219" s="6"/>
    </row>
    <row r="220" spans="3:6" x14ac:dyDescent="0.25">
      <c r="C220" s="6"/>
      <c r="D220" s="6"/>
      <c r="E220" s="6"/>
      <c r="F220" s="6"/>
    </row>
    <row r="221" spans="3:6" x14ac:dyDescent="0.25">
      <c r="C221" s="6"/>
      <c r="D221" s="6"/>
      <c r="E221" s="6"/>
      <c r="F221" s="6"/>
    </row>
    <row r="222" spans="3:6" x14ac:dyDescent="0.25">
      <c r="C222" s="6"/>
      <c r="D222" s="6"/>
      <c r="E222" s="6"/>
      <c r="F222" s="6"/>
    </row>
    <row r="223" spans="3:6" x14ac:dyDescent="0.25">
      <c r="C223" s="6"/>
      <c r="D223" s="6"/>
      <c r="E223" s="6"/>
      <c r="F223" s="6"/>
    </row>
    <row r="224" spans="3:6" x14ac:dyDescent="0.25">
      <c r="C224" s="6"/>
      <c r="D224" s="6"/>
      <c r="E224" s="6"/>
      <c r="F224" s="6"/>
    </row>
    <row r="225" spans="3:6" x14ac:dyDescent="0.25">
      <c r="C225" s="6"/>
      <c r="D225" s="6"/>
      <c r="E225" s="6"/>
      <c r="F225" s="6"/>
    </row>
    <row r="226" spans="3:6" x14ac:dyDescent="0.25">
      <c r="C226" s="6"/>
      <c r="D226" s="6"/>
      <c r="E226" s="6"/>
      <c r="F226" s="6"/>
    </row>
    <row r="227" spans="3:6" x14ac:dyDescent="0.25">
      <c r="C227" s="6"/>
      <c r="D227" s="6"/>
      <c r="E227" s="6"/>
      <c r="F227" s="6"/>
    </row>
    <row r="228" spans="3:6" x14ac:dyDescent="0.25">
      <c r="C228" s="6"/>
      <c r="D228" s="6"/>
      <c r="E228" s="6"/>
      <c r="F228" s="6"/>
    </row>
    <row r="229" spans="3:6" x14ac:dyDescent="0.25">
      <c r="C229" s="6"/>
      <c r="D229" s="6"/>
      <c r="E229" s="6"/>
      <c r="F229" s="6"/>
    </row>
    <row r="230" spans="3:6" x14ac:dyDescent="0.25">
      <c r="C230" s="6"/>
      <c r="D230" s="6"/>
      <c r="E230" s="6"/>
      <c r="F230" s="6"/>
    </row>
    <row r="231" spans="3:6" x14ac:dyDescent="0.25">
      <c r="C231" s="6"/>
      <c r="D231" s="6"/>
      <c r="E231" s="6"/>
      <c r="F231" s="6"/>
    </row>
    <row r="232" spans="3:6" x14ac:dyDescent="0.25">
      <c r="C232" s="6"/>
      <c r="D232" s="6"/>
      <c r="E232" s="6"/>
      <c r="F232" s="6"/>
    </row>
    <row r="233" spans="3:6" x14ac:dyDescent="0.25">
      <c r="C233" s="6"/>
      <c r="D233" s="6"/>
      <c r="E233" s="6"/>
      <c r="F233" s="6"/>
    </row>
    <row r="234" spans="3:6" x14ac:dyDescent="0.25">
      <c r="C234" s="6"/>
      <c r="D234" s="6"/>
      <c r="E234" s="6"/>
      <c r="F234" s="6"/>
    </row>
    <row r="235" spans="3:6" x14ac:dyDescent="0.25">
      <c r="C235" s="6"/>
      <c r="D235" s="6"/>
      <c r="E235" s="6"/>
      <c r="F235" s="6"/>
    </row>
    <row r="236" spans="3:6" x14ac:dyDescent="0.25">
      <c r="C236" s="6"/>
      <c r="D236" s="6"/>
      <c r="E236" s="6"/>
      <c r="F236" s="6"/>
    </row>
    <row r="237" spans="3:6" x14ac:dyDescent="0.25">
      <c r="C237" s="6"/>
      <c r="D237" s="6"/>
      <c r="E237" s="6"/>
      <c r="F237" s="6"/>
    </row>
    <row r="238" spans="3:6" x14ac:dyDescent="0.25">
      <c r="C238" s="6"/>
      <c r="D238" s="6"/>
      <c r="E238" s="6"/>
      <c r="F238" s="6"/>
    </row>
    <row r="239" spans="3:6" x14ac:dyDescent="0.25">
      <c r="C239" s="6"/>
      <c r="D239" s="6"/>
      <c r="E239" s="6"/>
      <c r="F239" s="6"/>
    </row>
    <row r="240" spans="3:6" x14ac:dyDescent="0.25">
      <c r="C240" s="6"/>
      <c r="D240" s="6"/>
      <c r="E240" s="6"/>
      <c r="F240" s="6"/>
    </row>
    <row r="241" spans="3:6" x14ac:dyDescent="0.25">
      <c r="C241" s="6"/>
      <c r="D241" s="6"/>
      <c r="E241" s="6"/>
      <c r="F241" s="6"/>
    </row>
    <row r="242" spans="3:6" x14ac:dyDescent="0.25">
      <c r="C242" s="6"/>
      <c r="D242" s="6"/>
      <c r="E242" s="6"/>
      <c r="F242" s="6"/>
    </row>
    <row r="243" spans="3:6" x14ac:dyDescent="0.25">
      <c r="C243" s="6"/>
      <c r="D243" s="6"/>
      <c r="E243" s="6"/>
      <c r="F243" s="6"/>
    </row>
    <row r="244" spans="3:6" x14ac:dyDescent="0.25">
      <c r="C244" s="6"/>
      <c r="D244" s="6"/>
      <c r="E244" s="6"/>
      <c r="F244" s="6"/>
    </row>
    <row r="245" spans="3:6" x14ac:dyDescent="0.25">
      <c r="C245" s="6"/>
      <c r="D245" s="6"/>
      <c r="E245" s="6"/>
      <c r="F245" s="6"/>
    </row>
    <row r="246" spans="3:6" x14ac:dyDescent="0.25">
      <c r="C246" s="6"/>
      <c r="D246" s="6"/>
      <c r="E246" s="6"/>
      <c r="F246" s="6"/>
    </row>
    <row r="247" spans="3:6" x14ac:dyDescent="0.25">
      <c r="C247" s="6"/>
      <c r="D247" s="6"/>
      <c r="E247" s="6"/>
      <c r="F247" s="6"/>
    </row>
    <row r="248" spans="3:6" x14ac:dyDescent="0.25">
      <c r="C248" s="6"/>
      <c r="D248" s="6"/>
      <c r="E248" s="6"/>
      <c r="F248" s="6"/>
    </row>
    <row r="249" spans="3:6" x14ac:dyDescent="0.25">
      <c r="C249" s="6"/>
      <c r="D249" s="6"/>
      <c r="E249" s="6"/>
      <c r="F249" s="6"/>
    </row>
    <row r="250" spans="3:6" x14ac:dyDescent="0.25">
      <c r="C250" s="6"/>
      <c r="D250" s="6"/>
      <c r="E250" s="6"/>
      <c r="F250" s="6"/>
    </row>
    <row r="251" spans="3:6" x14ac:dyDescent="0.25">
      <c r="C251" s="6"/>
      <c r="D251" s="6"/>
      <c r="E251" s="6"/>
      <c r="F251" s="6"/>
    </row>
    <row r="252" spans="3:6" x14ac:dyDescent="0.25">
      <c r="C252" s="6"/>
      <c r="D252" s="6"/>
      <c r="E252" s="6"/>
      <c r="F252" s="6"/>
    </row>
    <row r="253" spans="3:6" x14ac:dyDescent="0.25">
      <c r="C253" s="6"/>
      <c r="D253" s="6"/>
      <c r="E253" s="6"/>
      <c r="F253" s="6"/>
    </row>
    <row r="254" spans="3:6" x14ac:dyDescent="0.25">
      <c r="C254" s="6"/>
      <c r="D254" s="6"/>
      <c r="E254" s="6"/>
      <c r="F254" s="6"/>
    </row>
    <row r="255" spans="3:6" x14ac:dyDescent="0.25">
      <c r="C255" s="6"/>
      <c r="D255" s="6"/>
      <c r="E255" s="6"/>
      <c r="F255" s="6"/>
    </row>
    <row r="256" spans="3:6" x14ac:dyDescent="0.25">
      <c r="C256" s="6"/>
      <c r="D256" s="6"/>
      <c r="E256" s="6"/>
      <c r="F256" s="6"/>
    </row>
    <row r="257" spans="3:6" x14ac:dyDescent="0.25">
      <c r="C257" s="6"/>
      <c r="D257" s="6"/>
      <c r="E257" s="6"/>
      <c r="F257" s="6"/>
    </row>
    <row r="258" spans="3:6" x14ac:dyDescent="0.25">
      <c r="C258" s="6"/>
      <c r="D258" s="6"/>
      <c r="E258" s="6"/>
      <c r="F258" s="6"/>
    </row>
    <row r="259" spans="3:6" x14ac:dyDescent="0.25">
      <c r="C259" s="6"/>
      <c r="D259" s="6"/>
      <c r="E259" s="6"/>
      <c r="F259" s="6"/>
    </row>
    <row r="260" spans="3:6" x14ac:dyDescent="0.25">
      <c r="C260" s="6"/>
      <c r="D260" s="6"/>
      <c r="E260" s="6"/>
      <c r="F260" s="6"/>
    </row>
    <row r="261" spans="3:6" x14ac:dyDescent="0.25">
      <c r="C261" s="6"/>
      <c r="D261" s="6"/>
      <c r="E261" s="6"/>
      <c r="F261" s="6"/>
    </row>
    <row r="262" spans="3:6" x14ac:dyDescent="0.25">
      <c r="C262" s="6"/>
      <c r="D262" s="6"/>
      <c r="E262" s="6"/>
      <c r="F262" s="6"/>
    </row>
    <row r="263" spans="3:6" x14ac:dyDescent="0.25">
      <c r="C263" s="6"/>
      <c r="D263" s="6"/>
      <c r="E263" s="6"/>
      <c r="F263" s="6"/>
    </row>
    <row r="264" spans="3:6" x14ac:dyDescent="0.25">
      <c r="C264" s="6"/>
      <c r="D264" s="6"/>
      <c r="E264" s="6"/>
      <c r="F264" s="6"/>
    </row>
    <row r="265" spans="3:6" x14ac:dyDescent="0.25">
      <c r="C265" s="6"/>
      <c r="D265" s="6"/>
      <c r="E265" s="6"/>
      <c r="F265" s="6"/>
    </row>
    <row r="266" spans="3:6" x14ac:dyDescent="0.25">
      <c r="C266" s="6"/>
      <c r="D266" s="6"/>
      <c r="E266" s="6"/>
      <c r="F266" s="6"/>
    </row>
    <row r="267" spans="3:6" x14ac:dyDescent="0.25">
      <c r="C267" s="6"/>
      <c r="D267" s="6"/>
      <c r="E267" s="6"/>
      <c r="F267" s="6"/>
    </row>
    <row r="268" spans="3:6" x14ac:dyDescent="0.25">
      <c r="C268" s="6"/>
      <c r="D268" s="6"/>
      <c r="E268" s="6"/>
      <c r="F268" s="6"/>
    </row>
    <row r="269" spans="3:6" x14ac:dyDescent="0.25">
      <c r="C269" s="6"/>
      <c r="D269" s="6"/>
      <c r="E269" s="6"/>
      <c r="F269" s="6"/>
    </row>
    <row r="270" spans="3:6" x14ac:dyDescent="0.25">
      <c r="C270" s="6"/>
      <c r="D270" s="6"/>
      <c r="E270" s="6"/>
      <c r="F270" s="6"/>
    </row>
    <row r="271" spans="3:6" x14ac:dyDescent="0.25">
      <c r="C271" s="6"/>
      <c r="D271" s="6"/>
      <c r="E271" s="6"/>
      <c r="F271" s="6"/>
    </row>
    <row r="272" spans="3:6" x14ac:dyDescent="0.25">
      <c r="C272" s="6"/>
      <c r="D272" s="6"/>
      <c r="E272" s="6"/>
      <c r="F272" s="6"/>
    </row>
    <row r="273" spans="3:6" x14ac:dyDescent="0.25">
      <c r="C273" s="6"/>
      <c r="D273" s="6"/>
      <c r="E273" s="6"/>
      <c r="F273" s="6"/>
    </row>
    <row r="274" spans="3:6" x14ac:dyDescent="0.25">
      <c r="C274" s="6"/>
      <c r="D274" s="6"/>
      <c r="E274" s="6"/>
      <c r="F274" s="6"/>
    </row>
    <row r="275" spans="3:6" x14ac:dyDescent="0.25">
      <c r="C275" s="6"/>
      <c r="D275" s="6"/>
      <c r="E275" s="6"/>
      <c r="F275" s="6"/>
    </row>
    <row r="276" spans="3:6" x14ac:dyDescent="0.25">
      <c r="C276" s="6"/>
      <c r="D276" s="6"/>
      <c r="E276" s="6"/>
      <c r="F276" s="6"/>
    </row>
    <row r="277" spans="3:6" x14ac:dyDescent="0.25">
      <c r="C277" s="6"/>
      <c r="D277" s="6"/>
      <c r="E277" s="6"/>
      <c r="F277" s="6"/>
    </row>
    <row r="278" spans="3:6" x14ac:dyDescent="0.25">
      <c r="C278" s="6"/>
      <c r="D278" s="6"/>
      <c r="E278" s="6"/>
      <c r="F278" s="6"/>
    </row>
    <row r="279" spans="3:6" x14ac:dyDescent="0.25">
      <c r="C279" s="6"/>
      <c r="D279" s="6"/>
      <c r="E279" s="6"/>
      <c r="F279" s="6"/>
    </row>
    <row r="280" spans="3:6" x14ac:dyDescent="0.25">
      <c r="C280" s="6"/>
      <c r="D280" s="6"/>
      <c r="E280" s="6"/>
      <c r="F280" s="6"/>
    </row>
    <row r="281" spans="3:6" x14ac:dyDescent="0.25">
      <c r="C281" s="6"/>
      <c r="D281" s="6"/>
      <c r="E281" s="6"/>
      <c r="F281" s="6"/>
    </row>
    <row r="282" spans="3:6" x14ac:dyDescent="0.25">
      <c r="C282" s="6"/>
      <c r="D282" s="6"/>
      <c r="E282" s="6"/>
      <c r="F282" s="6"/>
    </row>
    <row r="283" spans="3:6" x14ac:dyDescent="0.25">
      <c r="C283" s="6"/>
      <c r="D283" s="6"/>
      <c r="E283" s="6"/>
      <c r="F283" s="6"/>
    </row>
    <row r="284" spans="3:6" x14ac:dyDescent="0.25">
      <c r="C284" s="6"/>
      <c r="D284" s="6"/>
      <c r="E284" s="6"/>
      <c r="F284" s="6"/>
    </row>
    <row r="285" spans="3:6" x14ac:dyDescent="0.25">
      <c r="C285" s="6"/>
      <c r="D285" s="6"/>
      <c r="E285" s="6"/>
      <c r="F285" s="6"/>
    </row>
    <row r="286" spans="3:6" x14ac:dyDescent="0.25">
      <c r="C286" s="6"/>
      <c r="D286" s="6"/>
      <c r="E286" s="6"/>
      <c r="F286" s="6"/>
    </row>
    <row r="287" spans="3:6" x14ac:dyDescent="0.25">
      <c r="C287" s="6"/>
      <c r="D287" s="6"/>
      <c r="E287" s="6"/>
      <c r="F287" s="6"/>
    </row>
    <row r="288" spans="3:6" x14ac:dyDescent="0.25">
      <c r="C288" s="6"/>
      <c r="D288" s="6"/>
      <c r="E288" s="6"/>
      <c r="F288" s="6"/>
    </row>
    <row r="289" spans="3:6" x14ac:dyDescent="0.25">
      <c r="C289" s="6"/>
      <c r="D289" s="6"/>
      <c r="E289" s="6"/>
      <c r="F289" s="6"/>
    </row>
    <row r="290" spans="3:6" x14ac:dyDescent="0.25">
      <c r="C290" s="6"/>
      <c r="D290" s="6"/>
      <c r="E290" s="6"/>
      <c r="F290" s="6"/>
    </row>
    <row r="291" spans="3:6" x14ac:dyDescent="0.25">
      <c r="C291" s="6"/>
      <c r="D291" s="6"/>
      <c r="E291" s="6"/>
      <c r="F291" s="6"/>
    </row>
    <row r="292" spans="3:6" x14ac:dyDescent="0.25">
      <c r="C292" s="6"/>
      <c r="D292" s="6"/>
      <c r="E292" s="6"/>
      <c r="F292" s="6"/>
    </row>
    <row r="293" spans="3:6" x14ac:dyDescent="0.25">
      <c r="C293" s="6"/>
      <c r="D293" s="6"/>
      <c r="E293" s="6"/>
      <c r="F293" s="6"/>
    </row>
    <row r="294" spans="3:6" x14ac:dyDescent="0.25">
      <c r="C294" s="6"/>
      <c r="D294" s="6"/>
      <c r="E294" s="6"/>
      <c r="F294" s="6"/>
    </row>
    <row r="295" spans="3:6" x14ac:dyDescent="0.25">
      <c r="C295" s="6"/>
      <c r="D295" s="6"/>
      <c r="E295" s="6"/>
      <c r="F295" s="6"/>
    </row>
    <row r="296" spans="3:6" x14ac:dyDescent="0.25">
      <c r="C296" s="6"/>
      <c r="D296" s="6"/>
      <c r="E296" s="6"/>
      <c r="F296" s="6"/>
    </row>
    <row r="297" spans="3:6" x14ac:dyDescent="0.25">
      <c r="C297" s="6"/>
      <c r="D297" s="6"/>
      <c r="E297" s="6"/>
      <c r="F297" s="6"/>
    </row>
    <row r="298" spans="3:6" x14ac:dyDescent="0.25">
      <c r="C298" s="6"/>
      <c r="D298" s="6"/>
      <c r="E298" s="6"/>
      <c r="F298" s="6"/>
    </row>
    <row r="299" spans="3:6" x14ac:dyDescent="0.25">
      <c r="C299" s="6"/>
      <c r="D299" s="6"/>
      <c r="E299" s="6"/>
      <c r="F299" s="6"/>
    </row>
    <row r="300" spans="3:6" x14ac:dyDescent="0.25">
      <c r="C300" s="6"/>
      <c r="D300" s="6"/>
      <c r="E300" s="6"/>
      <c r="F300" s="6"/>
    </row>
    <row r="301" spans="3:6" x14ac:dyDescent="0.25">
      <c r="C301" s="6"/>
      <c r="D301" s="6"/>
      <c r="E301" s="6"/>
      <c r="F301" s="6"/>
    </row>
    <row r="302" spans="3:6" x14ac:dyDescent="0.25">
      <c r="C302" s="6"/>
      <c r="D302" s="6"/>
      <c r="E302" s="6"/>
      <c r="F302" s="6"/>
    </row>
    <row r="303" spans="3:6" x14ac:dyDescent="0.25">
      <c r="C303" s="6"/>
      <c r="D303" s="6"/>
      <c r="E303" s="6"/>
      <c r="F303" s="6"/>
    </row>
    <row r="304" spans="3:6" x14ac:dyDescent="0.25">
      <c r="C304" s="6"/>
      <c r="D304" s="6"/>
      <c r="E304" s="6"/>
      <c r="F304" s="6"/>
    </row>
    <row r="305" spans="3:6" x14ac:dyDescent="0.25">
      <c r="C305" s="6"/>
      <c r="D305" s="6"/>
      <c r="E305" s="6"/>
      <c r="F305" s="6"/>
    </row>
    <row r="306" spans="3:6" x14ac:dyDescent="0.25">
      <c r="C306" s="6"/>
      <c r="D306" s="6"/>
      <c r="E306" s="6"/>
      <c r="F306" s="6"/>
    </row>
    <row r="307" spans="3:6" x14ac:dyDescent="0.25">
      <c r="C307" s="6"/>
      <c r="D307" s="6"/>
      <c r="E307" s="6"/>
      <c r="F307" s="6"/>
    </row>
    <row r="308" spans="3:6" x14ac:dyDescent="0.25">
      <c r="C308" s="6"/>
      <c r="D308" s="6"/>
      <c r="E308" s="6"/>
      <c r="F308" s="6"/>
    </row>
    <row r="309" spans="3:6" x14ac:dyDescent="0.25">
      <c r="C309" s="6"/>
      <c r="D309" s="6"/>
      <c r="E309" s="6"/>
      <c r="F309" s="6"/>
    </row>
    <row r="310" spans="3:6" x14ac:dyDescent="0.25">
      <c r="C310" s="6"/>
      <c r="D310" s="6"/>
      <c r="E310" s="6"/>
      <c r="F310" s="6"/>
    </row>
    <row r="311" spans="3:6" x14ac:dyDescent="0.25">
      <c r="C311" s="6"/>
      <c r="D311" s="6"/>
      <c r="E311" s="6"/>
      <c r="F311" s="6"/>
    </row>
    <row r="312" spans="3:6" x14ac:dyDescent="0.25">
      <c r="C312" s="6"/>
      <c r="D312" s="6"/>
      <c r="E312" s="6"/>
      <c r="F312" s="6"/>
    </row>
    <row r="313" spans="3:6" x14ac:dyDescent="0.25">
      <c r="C313" s="6"/>
      <c r="D313" s="6"/>
      <c r="E313" s="6"/>
      <c r="F313" s="6"/>
    </row>
    <row r="314" spans="3:6" x14ac:dyDescent="0.25">
      <c r="C314" s="6"/>
      <c r="D314" s="6"/>
      <c r="E314" s="6"/>
      <c r="F314" s="6"/>
    </row>
    <row r="315" spans="3:6" x14ac:dyDescent="0.25">
      <c r="C315" s="6"/>
      <c r="D315" s="6"/>
      <c r="E315" s="6"/>
      <c r="F315" s="6"/>
    </row>
    <row r="316" spans="3:6" x14ac:dyDescent="0.25">
      <c r="C316" s="6"/>
      <c r="D316" s="6"/>
      <c r="E316" s="6"/>
      <c r="F316" s="6"/>
    </row>
    <row r="317" spans="3:6" x14ac:dyDescent="0.25">
      <c r="C317" s="6"/>
      <c r="D317" s="6"/>
      <c r="E317" s="6"/>
      <c r="F317" s="6"/>
    </row>
    <row r="318" spans="3:6" x14ac:dyDescent="0.25">
      <c r="C318" s="6"/>
      <c r="D318" s="6"/>
      <c r="E318" s="6"/>
      <c r="F318" s="6"/>
    </row>
    <row r="319" spans="3:6" x14ac:dyDescent="0.25">
      <c r="C319" s="6"/>
      <c r="D319" s="6"/>
      <c r="E319" s="6"/>
      <c r="F319" s="6"/>
    </row>
    <row r="320" spans="3:6" x14ac:dyDescent="0.25">
      <c r="C320" s="6"/>
      <c r="D320" s="6"/>
      <c r="E320" s="6"/>
      <c r="F320" s="6"/>
    </row>
    <row r="321" spans="3:6" x14ac:dyDescent="0.25">
      <c r="C321" s="6"/>
      <c r="D321" s="6"/>
      <c r="E321" s="6"/>
      <c r="F321" s="6"/>
    </row>
    <row r="322" spans="3:6" x14ac:dyDescent="0.25">
      <c r="C322" s="6"/>
      <c r="D322" s="6"/>
      <c r="E322" s="6"/>
      <c r="F322" s="6"/>
    </row>
    <row r="323" spans="3:6" x14ac:dyDescent="0.25">
      <c r="C323" s="6"/>
      <c r="D323" s="6"/>
      <c r="E323" s="6"/>
      <c r="F323" s="6"/>
    </row>
    <row r="324" spans="3:6" x14ac:dyDescent="0.25">
      <c r="C324" s="6"/>
      <c r="D324" s="6"/>
      <c r="E324" s="6"/>
      <c r="F324" s="6"/>
    </row>
    <row r="325" spans="3:6" x14ac:dyDescent="0.25">
      <c r="C325" s="6"/>
      <c r="D325" s="6"/>
      <c r="E325" s="6"/>
      <c r="F325" s="6"/>
    </row>
    <row r="326" spans="3:6" x14ac:dyDescent="0.25">
      <c r="C326" s="6"/>
      <c r="D326" s="6"/>
      <c r="E326" s="6"/>
      <c r="F326" s="6"/>
    </row>
    <row r="327" spans="3:6" x14ac:dyDescent="0.25">
      <c r="C327" s="6"/>
      <c r="D327" s="6"/>
      <c r="E327" s="6"/>
      <c r="F327" s="6"/>
    </row>
    <row r="328" spans="3:6" x14ac:dyDescent="0.25">
      <c r="C328" s="6"/>
      <c r="D328" s="6"/>
      <c r="E328" s="6"/>
      <c r="F328" s="6"/>
    </row>
    <row r="329" spans="3:6" x14ac:dyDescent="0.25">
      <c r="C329" s="6"/>
      <c r="D329" s="6"/>
      <c r="E329" s="6"/>
      <c r="F329" s="6"/>
    </row>
    <row r="330" spans="3:6" x14ac:dyDescent="0.25">
      <c r="C330" s="6"/>
      <c r="D330" s="6"/>
      <c r="E330" s="6"/>
      <c r="F330" s="6"/>
    </row>
    <row r="331" spans="3:6" x14ac:dyDescent="0.25">
      <c r="C331" s="6"/>
      <c r="D331" s="6"/>
      <c r="E331" s="6"/>
      <c r="F331" s="6"/>
    </row>
    <row r="332" spans="3:6" x14ac:dyDescent="0.25">
      <c r="C332" s="6"/>
      <c r="D332" s="6"/>
      <c r="E332" s="6"/>
      <c r="F332" s="6"/>
    </row>
    <row r="333" spans="3:6" x14ac:dyDescent="0.25">
      <c r="C333" s="6"/>
      <c r="D333" s="6"/>
      <c r="E333" s="6"/>
      <c r="F333" s="6"/>
    </row>
    <row r="334" spans="3:6" x14ac:dyDescent="0.25">
      <c r="C334" s="6"/>
      <c r="D334" s="6"/>
      <c r="E334" s="6"/>
      <c r="F334" s="6"/>
    </row>
    <row r="335" spans="3:6" x14ac:dyDescent="0.25">
      <c r="C335" s="6"/>
      <c r="D335" s="6"/>
      <c r="E335" s="6"/>
      <c r="F335" s="6"/>
    </row>
    <row r="336" spans="3:6" x14ac:dyDescent="0.25">
      <c r="C336" s="6"/>
      <c r="D336" s="6"/>
      <c r="E336" s="6"/>
      <c r="F336" s="6"/>
    </row>
    <row r="337" spans="3:6" x14ac:dyDescent="0.25">
      <c r="C337" s="6"/>
      <c r="D337" s="6"/>
      <c r="E337" s="6"/>
      <c r="F337" s="6"/>
    </row>
    <row r="338" spans="3:6" x14ac:dyDescent="0.25">
      <c r="C338" s="6"/>
      <c r="D338" s="6"/>
      <c r="E338" s="6"/>
      <c r="F338" s="6"/>
    </row>
    <row r="339" spans="3:6" x14ac:dyDescent="0.25">
      <c r="C339" s="6"/>
      <c r="D339" s="6"/>
      <c r="E339" s="6"/>
      <c r="F339" s="6"/>
    </row>
    <row r="340" spans="3:6" x14ac:dyDescent="0.25">
      <c r="C340" s="6"/>
      <c r="D340" s="6"/>
      <c r="E340" s="6"/>
      <c r="F340" s="6"/>
    </row>
    <row r="341" spans="3:6" x14ac:dyDescent="0.25">
      <c r="C341" s="6"/>
      <c r="D341" s="6"/>
      <c r="E341" s="6"/>
      <c r="F341" s="6"/>
    </row>
    <row r="342" spans="3:6" x14ac:dyDescent="0.25">
      <c r="C342" s="6"/>
      <c r="D342" s="6"/>
      <c r="E342" s="6"/>
      <c r="F342" s="6"/>
    </row>
    <row r="343" spans="3:6" x14ac:dyDescent="0.25">
      <c r="C343" s="6"/>
      <c r="D343" s="6"/>
      <c r="E343" s="6"/>
      <c r="F343" s="6"/>
    </row>
    <row r="344" spans="3:6" x14ac:dyDescent="0.25">
      <c r="C344" s="6"/>
      <c r="D344" s="6"/>
      <c r="E344" s="6"/>
      <c r="F344" s="6"/>
    </row>
    <row r="345" spans="3:6" x14ac:dyDescent="0.25">
      <c r="C345" s="6"/>
      <c r="D345" s="6"/>
      <c r="E345" s="6"/>
      <c r="F345" s="6"/>
    </row>
    <row r="346" spans="3:6" x14ac:dyDescent="0.25">
      <c r="C346" s="6"/>
      <c r="D346" s="6"/>
      <c r="E346" s="6"/>
      <c r="F346" s="6"/>
    </row>
    <row r="347" spans="3:6" x14ac:dyDescent="0.25">
      <c r="C347" s="6"/>
      <c r="D347" s="6"/>
      <c r="E347" s="6"/>
      <c r="F347" s="6"/>
    </row>
    <row r="348" spans="3:6" x14ac:dyDescent="0.25">
      <c r="C348" s="6"/>
      <c r="D348" s="6"/>
      <c r="E348" s="6"/>
      <c r="F348" s="6"/>
    </row>
    <row r="349" spans="3:6" x14ac:dyDescent="0.25">
      <c r="C349" s="6"/>
      <c r="D349" s="6"/>
      <c r="E349" s="6"/>
      <c r="F349" s="6"/>
    </row>
    <row r="350" spans="3:6" x14ac:dyDescent="0.25">
      <c r="C350" s="6"/>
      <c r="D350" s="6"/>
      <c r="E350" s="6"/>
      <c r="F350" s="6"/>
    </row>
    <row r="351" spans="3:6" x14ac:dyDescent="0.25">
      <c r="C351" s="6"/>
      <c r="D351" s="6"/>
      <c r="E351" s="6"/>
      <c r="F351" s="6"/>
    </row>
    <row r="352" spans="3:6" x14ac:dyDescent="0.25">
      <c r="C352" s="6"/>
      <c r="D352" s="6"/>
      <c r="E352" s="6"/>
      <c r="F352" s="6"/>
    </row>
    <row r="353" spans="3:6" x14ac:dyDescent="0.25">
      <c r="C353" s="6"/>
      <c r="D353" s="6"/>
      <c r="E353" s="6"/>
      <c r="F353" s="6"/>
    </row>
    <row r="354" spans="3:6" x14ac:dyDescent="0.25">
      <c r="C354" s="6"/>
      <c r="D354" s="6"/>
      <c r="E354" s="6"/>
      <c r="F354" s="6"/>
    </row>
    <row r="355" spans="3:6" x14ac:dyDescent="0.25">
      <c r="C355" s="6"/>
      <c r="D355" s="6"/>
      <c r="E355" s="6"/>
      <c r="F355" s="6"/>
    </row>
    <row r="356" spans="3:6" x14ac:dyDescent="0.25">
      <c r="C356" s="6"/>
      <c r="D356" s="6"/>
      <c r="E356" s="6"/>
      <c r="F356" s="6"/>
    </row>
    <row r="357" spans="3:6" x14ac:dyDescent="0.25">
      <c r="C357" s="6"/>
      <c r="D357" s="6"/>
      <c r="E357" s="6"/>
      <c r="F357" s="6"/>
    </row>
    <row r="358" spans="3:6" x14ac:dyDescent="0.25">
      <c r="C358" s="6"/>
      <c r="D358" s="6"/>
      <c r="E358" s="6"/>
      <c r="F358" s="6"/>
    </row>
    <row r="359" spans="3:6" x14ac:dyDescent="0.25">
      <c r="C359" s="6"/>
      <c r="D359" s="6"/>
      <c r="E359" s="6"/>
      <c r="F359" s="6"/>
    </row>
    <row r="360" spans="3:6" x14ac:dyDescent="0.25">
      <c r="C360" s="6"/>
      <c r="D360" s="6"/>
      <c r="E360" s="6"/>
      <c r="F360" s="6"/>
    </row>
    <row r="361" spans="3:6" x14ac:dyDescent="0.25">
      <c r="C361" s="6"/>
      <c r="D361" s="6"/>
      <c r="E361" s="6"/>
      <c r="F361" s="6"/>
    </row>
    <row r="362" spans="3:6" x14ac:dyDescent="0.25">
      <c r="C362" s="6"/>
      <c r="D362" s="6"/>
      <c r="E362" s="6"/>
      <c r="F362" s="6"/>
    </row>
    <row r="363" spans="3:6" x14ac:dyDescent="0.25">
      <c r="C363" s="6"/>
      <c r="D363" s="6"/>
      <c r="E363" s="6"/>
      <c r="F363" s="6"/>
    </row>
    <row r="364" spans="3:6" x14ac:dyDescent="0.25">
      <c r="C364" s="6"/>
      <c r="D364" s="6"/>
      <c r="E364" s="6"/>
      <c r="F364" s="6"/>
    </row>
    <row r="365" spans="3:6" x14ac:dyDescent="0.25">
      <c r="C365" s="6"/>
      <c r="D365" s="6"/>
      <c r="E365" s="6"/>
      <c r="F365" s="6"/>
    </row>
    <row r="366" spans="3:6" x14ac:dyDescent="0.25">
      <c r="C366" s="6"/>
      <c r="D366" s="6"/>
      <c r="E366" s="6"/>
      <c r="F366" s="6"/>
    </row>
    <row r="367" spans="3:6" x14ac:dyDescent="0.25">
      <c r="C367" s="6"/>
      <c r="D367" s="6"/>
      <c r="E367" s="6"/>
      <c r="F367" s="6"/>
    </row>
    <row r="368" spans="3:6" x14ac:dyDescent="0.25">
      <c r="C368" s="6"/>
      <c r="D368" s="6"/>
      <c r="E368" s="6"/>
      <c r="F368" s="6"/>
    </row>
    <row r="369" spans="3:6" x14ac:dyDescent="0.25">
      <c r="C369" s="6"/>
      <c r="D369" s="6"/>
      <c r="E369" s="6"/>
      <c r="F369" s="6"/>
    </row>
    <row r="370" spans="3:6" x14ac:dyDescent="0.25">
      <c r="C370" s="6"/>
      <c r="D370" s="6"/>
      <c r="E370" s="6"/>
      <c r="F370" s="6"/>
    </row>
    <row r="371" spans="3:6" x14ac:dyDescent="0.25">
      <c r="C371" s="6"/>
      <c r="D371" s="6"/>
      <c r="E371" s="6"/>
      <c r="F371" s="6"/>
    </row>
  </sheetData>
  <sheetProtection autoFilter="0"/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2049" r:id="rId7" name="AnalyzerDynReport000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49" r:id="rId7" name="AnalyzerDynReport000tb1"/>
      </mc:Fallback>
    </mc:AlternateContent>
    <mc:AlternateContent xmlns:mc="http://schemas.openxmlformats.org/markup-compatibility/2006">
      <mc:Choice Requires="x14">
        <control shapeId="2050" r:id="rId9" name="ConnectionDescriptorsInfo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0" r:id="rId9" name="ConnectionDescriptorsInfotb1"/>
      </mc:Fallback>
    </mc:AlternateContent>
    <mc:AlternateContent xmlns:mc="http://schemas.openxmlformats.org/markup-compatibility/2006">
      <mc:Choice Requires="x14">
        <control shapeId="2051" r:id="rId11" name="MultipleReportManagerInfo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1" r:id="rId11" name="MultipleReportManagerInfotb1"/>
      </mc:Fallback>
    </mc:AlternateContent>
    <mc:AlternateContent xmlns:mc="http://schemas.openxmlformats.org/markup-compatibility/2006">
      <mc:Choice Requires="x14">
        <control shapeId="2052" r:id="rId13" name="FPMExcelClientSheetOptions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2" r:id="rId13" name="FPMExcelClientSheetOptionstb1"/>
      </mc:Fallback>
    </mc:AlternateContent>
    <mc:AlternateContent xmlns:mc="http://schemas.openxmlformats.org/markup-compatibility/2006">
      <mc:Choice Requires="x14">
        <control shapeId="2053" r:id="rId15" name="ReportSubmitManagerControl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3" r:id="rId15" name="ReportSubmitManagerControltb1"/>
      </mc:Fallback>
    </mc:AlternateContent>
    <mc:AlternateContent xmlns:mc="http://schemas.openxmlformats.org/markup-compatibility/2006">
      <mc:Choice Requires="x14">
        <control shapeId="2054" r:id="rId17" name="ReportSubmitControl_1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54" r:id="rId17" name="ReportSubmitControl_1tb1"/>
      </mc:Fallback>
    </mc:AlternateContent>
    <mc:AlternateContent xmlns:mc="http://schemas.openxmlformats.org/markup-compatibility/2006">
      <mc:Choice Requires="x14">
        <control shapeId="2055" r:id="rId19" name="Button 7">
          <controlPr defaultSize="0" print="0" autoFill="0" autoPict="0" macro="[0]!hideEmptyColumn">
            <anchor moveWithCells="1">
              <from>
                <xdr:col>4</xdr:col>
                <xdr:colOff>200025</xdr:colOff>
                <xdr:row>1</xdr:row>
                <xdr:rowOff>0</xdr:rowOff>
              </from>
              <to>
                <xdr:col>5</xdr:col>
                <xdr:colOff>695325</xdr:colOff>
                <xdr:row>2</xdr:row>
                <xdr:rowOff>66675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PERIODID0</dimension>
        <rolling>true</rolling>
        <realTime>true</realTime>
        <fromAbsolute/>
        <toAbsolute/>
        <fromRelative>0</fromRelative>
        <toRelative>0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CUSTID</value>
      </planningLevels>
      <keyFigures>
        <value>CONSENSUSDEMAND</value>
      </keyFigures>
      <conversions>
        <conversion>
          <dimension>UOMTOID</dimension>
          <member>__EMPTY</member>
        </conversion>
        <conversion>
          <dimension>CURRTOID</dimension>
          <member>__EMPTY</member>
        </conversion>
      </conversions>
      <rowAxis>
        <value>PRDID</value>
        <value>CUSTID</value>
        <value>KEY_FIGURES</value>
      </rowAxis>
      <columnAxis>
        <value>PERIODID0</value>
      </columnAxis>
      <alerts/>
      <dimsDispOptnId/>
      <dimsDispOptnBoth/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CUSTID</dimensionId>
          <description>Ascending</description>
          <name>A-Z</name>
          <id>-11</id>
        </attributeSorting>
      </attributeSortings>
    </settings>
  </report_Sheet1>
</config>
</file>

<file path=customXml/itemProps1.xml><?xml version="1.0" encoding="utf-8"?>
<ds:datastoreItem xmlns:ds="http://schemas.openxmlformats.org/officeDocument/2006/customXml" ds:itemID="{9755BDC0-D694-446D-A70F-AF859CDAA3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E04736-483E-4519-A67B-A2B14E198BF8}">
  <ds:schemaRefs>
    <ds:schemaRef ds:uri="bbc324ba-a621-4ce9-b168-efe94d1c4d21"/>
    <ds:schemaRef ds:uri="http://purl.org/dc/elements/1.1/"/>
    <ds:schemaRef ds:uri="http://schemas.microsoft.com/office/2006/metadata/properties"/>
    <ds:schemaRef ds:uri="a240ad8e-32f0-49ff-8cbe-0619d9b747e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073F83B-2A70-44DB-8422-866274B5904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B50E1B0-C92B-4E9C-8DC0-C8BC7032C821}">
  <ds:schemaRefs>
    <ds:schemaRef ds:uri="http://com.sap.sop/sopconfig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Planning 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2021-06-02T14:12:37Z</dcterms:created>
  <dcterms:modified xsi:type="dcterms:W3CDTF">2021-08-20T12:10:32Z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e15c9a59-7eac-446b-b392-b2f7c1c06c20</vt:lpwstr>
  </property>
</Properties>
</file>