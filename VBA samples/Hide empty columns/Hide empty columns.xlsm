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sap-my.sharepoint.com/personal/patrick_weber01_sap_com/Documents/SAP IBP Excel/VBA/VBA GitHub/Hide empty columns/"/>
    </mc:Choice>
  </mc:AlternateContent>
  <xr:revisionPtr revIDLastSave="81" documentId="8_{83EFC16F-1331-44A0-9B8A-646B41A9B4C6}" xr6:coauthVersionLast="45" xr6:coauthVersionMax="45" xr10:uidLastSave="{3438598E-FCAA-4466-8A85-C263E910C831}"/>
  <bookViews>
    <workbookView xWindow="-120" yWindow="-120" windowWidth="29040" windowHeight="15840" xr2:uid="{AFCA2548-B1F5-46A5-AD5E-5890557E352A}"/>
  </bookViews>
  <sheets>
    <sheet name="Planning view" sheetId="2" r:id="rId1"/>
  </sheets>
  <functionGroups builtInGroupCount="19"/>
  <definedNames>
    <definedName name="__FPMExcelClient_Connection" localSheetId="0">"{A63CB8EE-6674-452e-ACA5-65D5174D689E}_[https://pt6-001.wdf.sap.corp/sap/sop/sopfnd/services/addin/excel/]_[SOP]_[PW4CONF]_[]_[]_[false]_[True]\1"</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SOP_Connection_Name">"PT6 PW4CONF"</definedName>
    <definedName name="SOP_Filter" localSheetId="0">{" "}</definedName>
    <definedName name="SOP_Filter_Criteria_Count" localSheetId="0">0</definedName>
    <definedName name="SOP_Filter_Name" localSheetId="0">"(None)"</definedName>
    <definedName name="SOP_Heading1" localSheetId="0">"Key Figure"</definedName>
    <definedName name="SOP_Heading10" localSheetId="0">" "</definedName>
    <definedName name="SOP_Heading11" localSheetId="0">" "</definedName>
    <definedName name="SOP_Heading12" localSheetId="0">" "</definedName>
    <definedName name="SOP_Heading13" localSheetId="0">" "</definedName>
    <definedName name="SOP_Heading14" localSheetId="0">" "</definedName>
    <definedName name="SOP_Heading15" localSheetId="0">" "</definedName>
    <definedName name="SOP_Heading2" localSheetId="0">"Customer ID"</definedName>
    <definedName name="SOP_Heading3" localSheetId="0">"Product ID"</definedName>
    <definedName name="SOP_Heading4" localSheetId="0">" "</definedName>
    <definedName name="SOP_Heading5" localSheetId="0">" "</definedName>
    <definedName name="SOP_Heading6" localSheetId="0">" "</definedName>
    <definedName name="SOP_Heading7" localSheetId="0">" "</definedName>
    <definedName name="SOP_Heading8" localSheetId="0">" "</definedName>
    <definedName name="SOP_Heading9" localSheetId="0">" "</definedName>
    <definedName name="SOP_Planning_Area">"PW4CONF"</definedName>
    <definedName name="SOP_Planning_Scope">"26.07.2021 - 16.07.2023 | Baseline | Base Version"</definedName>
    <definedName name="SOP_Refresh_Timestamp">44403.4444560185</definedName>
    <definedName name="SOP_Value_Based_Filter" localSheetId="0">{" "}</definedName>
    <definedName name="SOP_Value_Based_Filter_Name" localSheetId="0">"(None)"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 i="2" l="1"/>
  <c r="E4" i="2"/>
  <c r="F4" i="2"/>
  <c r="A4" i="2"/>
  <c r="B4" i="2"/>
  <c r="C4" i="2"/>
  <c r="F6" i="2"/>
  <c r="F9" i="2"/>
  <c r="K4" i="2"/>
  <c r="S4" i="2"/>
  <c r="AA4" i="2"/>
  <c r="AI4" i="2"/>
  <c r="AQ4" i="2"/>
  <c r="AY4" i="2"/>
  <c r="BG4" i="2"/>
  <c r="BO4" i="2"/>
  <c r="BW4" i="2"/>
  <c r="CE4" i="2"/>
  <c r="CM4" i="2"/>
  <c r="CU4" i="2"/>
  <c r="DC4" i="2"/>
  <c r="DK4" i="2"/>
  <c r="DS4" i="2"/>
  <c r="EA4" i="2"/>
  <c r="EI4" i="2"/>
  <c r="EQ4" i="2"/>
  <c r="EY4" i="2"/>
  <c r="BL4" i="2"/>
  <c r="CJ4" i="2"/>
  <c r="DP4" i="2"/>
  <c r="EN4" i="2"/>
  <c r="I4" i="2"/>
  <c r="AG4" i="2"/>
  <c r="BE4" i="2"/>
  <c r="CC4" i="2"/>
  <c r="CS4" i="2"/>
  <c r="DY4" i="2"/>
  <c r="E9" i="2"/>
  <c r="AH4" i="2"/>
  <c r="BF4" i="2"/>
  <c r="CD4" i="2"/>
  <c r="DJ4" i="2"/>
  <c r="DZ4" i="2"/>
  <c r="D7" i="2"/>
  <c r="D10" i="2"/>
  <c r="L4" i="2"/>
  <c r="T4" i="2"/>
  <c r="AB4" i="2"/>
  <c r="AJ4" i="2"/>
  <c r="AR4" i="2"/>
  <c r="AZ4" i="2"/>
  <c r="BH4" i="2"/>
  <c r="BP4" i="2"/>
  <c r="BX4" i="2"/>
  <c r="CF4" i="2"/>
  <c r="CN4" i="2"/>
  <c r="CV4" i="2"/>
  <c r="DD4" i="2"/>
  <c r="DL4" i="2"/>
  <c r="DT4" i="2"/>
  <c r="EB4" i="2"/>
  <c r="EJ4" i="2"/>
  <c r="ER4" i="2"/>
  <c r="EZ4" i="2"/>
  <c r="BB4" i="2"/>
  <c r="CH4" i="2"/>
  <c r="CX4" i="2"/>
  <c r="DV4" i="2"/>
  <c r="ET4" i="2"/>
  <c r="G4" i="2"/>
  <c r="W4" i="2"/>
  <c r="AU4" i="2"/>
  <c r="BS4" i="2"/>
  <c r="CQ4" i="2"/>
  <c r="DW4" i="2"/>
  <c r="EM4" i="2"/>
  <c r="E5" i="2"/>
  <c r="X4" i="2"/>
  <c r="BD4" i="2"/>
  <c r="CR4" i="2"/>
  <c r="EF4" i="2"/>
  <c r="D9" i="2"/>
  <c r="AO4" i="2"/>
  <c r="BU4" i="2"/>
  <c r="DI4" i="2"/>
  <c r="EO4" i="2"/>
  <c r="J4" i="2"/>
  <c r="AP4" i="2"/>
  <c r="BV4" i="2"/>
  <c r="DR4" i="2"/>
  <c r="EX4" i="2"/>
  <c r="E7" i="2"/>
  <c r="E10" i="2"/>
  <c r="M4" i="2"/>
  <c r="U4" i="2"/>
  <c r="AC4" i="2"/>
  <c r="AK4" i="2"/>
  <c r="AS4" i="2"/>
  <c r="BA4" i="2"/>
  <c r="BI4" i="2"/>
  <c r="BQ4" i="2"/>
  <c r="BY4" i="2"/>
  <c r="CG4" i="2"/>
  <c r="CO4" i="2"/>
  <c r="CW4" i="2"/>
  <c r="DE4" i="2"/>
  <c r="DM4" i="2"/>
  <c r="DU4" i="2"/>
  <c r="EC4" i="2"/>
  <c r="EK4" i="2"/>
  <c r="ES4" i="2"/>
  <c r="FA4" i="2"/>
  <c r="BR4" i="2"/>
  <c r="DF4" i="2"/>
  <c r="EL4" i="2"/>
  <c r="D5" i="2"/>
  <c r="AE4" i="2"/>
  <c r="BC4" i="2"/>
  <c r="CI4" i="2"/>
  <c r="DO4" i="2"/>
  <c r="FC4" i="2"/>
  <c r="H4" i="2"/>
  <c r="AF4" i="2"/>
  <c r="BT4" i="2"/>
  <c r="CZ4" i="2"/>
  <c r="EV4" i="2"/>
  <c r="Q4" i="2"/>
  <c r="BM4" i="2"/>
  <c r="DA4" i="2"/>
  <c r="EW4" i="2"/>
  <c r="R4" i="2"/>
  <c r="BN4" i="2"/>
  <c r="CT4" i="2"/>
  <c r="EP4" i="2"/>
  <c r="F7" i="2"/>
  <c r="F10" i="2"/>
  <c r="N4" i="2"/>
  <c r="V4" i="2"/>
  <c r="AD4" i="2"/>
  <c r="AL4" i="2"/>
  <c r="AT4" i="2"/>
  <c r="BJ4" i="2"/>
  <c r="BZ4" i="2"/>
  <c r="CP4" i="2"/>
  <c r="DN4" i="2"/>
  <c r="ED4" i="2"/>
  <c r="FB4" i="2"/>
  <c r="E8" i="2"/>
  <c r="O4" i="2"/>
  <c r="AM4" i="2"/>
  <c r="BK4" i="2"/>
  <c r="CA4" i="2"/>
  <c r="CY4" i="2"/>
  <c r="DG4" i="2"/>
  <c r="EE4" i="2"/>
  <c r="EU4" i="2"/>
  <c r="F8" i="2"/>
  <c r="P4" i="2"/>
  <c r="AN4" i="2"/>
  <c r="AV4" i="2"/>
  <c r="CB4" i="2"/>
  <c r="DH4" i="2"/>
  <c r="DX4" i="2"/>
  <c r="F5" i="2"/>
  <c r="Y4" i="2"/>
  <c r="AW4" i="2"/>
  <c r="CK4" i="2"/>
  <c r="DQ4" i="2"/>
  <c r="EG4" i="2"/>
  <c r="E6" i="2"/>
  <c r="Z4" i="2"/>
  <c r="AX4" i="2"/>
  <c r="CL4" i="2"/>
  <c r="DB4" i="2"/>
  <c r="EH4" i="2"/>
</calcChain>
</file>

<file path=xl/sharedStrings.xml><?xml version="1.0" encoding="utf-8"?>
<sst xmlns="http://schemas.openxmlformats.org/spreadsheetml/2006/main" count="1" uniqueCount="1">
  <si>
    <t>[PERIODID0].[].[28793]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</si>
</sst>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Protection="1"/>
    <xf numFmtId="0" fontId="0" fillId="0" borderId="0" xfId="0" applyNumberFormat="1" applyProtection="1"/>
    <xf numFmtId="0" fontId="0" fillId="0" borderId="0" xfId="0" applyNumberFormat="1" applyAlignment="1" applyProtection="1"/>
    <xf numFmtId="0" fontId="0" fillId="0" borderId="0" xfId="0" applyProtection="1">
      <protection locked="0"/>
    </xf>
    <xf numFmtId="0" fontId="0" fillId="0" borderId="0" xfId="0" applyNumberFormat="1"/>
    <xf numFmtId="0" fontId="0" fillId="0" borderId="0" xfId="0" applyNumberForma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3</xdr:col>
          <xdr:colOff>542925</xdr:colOff>
          <xdr:row>0</xdr:row>
          <xdr:rowOff>0</xdr:rowOff>
        </xdr:to>
        <xdr:sp macro="" textlink="">
          <xdr:nvSpPr>
            <xdr:cNvPr id="2049" name="AnalyzerDynReport000tb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3</xdr:col>
          <xdr:colOff>542925</xdr:colOff>
          <xdr:row>0</xdr:row>
          <xdr:rowOff>0</xdr:rowOff>
        </xdr:to>
        <xdr:sp macro="" textlink="">
          <xdr:nvSpPr>
            <xdr:cNvPr id="2050" name="ConnectionDescriptorsInfotb1"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3</xdr:col>
          <xdr:colOff>542925</xdr:colOff>
          <xdr:row>0</xdr:row>
          <xdr:rowOff>0</xdr:rowOff>
        </xdr:to>
        <xdr:sp macro="" textlink="">
          <xdr:nvSpPr>
            <xdr:cNvPr id="2051" name="MultipleReportManagerInfotb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3</xdr:col>
          <xdr:colOff>542925</xdr:colOff>
          <xdr:row>0</xdr:row>
          <xdr:rowOff>0</xdr:rowOff>
        </xdr:to>
        <xdr:sp macro="" textlink="">
          <xdr:nvSpPr>
            <xdr:cNvPr id="2052" name="FPMExcelClientSheetOptionstb1"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3</xdr:col>
          <xdr:colOff>542925</xdr:colOff>
          <xdr:row>0</xdr:row>
          <xdr:rowOff>0</xdr:rowOff>
        </xdr:to>
        <xdr:sp macro="" textlink="">
          <xdr:nvSpPr>
            <xdr:cNvPr id="2053" name="ReportSubmitManagerControltb1"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3</xdr:col>
          <xdr:colOff>542925</xdr:colOff>
          <xdr:row>0</xdr:row>
          <xdr:rowOff>0</xdr:rowOff>
        </xdr:to>
        <xdr:sp macro="" textlink="">
          <xdr:nvSpPr>
            <xdr:cNvPr id="2054" name="ReportSubmitControl_1tb1"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1</xdr:row>
          <xdr:rowOff>0</xdr:rowOff>
        </xdr:from>
        <xdr:to>
          <xdr:col>5</xdr:col>
          <xdr:colOff>695325</xdr:colOff>
          <xdr:row>2</xdr:row>
          <xdr:rowOff>66675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Hide column</a:t>
              </a:r>
            </a:p>
          </xdr:txBody>
        </xdr:sp>
        <xdr:clientData fPrintsWithSheet="0"/>
      </xdr:twoCellAnchor>
    </mc:Choice>
    <mc:Fallback/>
  </mc:AlternateContent>
  <xdr:twoCellAnchor>
    <xdr:from>
      <xdr:col>7</xdr:col>
      <xdr:colOff>47625</xdr:colOff>
      <xdr:row>11</xdr:row>
      <xdr:rowOff>171450</xdr:rowOff>
    </xdr:from>
    <xdr:to>
      <xdr:col>13</xdr:col>
      <xdr:colOff>47625</xdr:colOff>
      <xdr:row>18</xdr:row>
      <xdr:rowOff>152400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3714750" y="2266950"/>
          <a:ext cx="4057650" cy="1314450"/>
        </a:xfrm>
        <a:prstGeom prst="rect">
          <a:avLst/>
        </a:prstGeom>
        <a:solidFill>
          <a:sysClr val="window" lastClr="FFFFFF"/>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sample will reduce the </a:t>
          </a:r>
          <a:r>
            <a:rPr lang="de-DE" sz="1100" baseline="0">
              <a:solidFill>
                <a:sysClr val="windowText" lastClr="000000"/>
              </a:solidFill>
            </a:rPr>
            <a:t>width of columns that don't contain any attribute value. To test the sample, you can manually increase the column width and press the "Hide column" button or refresh the planning view. </a:t>
          </a:r>
        </a:p>
        <a:p>
          <a:pPr algn="l"/>
          <a:r>
            <a:rPr lang="de-DE" sz="1100" baseline="0">
              <a:solidFill>
                <a:sysClr val="windowText" lastClr="000000"/>
              </a:solidFill>
            </a:rPr>
            <a:t>This sample was created to illustrate VBA customization possibilities and are not designed for productive usage.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4.xml"/><Relationship Id="rId18" Type="http://schemas.openxmlformats.org/officeDocument/2006/relationships/image" Target="../media/image6.emf"/><Relationship Id="rId3" Type="http://schemas.openxmlformats.org/officeDocument/2006/relationships/customProperty" Target="../customProperty2.bin"/><Relationship Id="rId7" Type="http://schemas.openxmlformats.org/officeDocument/2006/relationships/control" Target="../activeX/activeX1.xml"/><Relationship Id="rId12" Type="http://schemas.openxmlformats.org/officeDocument/2006/relationships/image" Target="../media/image3.emf"/><Relationship Id="rId17" Type="http://schemas.openxmlformats.org/officeDocument/2006/relationships/control" Target="../activeX/activeX6.xml"/><Relationship Id="rId2" Type="http://schemas.openxmlformats.org/officeDocument/2006/relationships/customProperty" Target="../customProperty1.bin"/><Relationship Id="rId16" Type="http://schemas.openxmlformats.org/officeDocument/2006/relationships/image" Target="../media/image5.emf"/><Relationship Id="rId1" Type="http://schemas.openxmlformats.org/officeDocument/2006/relationships/printerSettings" Target="../printerSettings/printerSettings1.bin"/><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ontrol" Target="../activeX/activeX5.xml"/><Relationship Id="rId10" Type="http://schemas.openxmlformats.org/officeDocument/2006/relationships/image" Target="../media/image2.emf"/><Relationship Id="rId19" Type="http://schemas.openxmlformats.org/officeDocument/2006/relationships/ctrlProp" Target="../ctrlProps/ctrlProp1.xml"/><Relationship Id="rId4" Type="http://schemas.openxmlformats.org/officeDocument/2006/relationships/customProperty" Target="../customProperty3.bin"/><Relationship Id="rId9" Type="http://schemas.openxmlformats.org/officeDocument/2006/relationships/control" Target="../activeX/activeX2.xml"/><Relationship Id="rId14"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75FDB-22EE-4011-9D6B-2E877E0E21BE}">
  <sheetPr codeName="Sheet1"/>
  <dimension ref="A1:QI371"/>
  <sheetViews>
    <sheetView tabSelected="1" workbookViewId="0">
      <pane xSplit="6" ySplit="4" topLeftCell="G5" activePane="bottomRight" state="frozen"/>
      <selection pane="topRight" activeCell="I1" sqref="I1"/>
      <selection pane="bottomLeft" activeCell="A4" sqref="A4"/>
      <selection pane="bottomRight" activeCell="E9" sqref="E9"/>
    </sheetView>
  </sheetViews>
  <sheetFormatPr defaultRowHeight="15" x14ac:dyDescent="0.25"/>
  <cols>
    <col min="1" max="3" width="1.7109375" customWidth="1"/>
    <col min="4" max="4" width="10.140625" bestFit="1" customWidth="1"/>
    <col min="5" max="5" width="11.85546875" bestFit="1" customWidth="1"/>
    <col min="6" max="6" width="17.7109375" bestFit="1" customWidth="1"/>
    <col min="7" max="90" width="10.140625" bestFit="1" customWidth="1"/>
    <col min="91" max="91" width="11" bestFit="1" customWidth="1"/>
    <col min="92" max="337" width="10.140625" bestFit="1" customWidth="1"/>
    <col min="338" max="338" width="11" bestFit="1" customWidth="1"/>
    <col min="339" max="351" width="10.140625" bestFit="1" customWidth="1"/>
    <col min="352" max="352" width="21.140625" bestFit="1" customWidth="1"/>
    <col min="353" max="401" width="10.140625" bestFit="1" customWidth="1"/>
    <col min="402" max="408" width="11" bestFit="1" customWidth="1"/>
    <col min="409" max="451" width="9.28515625" bestFit="1" customWidth="1"/>
  </cols>
  <sheetData>
    <row r="1" spans="1:451" x14ac:dyDescent="0.25">
      <c r="A1" s="1"/>
      <c r="B1" s="1"/>
      <c r="C1" s="1"/>
      <c r="D1" s="1"/>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1"/>
      <c r="OK1" s="1"/>
    </row>
    <row r="2" spans="1:451" x14ac:dyDescent="0.25">
      <c r="A2" s="1"/>
      <c r="B2" s="1"/>
      <c r="C2" s="3"/>
      <c r="D2" s="3"/>
      <c r="E2" s="1"/>
      <c r="F2" s="1"/>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t="s">
        <v>0</v>
      </c>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row>
    <row r="3" spans="1:451" x14ac:dyDescent="0.25">
      <c r="A3" s="1"/>
      <c r="B3" s="1"/>
      <c r="C3" s="3"/>
      <c r="D3" s="3"/>
      <c r="E3" s="1"/>
      <c r="F3" s="1"/>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c r="OB3" s="1"/>
      <c r="OC3" s="1"/>
      <c r="OD3" s="1"/>
      <c r="OE3" s="1"/>
      <c r="OF3" s="1"/>
      <c r="OG3" s="1"/>
      <c r="OH3" s="1"/>
      <c r="OI3" s="1"/>
      <c r="OJ3" s="1"/>
      <c r="OK3" s="1"/>
    </row>
    <row r="4" spans="1:451" x14ac:dyDescent="0.25">
      <c r="A4" s="2" t="str">
        <f>SOP_Heading6</f>
        <v xml:space="preserve"> </v>
      </c>
      <c r="B4" s="2" t="str">
        <f>SOP_Heading5</f>
        <v xml:space="preserve"> </v>
      </c>
      <c r="C4" s="2" t="str">
        <f>SOP_Heading4</f>
        <v xml:space="preserve"> </v>
      </c>
      <c r="D4" s="2" t="str">
        <f>SOP_Heading3</f>
        <v>Product ID</v>
      </c>
      <c r="E4" s="2" t="str">
        <f>SOP_Heading2</f>
        <v>Customer ID</v>
      </c>
      <c r="F4" s="2" t="str">
        <f>SOP_Heading1</f>
        <v>Key Figure</v>
      </c>
      <c r="G4" s="2" t="str">
        <f xml:space="preserve"> _xll.EPMOlapMemberO("[PERIODID0].[].[28695]","","08.03.2021","","000")</f>
        <v>08.03.2021</v>
      </c>
      <c r="H4" s="2" t="str">
        <f xml:space="preserve"> _xll.EPMOlapMemberO("[PERIODID0].[].[28696]","","09.03.2021","","000")</f>
        <v>09.03.2021</v>
      </c>
      <c r="I4" s="2" t="str">
        <f xml:space="preserve"> _xll.EPMOlapMemberO("[PERIODID0].[].[28697]","","10.03.2021","","000")</f>
        <v>10.03.2021</v>
      </c>
      <c r="J4" s="2" t="str">
        <f xml:space="preserve"> _xll.EPMOlapMemberO("[PERIODID0].[].[28698]","","11.03.2021","","000")</f>
        <v>11.03.2021</v>
      </c>
      <c r="K4" s="2" t="str">
        <f xml:space="preserve"> _xll.EPMOlapMemberO("[PERIODID0].[].[28699]","","12.03.2021","","000")</f>
        <v>12.03.2021</v>
      </c>
      <c r="L4" s="2" t="str">
        <f xml:space="preserve"> _xll.EPMOlapMemberO("[PERIODID0].[].[28700]","","13.03.2021","","000")</f>
        <v>13.03.2021</v>
      </c>
      <c r="M4" s="2" t="str">
        <f xml:space="preserve"> _xll.EPMOlapMemberO("[PERIODID0].[].[28701]","","14.03.2021","","000")</f>
        <v>14.03.2021</v>
      </c>
      <c r="N4" s="2" t="str">
        <f xml:space="preserve"> _xll.EPMOlapMemberO("[PERIODID0].[].[28702]","","15.03.2021","","000")</f>
        <v>15.03.2021</v>
      </c>
      <c r="O4" s="2" t="str">
        <f xml:space="preserve"> _xll.EPMOlapMemberO("[PERIODID0].[].[28703]","","16.03.2021","","000")</f>
        <v>16.03.2021</v>
      </c>
      <c r="P4" s="2" t="str">
        <f xml:space="preserve"> _xll.EPMOlapMemberO("[PERIODID0].[].[28704]","","17.03.2021","","000")</f>
        <v>17.03.2021</v>
      </c>
      <c r="Q4" s="2" t="str">
        <f xml:space="preserve"> _xll.EPMOlapMemberO("[PERIODID0].[].[28705]","","18.03.2021","","000")</f>
        <v>18.03.2021</v>
      </c>
      <c r="R4" s="2" t="str">
        <f xml:space="preserve"> _xll.EPMOlapMemberO("[PERIODID0].[].[28706]","","19.03.2021","","000")</f>
        <v>19.03.2021</v>
      </c>
      <c r="S4" s="2" t="str">
        <f xml:space="preserve"> _xll.EPMOlapMemberO("[PERIODID0].[].[28707]","","20.03.2021","","000")</f>
        <v>20.03.2021</v>
      </c>
      <c r="T4" s="2" t="str">
        <f xml:space="preserve"> _xll.EPMOlapMemberO("[PERIODID0].[].[28708]","","21.03.2021","","000")</f>
        <v>21.03.2021</v>
      </c>
      <c r="U4" s="2" t="str">
        <f xml:space="preserve"> _xll.EPMOlapMemberO("[PERIODID0].[].[28709]","","22.03.2021","","000")</f>
        <v>22.03.2021</v>
      </c>
      <c r="V4" s="2" t="str">
        <f xml:space="preserve"> _xll.EPMOlapMemberO("[PERIODID0].[].[28710]","","23.03.2021","","000")</f>
        <v>23.03.2021</v>
      </c>
      <c r="W4" s="2" t="str">
        <f xml:space="preserve"> _xll.EPMOlapMemberO("[PERIODID0].[].[28711]","","24.03.2021","","000")</f>
        <v>24.03.2021</v>
      </c>
      <c r="X4" s="2" t="str">
        <f xml:space="preserve"> _xll.EPMOlapMemberO("[PERIODID0].[].[28712]","","25.03.2021","","000")</f>
        <v>25.03.2021</v>
      </c>
      <c r="Y4" s="2" t="str">
        <f xml:space="preserve"> _xll.EPMOlapMemberO("[PERIODID0].[].[28713]","","26.03.2021","","000")</f>
        <v>26.03.2021</v>
      </c>
      <c r="Z4" s="2" t="str">
        <f xml:space="preserve"> _xll.EPMOlapMemberO("[PERIODID0].[].[28714]","","27.03.2021","","000")</f>
        <v>27.03.2021</v>
      </c>
      <c r="AA4" s="2" t="str">
        <f xml:space="preserve"> _xll.EPMOlapMemberO("[PERIODID0].[].[28715]","","28.03.2021","","000")</f>
        <v>28.03.2021</v>
      </c>
      <c r="AB4" s="2" t="str">
        <f xml:space="preserve"> _xll.EPMOlapMemberO("[PERIODID0].[].[28716]","","29.03.2021","","000")</f>
        <v>29.03.2021</v>
      </c>
      <c r="AC4" s="2" t="str">
        <f xml:space="preserve"> _xll.EPMOlapMemberO("[PERIODID0].[].[28717]","","30.03.2021","","000")</f>
        <v>30.03.2021</v>
      </c>
      <c r="AD4" s="2" t="str">
        <f xml:space="preserve"> _xll.EPMOlapMemberO("[PERIODID0].[].[28718]","","31.03.2021","","000")</f>
        <v>31.03.2021</v>
      </c>
      <c r="AE4" s="2" t="str">
        <f xml:space="preserve"> _xll.EPMOlapMemberO("[PERIODID0].[].[28719]","","01.04.2021","","000")</f>
        <v>01.04.2021</v>
      </c>
      <c r="AF4" s="2" t="str">
        <f xml:space="preserve"> _xll.EPMOlapMemberO("[PERIODID0].[].[28720]","","02.04.2021","","000")</f>
        <v>02.04.2021</v>
      </c>
      <c r="AG4" s="2" t="str">
        <f xml:space="preserve"> _xll.EPMOlapMemberO("[PERIODID0].[].[28721]","","03.04.2021","","000")</f>
        <v>03.04.2021</v>
      </c>
      <c r="AH4" s="2" t="str">
        <f xml:space="preserve"> _xll.EPMOlapMemberO("[PERIODID0].[].[28722]","","04.04.2021","","000")</f>
        <v>04.04.2021</v>
      </c>
      <c r="AI4" s="2" t="str">
        <f xml:space="preserve"> _xll.EPMOlapMemberO("[PERIODID0].[].[28723]","","05.04.2021","","000")</f>
        <v>05.04.2021</v>
      </c>
      <c r="AJ4" s="2" t="str">
        <f xml:space="preserve"> _xll.EPMOlapMemberO("[PERIODID0].[].[28724]","","06.04.2021","","000")</f>
        <v>06.04.2021</v>
      </c>
      <c r="AK4" s="2" t="str">
        <f xml:space="preserve"> _xll.EPMOlapMemberO("[PERIODID0].[].[28725]","","07.04.2021","","000")</f>
        <v>07.04.2021</v>
      </c>
      <c r="AL4" s="2" t="str">
        <f xml:space="preserve"> _xll.EPMOlapMemberO("[PERIODID0].[].[28726]","","08.04.2021","","000")</f>
        <v>08.04.2021</v>
      </c>
      <c r="AM4" s="2" t="str">
        <f xml:space="preserve"> _xll.EPMOlapMemberO("[PERIODID0].[].[28727]","","09.04.2021","","000")</f>
        <v>09.04.2021</v>
      </c>
      <c r="AN4" s="2" t="str">
        <f xml:space="preserve"> _xll.EPMOlapMemberO("[PERIODID0].[].[28728]","","10.04.2021","","000")</f>
        <v>10.04.2021</v>
      </c>
      <c r="AO4" s="2" t="str">
        <f xml:space="preserve"> _xll.EPMOlapMemberO("[PERIODID0].[].[28729]","","11.04.2021","","000")</f>
        <v>11.04.2021</v>
      </c>
      <c r="AP4" s="2" t="str">
        <f xml:space="preserve"> _xll.EPMOlapMemberO("[PERIODID0].[].[28730]","","12.04.2021","","000")</f>
        <v>12.04.2021</v>
      </c>
      <c r="AQ4" s="2" t="str">
        <f xml:space="preserve"> _xll.EPMOlapMemberO("[PERIODID0].[].[28731]","","13.04.2021","","000")</f>
        <v>13.04.2021</v>
      </c>
      <c r="AR4" s="2" t="str">
        <f xml:space="preserve"> _xll.EPMOlapMemberO("[PERIODID0].[].[28732]","","14.04.2021","","000")</f>
        <v>14.04.2021</v>
      </c>
      <c r="AS4" s="2" t="str">
        <f xml:space="preserve"> _xll.EPMOlapMemberO("[PERIODID0].[].[28733]","","15.04.2021","","000")</f>
        <v>15.04.2021</v>
      </c>
      <c r="AT4" s="2" t="str">
        <f xml:space="preserve"> _xll.EPMOlapMemberO("[PERIODID0].[].[28734]","","16.04.2021","","000")</f>
        <v>16.04.2021</v>
      </c>
      <c r="AU4" s="2" t="str">
        <f xml:space="preserve"> _xll.EPMOlapMemberO("[PERIODID0].[].[28735]","","17.04.2021","","000")</f>
        <v>17.04.2021</v>
      </c>
      <c r="AV4" s="2" t="str">
        <f xml:space="preserve"> _xll.EPMOlapMemberO("[PERIODID0].[].[28736]","","18.04.2021","","000")</f>
        <v>18.04.2021</v>
      </c>
      <c r="AW4" s="2" t="str">
        <f xml:space="preserve"> _xll.EPMOlapMemberO("[PERIODID0].[].[28737]","","19.04.2021","","000")</f>
        <v>19.04.2021</v>
      </c>
      <c r="AX4" s="2" t="str">
        <f xml:space="preserve"> _xll.EPMOlapMemberO("[PERIODID0].[].[28738]","","20.04.2021","","000")</f>
        <v>20.04.2021</v>
      </c>
      <c r="AY4" s="2" t="str">
        <f xml:space="preserve"> _xll.EPMOlapMemberO("[PERIODID0].[].[28739]","","21.04.2021","","000")</f>
        <v>21.04.2021</v>
      </c>
      <c r="AZ4" s="2" t="str">
        <f xml:space="preserve"> _xll.EPMOlapMemberO("[PERIODID0].[].[28740]","","22.04.2021","","000")</f>
        <v>22.04.2021</v>
      </c>
      <c r="BA4" s="2" t="str">
        <f xml:space="preserve"> _xll.EPMOlapMemberO("[PERIODID0].[].[28741]","","23.04.2021","","000")</f>
        <v>23.04.2021</v>
      </c>
      <c r="BB4" s="2" t="str">
        <f xml:space="preserve"> _xll.EPMOlapMemberO("[PERIODID0].[].[28742]","","24.04.2021","","000")</f>
        <v>24.04.2021</v>
      </c>
      <c r="BC4" s="2" t="str">
        <f xml:space="preserve"> _xll.EPMOlapMemberO("[PERIODID0].[].[28743]","","25.04.2021","","000")</f>
        <v>25.04.2021</v>
      </c>
      <c r="BD4" s="2" t="str">
        <f xml:space="preserve"> _xll.EPMOlapMemberO("[PERIODID0].[].[28744]","","26.04.2021","","000")</f>
        <v>26.04.2021</v>
      </c>
      <c r="BE4" s="2" t="str">
        <f xml:space="preserve"> _xll.EPMOlapMemberO("[PERIODID0].[].[28745]","","27.04.2021","","000")</f>
        <v>27.04.2021</v>
      </c>
      <c r="BF4" s="2" t="str">
        <f xml:space="preserve"> _xll.EPMOlapMemberO("[PERIODID0].[].[28746]","","28.04.2021","","000")</f>
        <v>28.04.2021</v>
      </c>
      <c r="BG4" s="2" t="str">
        <f xml:space="preserve"> _xll.EPMOlapMemberO("[PERIODID0].[].[28747]","","29.04.2021","","000")</f>
        <v>29.04.2021</v>
      </c>
      <c r="BH4" s="2" t="str">
        <f xml:space="preserve"> _xll.EPMOlapMemberO("[PERIODID0].[].[28748]","","30.04.2021","","000")</f>
        <v>30.04.2021</v>
      </c>
      <c r="BI4" s="2" t="str">
        <f xml:space="preserve"> _xll.EPMOlapMemberO("[PERIODID0].[].[28749]","","01.05.2021","","000")</f>
        <v>01.05.2021</v>
      </c>
      <c r="BJ4" s="2" t="str">
        <f xml:space="preserve"> _xll.EPMOlapMemberO("[PERIODID0].[].[28750]","","02.05.2021","","000")</f>
        <v>02.05.2021</v>
      </c>
      <c r="BK4" s="2" t="str">
        <f xml:space="preserve"> _xll.EPMOlapMemberO("[PERIODID0].[].[28751]","","03.05.2021","","000")</f>
        <v>03.05.2021</v>
      </c>
      <c r="BL4" s="2" t="str">
        <f xml:space="preserve"> _xll.EPMOlapMemberO("[PERIODID0].[].[28752]","","04.05.2021","","000")</f>
        <v>04.05.2021</v>
      </c>
      <c r="BM4" s="2" t="str">
        <f xml:space="preserve"> _xll.EPMOlapMemberO("[PERIODID0].[].[28753]","","05.05.2021","","000")</f>
        <v>05.05.2021</v>
      </c>
      <c r="BN4" s="2" t="str">
        <f xml:space="preserve"> _xll.EPMOlapMemberO("[PERIODID0].[].[28754]","","06.05.2021","","000")</f>
        <v>06.05.2021</v>
      </c>
      <c r="BO4" s="2" t="str">
        <f xml:space="preserve"> _xll.EPMOlapMemberO("[PERIODID0].[].[28755]","","07.05.2021","","000")</f>
        <v>07.05.2021</v>
      </c>
      <c r="BP4" s="2" t="str">
        <f xml:space="preserve"> _xll.EPMOlapMemberO("[PERIODID0].[].[28756]","","08.05.2021","","000")</f>
        <v>08.05.2021</v>
      </c>
      <c r="BQ4" s="2" t="str">
        <f xml:space="preserve"> _xll.EPMOlapMemberO("[PERIODID0].[].[28757]","","09.05.2021","","000")</f>
        <v>09.05.2021</v>
      </c>
      <c r="BR4" s="2" t="str">
        <f xml:space="preserve"> _xll.EPMOlapMemberO("[PERIODID0].[].[28758]","","10.05.2021","","000")</f>
        <v>10.05.2021</v>
      </c>
      <c r="BS4" s="2" t="str">
        <f xml:space="preserve"> _xll.EPMOlapMemberO("[PERIODID0].[].[28759]","","11.05.2021","","000")</f>
        <v>11.05.2021</v>
      </c>
      <c r="BT4" s="2" t="str">
        <f xml:space="preserve"> _xll.EPMOlapMemberO("[PERIODID0].[].[28760]","","12.05.2021","","000")</f>
        <v>12.05.2021</v>
      </c>
      <c r="BU4" s="2" t="str">
        <f xml:space="preserve"> _xll.EPMOlapMemberO("[PERIODID0].[].[28761]","","13.05.2021","","000")</f>
        <v>13.05.2021</v>
      </c>
      <c r="BV4" s="2" t="str">
        <f xml:space="preserve"> _xll.EPMOlapMemberO("[PERIODID0].[].[28762]","","14.05.2021","","000")</f>
        <v>14.05.2021</v>
      </c>
      <c r="BW4" s="2" t="str">
        <f xml:space="preserve"> _xll.EPMOlapMemberO("[PERIODID0].[].[28763]","","15.05.2021","","000")</f>
        <v>15.05.2021</v>
      </c>
      <c r="BX4" s="2" t="str">
        <f xml:space="preserve"> _xll.EPMOlapMemberO("[PERIODID0].[].[28764]","","16.05.2021","","000")</f>
        <v>16.05.2021</v>
      </c>
      <c r="BY4" s="2" t="str">
        <f xml:space="preserve"> _xll.EPMOlapMemberO("[PERIODID0].[].[28765]","","17.05.2021","","000")</f>
        <v>17.05.2021</v>
      </c>
      <c r="BZ4" s="2" t="str">
        <f xml:space="preserve"> _xll.EPMOlapMemberO("[PERIODID0].[].[28766]","","18.05.2021","","000")</f>
        <v>18.05.2021</v>
      </c>
      <c r="CA4" s="2" t="str">
        <f xml:space="preserve"> _xll.EPMOlapMemberO("[PERIODID0].[].[28767]","","19.05.2021","","000")</f>
        <v>19.05.2021</v>
      </c>
      <c r="CB4" s="2" t="str">
        <f xml:space="preserve"> _xll.EPMOlapMemberO("[PERIODID0].[].[28768]","","20.05.2021","","000")</f>
        <v>20.05.2021</v>
      </c>
      <c r="CC4" s="2" t="str">
        <f xml:space="preserve"> _xll.EPMOlapMemberO("[PERIODID0].[].[28769]","","21.05.2021","","000")</f>
        <v>21.05.2021</v>
      </c>
      <c r="CD4" s="2" t="str">
        <f xml:space="preserve"> _xll.EPMOlapMemberO("[PERIODID0].[].[28770]","","22.05.2021","","000")</f>
        <v>22.05.2021</v>
      </c>
      <c r="CE4" s="2" t="str">
        <f xml:space="preserve"> _xll.EPMOlapMemberO("[PERIODID0].[].[28771]","","23.05.2021","","000")</f>
        <v>23.05.2021</v>
      </c>
      <c r="CF4" s="2" t="str">
        <f xml:space="preserve"> _xll.EPMOlapMemberO("[PERIODID0].[].[28772]","","24.05.2021","","000")</f>
        <v>24.05.2021</v>
      </c>
      <c r="CG4" s="2" t="str">
        <f xml:space="preserve"> _xll.EPMOlapMemberO("[PERIODID0].[].[28773]","","25.05.2021","","000")</f>
        <v>25.05.2021</v>
      </c>
      <c r="CH4" s="2" t="str">
        <f xml:space="preserve"> _xll.EPMOlapMemberO("[PERIODID0].[].[28774]","","26.05.2021","","000")</f>
        <v>26.05.2021</v>
      </c>
      <c r="CI4" s="2" t="str">
        <f xml:space="preserve"> _xll.EPMOlapMemberO("[PERIODID0].[].[28775]","","27.05.2021","","000")</f>
        <v>27.05.2021</v>
      </c>
      <c r="CJ4" s="2" t="str">
        <f xml:space="preserve"> _xll.EPMOlapMemberO("[PERIODID0].[].[28776]","","28.05.2021","","000")</f>
        <v>28.05.2021</v>
      </c>
      <c r="CK4" s="2" t="str">
        <f xml:space="preserve"> _xll.EPMOlapMemberO("[PERIODID0].[].[28777]","","29.05.2021","","000")</f>
        <v>29.05.2021</v>
      </c>
      <c r="CL4" s="2" t="str">
        <f xml:space="preserve"> _xll.EPMOlapMemberO("[PERIODID0].[].[28778]","","30.05.2021","","000")</f>
        <v>30.05.2021</v>
      </c>
      <c r="CM4" s="2" t="str">
        <f xml:space="preserve"> _xll.EPMOlapMemberO("[PERIODID0].[].[28779]","","31.05.2021","","000")</f>
        <v>31.05.2021</v>
      </c>
      <c r="CN4" s="2" t="str">
        <f xml:space="preserve"> _xll.EPMOlapMemberO("[PERIODID0].[].[28780]","","01.06.2021","","000")</f>
        <v>01.06.2021</v>
      </c>
      <c r="CO4" s="2" t="str">
        <f xml:space="preserve"> _xll.EPMOlapMemberO("[PERIODID0].[].[28781]","","02.06.2021","","000")</f>
        <v>02.06.2021</v>
      </c>
      <c r="CP4" s="2" t="str">
        <f xml:space="preserve"> _xll.EPMOlapMemberO("[PERIODID0].[].[28782]","","03.06.2021","","000")</f>
        <v>03.06.2021</v>
      </c>
      <c r="CQ4" s="2" t="str">
        <f xml:space="preserve"> _xll.EPMOlapMemberO("[PERIODID0].[].[28783]","","04.06.2021","","000")</f>
        <v>04.06.2021</v>
      </c>
      <c r="CR4" s="2" t="str">
        <f xml:space="preserve"> _xll.EPMOlapMemberO("[PERIODID0].[].[28784]","","05.06.2021","","000")</f>
        <v>05.06.2021</v>
      </c>
      <c r="CS4" s="2" t="str">
        <f xml:space="preserve"> _xll.EPMOlapMemberO("[PERIODID0].[].[28785]","","06.06.2021","","000")</f>
        <v>06.06.2021</v>
      </c>
      <c r="CT4" s="2" t="str">
        <f xml:space="preserve"> _xll.EPMOlapMemberO("[PERIODID0].[].[28786]","","07.06.2021","","000")</f>
        <v>07.06.2021</v>
      </c>
      <c r="CU4" s="2" t="str">
        <f xml:space="preserve"> _xll.EPMOlapMemberO("[PERIODID0].[].[28787]","","08.06.2021","","000")</f>
        <v>08.06.2021</v>
      </c>
      <c r="CV4" s="2" t="str">
        <f xml:space="preserve"> _xll.EPMOlapMemberO("[PERIODID0].[].[28788]","","09.06.2021","","000")</f>
        <v>09.06.2021</v>
      </c>
      <c r="CW4" s="2" t="str">
        <f xml:space="preserve"> _xll.EPMOlapMemberO("[PERIODID0].[].[28789]","","10.06.2021","","000")</f>
        <v>10.06.2021</v>
      </c>
      <c r="CX4" s="2" t="str">
        <f xml:space="preserve"> _xll.EPMOlapMemberO("[PERIODID0].[].[28790]","","11.06.2021","","000")</f>
        <v>11.06.2021</v>
      </c>
      <c r="CY4" s="2" t="str">
        <f xml:space="preserve"> _xll.EPMOlapMemberO("[PERIODID0].[].[28791]","","12.06.2021","","000")</f>
        <v>12.06.2021</v>
      </c>
      <c r="CZ4" s="2" t="str">
        <f xml:space="preserve"> _xll.EPMOlapMemberO("[PERIODID0].[].[28792]","","13.06.2021","","000")</f>
        <v>13.06.2021</v>
      </c>
      <c r="DA4" s="2" t="str">
        <f xml:space="preserve"> _xll.EPMOlapMemberO("[PERIODID0].[].[28793]","","14.06.2021","","000")</f>
        <v>14.06.2021</v>
      </c>
      <c r="DB4" s="2" t="str">
        <f xml:space="preserve"> _xll.EPMOlapMemberO("[PERIODID0].[].[28794]","","15.06.2021","","000")</f>
        <v>15.06.2021</v>
      </c>
      <c r="DC4" s="2" t="str">
        <f xml:space="preserve"> _xll.EPMOlapMemberO("[PERIODID0].[].[28795]","","16.06.2021","","000")</f>
        <v>16.06.2021</v>
      </c>
      <c r="DD4" s="2" t="str">
        <f xml:space="preserve"> _xll.EPMOlapMemberO("[PERIODID0].[].[28796]","","17.06.2021","","000")</f>
        <v>17.06.2021</v>
      </c>
      <c r="DE4" s="2" t="str">
        <f xml:space="preserve"> _xll.EPMOlapMemberO("[PERIODID0].[].[28797]","","18.06.2021","","000")</f>
        <v>18.06.2021</v>
      </c>
      <c r="DF4" s="2" t="str">
        <f xml:space="preserve"> _xll.EPMOlapMemberO("[PERIODID0].[].[28798]","","19.06.2021","","000")</f>
        <v>19.06.2021</v>
      </c>
      <c r="DG4" s="2" t="str">
        <f xml:space="preserve"> _xll.EPMOlapMemberO("[PERIODID0].[].[28799]","","20.06.2021","","000")</f>
        <v>20.06.2021</v>
      </c>
      <c r="DH4" s="2" t="str">
        <f xml:space="preserve"> _xll.EPMOlapMemberO("[PERIODID0].[].[28800]","","21.06.2021","","000")</f>
        <v>21.06.2021</v>
      </c>
      <c r="DI4" s="2" t="str">
        <f xml:space="preserve"> _xll.EPMOlapMemberO("[PERIODID0].[].[28801]","","22.06.2021","","000")</f>
        <v>22.06.2021</v>
      </c>
      <c r="DJ4" s="2" t="str">
        <f xml:space="preserve"> _xll.EPMOlapMemberO("[PERIODID0].[].[28802]","","23.06.2021","","000")</f>
        <v>23.06.2021</v>
      </c>
      <c r="DK4" s="2" t="str">
        <f xml:space="preserve"> _xll.EPMOlapMemberO("[PERIODID0].[].[28803]","","24.06.2021","","000")</f>
        <v>24.06.2021</v>
      </c>
      <c r="DL4" s="2" t="str">
        <f xml:space="preserve"> _xll.EPMOlapMemberO("[PERIODID0].[].[28804]","","25.06.2021","","000")</f>
        <v>25.06.2021</v>
      </c>
      <c r="DM4" s="2" t="str">
        <f xml:space="preserve"> _xll.EPMOlapMemberO("[PERIODID0].[].[28805]","","26.06.2021","","000")</f>
        <v>26.06.2021</v>
      </c>
      <c r="DN4" s="2" t="str">
        <f xml:space="preserve"> _xll.EPMOlapMemberO("[PERIODID0].[].[28806]","","27.06.2021","","000")</f>
        <v>27.06.2021</v>
      </c>
      <c r="DO4" s="2" t="str">
        <f xml:space="preserve"> _xll.EPMOlapMemberO("[PERIODID0].[].[28807]","","28.06.2021","","000")</f>
        <v>28.06.2021</v>
      </c>
      <c r="DP4" s="2" t="str">
        <f xml:space="preserve"> _xll.EPMOlapMemberO("[PERIODID0].[].[28808]","","29.06.2021","","000")</f>
        <v>29.06.2021</v>
      </c>
      <c r="DQ4" s="2" t="str">
        <f xml:space="preserve"> _xll.EPMOlapMemberO("[PERIODID0].[].[28809]","","30.06.2021","","000")</f>
        <v>30.06.2021</v>
      </c>
      <c r="DR4" s="2" t="str">
        <f xml:space="preserve"> _xll.EPMOlapMemberO("[PERIODID0].[].[28810]","","01.07.2021","","000")</f>
        <v>01.07.2021</v>
      </c>
      <c r="DS4" s="2" t="str">
        <f xml:space="preserve"> _xll.EPMOlapMemberO("[PERIODID0].[].[28811]","","02.07.2021","","000")</f>
        <v>02.07.2021</v>
      </c>
      <c r="DT4" s="2" t="str">
        <f xml:space="preserve"> _xll.EPMOlapMemberO("[PERIODID0].[].[28812]","","03.07.2021","","000")</f>
        <v>03.07.2021</v>
      </c>
      <c r="DU4" s="2" t="str">
        <f xml:space="preserve"> _xll.EPMOlapMemberO("[PERIODID0].[].[28813]","","04.07.2021","","000")</f>
        <v>04.07.2021</v>
      </c>
      <c r="DV4" s="2" t="str">
        <f xml:space="preserve"> _xll.EPMOlapMemberO("[PERIODID0].[].[28814]","","05.07.2021","","000")</f>
        <v>05.07.2021</v>
      </c>
      <c r="DW4" s="2" t="str">
        <f xml:space="preserve"> _xll.EPMOlapMemberO("[PERIODID0].[].[28815]","","06.07.2021","","000")</f>
        <v>06.07.2021</v>
      </c>
      <c r="DX4" s="2" t="str">
        <f xml:space="preserve"> _xll.EPMOlapMemberO("[PERIODID0].[].[28816]","","07.07.2021","","000")</f>
        <v>07.07.2021</v>
      </c>
      <c r="DY4" s="2" t="str">
        <f xml:space="preserve"> _xll.EPMOlapMemberO("[PERIODID0].[].[28817]","","08.07.2021","","000")</f>
        <v>08.07.2021</v>
      </c>
      <c r="DZ4" s="2" t="str">
        <f xml:space="preserve"> _xll.EPMOlapMemberO("[PERIODID0].[].[28818]","","09.07.2021","","000")</f>
        <v>09.07.2021</v>
      </c>
      <c r="EA4" s="2" t="str">
        <f xml:space="preserve"> _xll.EPMOlapMemberO("[PERIODID0].[].[28819]","","10.07.2021","","000")</f>
        <v>10.07.2021</v>
      </c>
      <c r="EB4" s="2" t="str">
        <f xml:space="preserve"> _xll.EPMOlapMemberO("[PERIODID0].[].[28820]","","11.07.2021","","000")</f>
        <v>11.07.2021</v>
      </c>
      <c r="EC4" s="2" t="str">
        <f xml:space="preserve"> _xll.EPMOlapMemberO("[PERIODID0].[].[28821]","","12.07.2021","","000")</f>
        <v>12.07.2021</v>
      </c>
      <c r="ED4" s="2" t="str">
        <f xml:space="preserve"> _xll.EPMOlapMemberO("[PERIODID0].[].[28822]","","13.07.2021","","000")</f>
        <v>13.07.2021</v>
      </c>
      <c r="EE4" s="2" t="str">
        <f xml:space="preserve"> _xll.EPMOlapMemberO("[PERIODID0].[].[28823]","","14.07.2021","","000")</f>
        <v>14.07.2021</v>
      </c>
      <c r="EF4" s="2" t="str">
        <f xml:space="preserve"> _xll.EPMOlapMemberO("[PERIODID0].[].[28824]","","15.07.2021","","000")</f>
        <v>15.07.2021</v>
      </c>
      <c r="EG4" s="2" t="str">
        <f xml:space="preserve"> _xll.EPMOlapMemberO("[PERIODID0].[].[28825]","","16.07.2021","","000")</f>
        <v>16.07.2021</v>
      </c>
      <c r="EH4" s="2" t="str">
        <f xml:space="preserve"> _xll.EPMOlapMemberO("[PERIODID0].[].[28826]","","17.07.2021","","000")</f>
        <v>17.07.2021</v>
      </c>
      <c r="EI4" s="2" t="str">
        <f xml:space="preserve"> _xll.EPMOlapMemberO("[PERIODID0].[].[28827]","","18.07.2021","","000")</f>
        <v>18.07.2021</v>
      </c>
      <c r="EJ4" s="2" t="str">
        <f xml:space="preserve"> _xll.EPMOlapMemberO("[PERIODID0].[].[28828]","","19.07.2021","","000")</f>
        <v>19.07.2021</v>
      </c>
      <c r="EK4" s="2" t="str">
        <f xml:space="preserve"> _xll.EPMOlapMemberO("[PERIODID0].[].[28829]","","20.07.2021","","000")</f>
        <v>20.07.2021</v>
      </c>
      <c r="EL4" s="2" t="str">
        <f xml:space="preserve"> _xll.EPMOlapMemberO("[PERIODID0].[].[28830]","","21.07.2021","","000")</f>
        <v>21.07.2021</v>
      </c>
      <c r="EM4" s="2" t="str">
        <f xml:space="preserve"> _xll.EPMOlapMemberO("[PERIODID0].[].[28831]","","22.07.2021","","000")</f>
        <v>22.07.2021</v>
      </c>
      <c r="EN4" s="2" t="str">
        <f xml:space="preserve"> _xll.EPMOlapMemberO("[PERIODID0].[].[28832]","","23.07.2021","","000")</f>
        <v>23.07.2021</v>
      </c>
      <c r="EO4" s="2" t="str">
        <f xml:space="preserve"> _xll.EPMOlapMemberO("[PERIODID0].[].[28833]","","24.07.2021","","000")</f>
        <v>24.07.2021</v>
      </c>
      <c r="EP4" s="2" t="str">
        <f xml:space="preserve"> _xll.EPMOlapMemberO("[PERIODID0].[].[28834]","","25.07.2021","","000")</f>
        <v>25.07.2021</v>
      </c>
      <c r="EQ4" s="2" t="str">
        <f xml:space="preserve"> _xll.EPMOlapMemberO("[PERIODID0].[].[28835]","","26.07.2021","","000")</f>
        <v>26.07.2021</v>
      </c>
      <c r="ER4" s="2" t="str">
        <f xml:space="preserve"> _xll.EPMOlapMemberO("[PERIODID0].[].[28836]","","27.07.2021","","000")</f>
        <v>27.07.2021</v>
      </c>
      <c r="ES4" s="2" t="str">
        <f xml:space="preserve"> _xll.EPMOlapMemberO("[PERIODID0].[].[28837]","","28.07.2021","","000")</f>
        <v>28.07.2021</v>
      </c>
      <c r="ET4" s="2" t="str">
        <f xml:space="preserve"> _xll.EPMOlapMemberO("[PERIODID0].[].[28838]","","29.07.2021","","000")</f>
        <v>29.07.2021</v>
      </c>
      <c r="EU4" s="2" t="str">
        <f xml:space="preserve"> _xll.EPMOlapMemberO("[PERIODID0].[].[28839]","","30.07.2021","","000")</f>
        <v>30.07.2021</v>
      </c>
      <c r="EV4" s="2" t="str">
        <f xml:space="preserve"> _xll.EPMOlapMemberO("[PERIODID0].[].[28840]","","31.07.2021","","000")</f>
        <v>31.07.2021</v>
      </c>
      <c r="EW4" s="2" t="str">
        <f xml:space="preserve"> _xll.EPMOlapMemberO("[PERIODID0].[].[28841]","","01.08.2021","","000")</f>
        <v>01.08.2021</v>
      </c>
      <c r="EX4" s="2" t="str">
        <f xml:space="preserve"> _xll.EPMOlapMemberO("[PERIODID0].[].[28842]","","02.08.2021","","000")</f>
        <v>02.08.2021</v>
      </c>
      <c r="EY4" s="2" t="str">
        <f xml:space="preserve"> _xll.EPMOlapMemberO("[PERIODID0].[].[28843]","","03.08.2021","","000")</f>
        <v>03.08.2021</v>
      </c>
      <c r="EZ4" s="2" t="str">
        <f xml:space="preserve"> _xll.EPMOlapMemberO("[PERIODID0].[].[28844]","","04.08.2021","","000")</f>
        <v>04.08.2021</v>
      </c>
      <c r="FA4" s="2" t="str">
        <f xml:space="preserve"> _xll.EPMOlapMemberO("[PERIODID0].[].[28845]","","05.08.2021","","000")</f>
        <v>05.08.2021</v>
      </c>
      <c r="FB4" s="2" t="str">
        <f xml:space="preserve"> _xll.EPMOlapMemberO("[PERIODID0].[].[28846]","","06.08.2021","","000")</f>
        <v>06.08.2021</v>
      </c>
      <c r="FC4" s="2" t="str">
        <f xml:space="preserve"> _xll.EPMOlapMemberO("[PERIODID0].[].[28847]","","07.08.2021","","000")</f>
        <v>07.08.2021</v>
      </c>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c r="LW4" s="2"/>
      <c r="LX4" s="2"/>
      <c r="LY4" s="2"/>
      <c r="LZ4" s="2"/>
      <c r="MA4" s="2"/>
      <c r="MB4" s="2"/>
      <c r="MC4" s="2"/>
      <c r="MD4" s="2"/>
      <c r="ME4" s="2"/>
      <c r="MF4" s="2"/>
      <c r="MG4" s="2"/>
      <c r="MH4" s="2"/>
      <c r="MI4" s="2"/>
      <c r="MJ4" s="2"/>
      <c r="MK4" s="2"/>
      <c r="ML4" s="2"/>
      <c r="MM4" s="2"/>
      <c r="MN4" s="2"/>
      <c r="MO4" s="2"/>
      <c r="MP4" s="2"/>
      <c r="MQ4" s="2"/>
      <c r="MR4" s="2"/>
      <c r="MS4" s="2"/>
      <c r="MT4" s="2"/>
      <c r="MU4" s="2"/>
      <c r="MV4" s="2"/>
      <c r="MW4" s="2"/>
      <c r="MX4" s="2"/>
      <c r="MY4" s="2"/>
      <c r="MZ4" s="2"/>
      <c r="NA4" s="2"/>
      <c r="NB4" s="2"/>
      <c r="NC4" s="2"/>
      <c r="ND4" s="2"/>
      <c r="NE4" s="2"/>
      <c r="NF4" s="2"/>
      <c r="NG4" s="2"/>
      <c r="NH4" s="2"/>
      <c r="NI4" s="2"/>
      <c r="NJ4" s="2"/>
      <c r="NK4" s="2"/>
      <c r="NL4" s="2"/>
      <c r="NM4" s="2"/>
      <c r="NN4" s="2"/>
      <c r="NO4" s="2"/>
      <c r="NP4" s="2"/>
      <c r="NQ4" s="2"/>
      <c r="NR4" s="2"/>
      <c r="NS4" s="2"/>
      <c r="NT4" s="2"/>
      <c r="NU4" s="2"/>
      <c r="NV4" s="2"/>
      <c r="NW4" s="2"/>
      <c r="NX4" s="2"/>
      <c r="NY4" s="2"/>
      <c r="NZ4" s="2"/>
      <c r="OA4" s="2"/>
      <c r="OB4" s="2"/>
      <c r="OC4" s="2"/>
      <c r="OD4" s="2"/>
      <c r="OE4" s="2"/>
      <c r="OF4" s="2"/>
      <c r="OG4" s="2"/>
      <c r="OH4" s="2"/>
      <c r="OI4" s="2"/>
      <c r="OJ4" s="2"/>
      <c r="OK4" s="2"/>
      <c r="OL4" s="5"/>
      <c r="OM4" s="5"/>
      <c r="ON4" s="5"/>
      <c r="OO4" s="5"/>
      <c r="OP4" s="5"/>
      <c r="OQ4" s="5"/>
      <c r="OR4" s="5"/>
      <c r="OS4" s="5"/>
      <c r="OT4" s="5"/>
      <c r="OU4" s="5"/>
      <c r="OV4" s="5"/>
      <c r="OW4" s="5"/>
      <c r="OX4" s="5"/>
      <c r="OY4" s="5"/>
      <c r="OZ4" s="5"/>
      <c r="PA4" s="5"/>
      <c r="PB4" s="5"/>
      <c r="PC4" s="5"/>
      <c r="PD4" s="5"/>
      <c r="PE4" s="5"/>
      <c r="PF4" s="5"/>
      <c r="PG4" s="5"/>
      <c r="PH4" s="5"/>
      <c r="PI4" s="5"/>
      <c r="PJ4" s="5"/>
      <c r="PK4" s="5"/>
      <c r="PL4" s="5"/>
      <c r="PM4" s="5"/>
      <c r="PN4" s="5"/>
      <c r="PO4" s="5"/>
      <c r="PP4" s="5"/>
      <c r="PQ4" s="5"/>
      <c r="PR4" s="5"/>
      <c r="PS4" s="5"/>
      <c r="PT4" s="5"/>
      <c r="PU4" s="5"/>
      <c r="PV4" s="5"/>
      <c r="PW4" s="5"/>
      <c r="PX4" s="5"/>
      <c r="PY4" s="5"/>
      <c r="PZ4" s="5"/>
      <c r="QA4" s="5"/>
      <c r="QB4" s="5"/>
      <c r="QC4" s="5"/>
      <c r="QD4" s="5"/>
      <c r="QE4" s="5"/>
      <c r="QF4" s="5"/>
      <c r="QG4" s="5"/>
      <c r="QH4" s="5"/>
      <c r="QI4" s="5"/>
    </row>
    <row r="5" spans="1:451" x14ac:dyDescent="0.25">
      <c r="A5" s="1"/>
      <c r="B5" s="1"/>
      <c r="C5" s="3"/>
      <c r="D5" s="3" t="str">
        <f xml:space="preserve"> _xll.EPMOlapMemberO("[PRDID].[].[IBP-100]","","IBP-100","","000")</f>
        <v>IBP-100</v>
      </c>
      <c r="E5" s="3" t="str">
        <f xml:space="preserve"> _xll.EPMOlapMemberO("[CUSTID].[].[CUST A]","","Customer A","","000")</f>
        <v>Customer A</v>
      </c>
      <c r="F5" s="3" t="str">
        <f xml:space="preserve"> _xll.EPMOlapMemberO("[KEY_FIGURES].[].[CONSENSUSDEMAND]","","Customer Demand","","000")</f>
        <v>Customer Demand</v>
      </c>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v>15.654044000000001</v>
      </c>
      <c r="CJ5" s="4">
        <v>52.663547000000001</v>
      </c>
      <c r="CK5" s="4">
        <v>96.948644999999999</v>
      </c>
      <c r="CL5" s="4">
        <v>3.7709359999999998</v>
      </c>
      <c r="CM5" s="4">
        <v>330.962828</v>
      </c>
      <c r="CN5" s="4">
        <v>0.51881500000000003</v>
      </c>
      <c r="CO5" s="4">
        <v>86.586230999999998</v>
      </c>
      <c r="CP5" s="4">
        <v>56.219382000000003</v>
      </c>
      <c r="CQ5" s="4">
        <v>46.401300999999997</v>
      </c>
      <c r="CR5" s="4">
        <v>74.006718000000006</v>
      </c>
      <c r="CS5" s="4">
        <v>43.913646</v>
      </c>
      <c r="CT5" s="4">
        <v>46.411093000000001</v>
      </c>
      <c r="CU5" s="4">
        <v>66.115104000000002</v>
      </c>
      <c r="CV5" s="4">
        <v>73.340512000000004</v>
      </c>
      <c r="CW5" s="4">
        <v>49.919263000000001</v>
      </c>
      <c r="CX5" s="4">
        <v>29.775216</v>
      </c>
      <c r="CY5" s="4">
        <v>66.381474999999995</v>
      </c>
      <c r="CZ5" s="4">
        <v>9.6579689999999996</v>
      </c>
      <c r="DA5" s="4">
        <v>91.393929999999997</v>
      </c>
      <c r="DB5" s="4">
        <v>81.863364000000004</v>
      </c>
      <c r="DC5" s="4">
        <v>34.638162999999999</v>
      </c>
      <c r="DD5" s="4">
        <v>57.062894999999997</v>
      </c>
      <c r="DE5" s="4">
        <v>73.884043000000005</v>
      </c>
      <c r="DF5" s="4">
        <v>67.039333999999997</v>
      </c>
      <c r="DG5" s="4">
        <v>3.2558539999999998</v>
      </c>
      <c r="DH5" s="4">
        <v>54.991720000000001</v>
      </c>
      <c r="DI5" s="4">
        <v>51.166232999999998</v>
      </c>
      <c r="DJ5" s="4">
        <v>57.460450999999999</v>
      </c>
      <c r="DK5" s="4">
        <v>7.8394880000000002</v>
      </c>
      <c r="DL5" s="4">
        <v>38.469445</v>
      </c>
      <c r="DM5" s="4">
        <v>5.1942430000000002</v>
      </c>
      <c r="DN5" s="4">
        <v>93.780704999999998</v>
      </c>
      <c r="DO5" s="4">
        <v>8.762931</v>
      </c>
      <c r="DP5" s="4">
        <v>33.269880999999998</v>
      </c>
      <c r="DQ5" s="4">
        <v>2.2606220000000001</v>
      </c>
      <c r="DR5" s="4">
        <v>71.467622000000006</v>
      </c>
      <c r="DS5" s="4">
        <v>3.3881579999999998</v>
      </c>
      <c r="DT5" s="4">
        <v>75.858565999999996</v>
      </c>
      <c r="DU5" s="4">
        <v>62.495584000000001</v>
      </c>
      <c r="DV5" s="4">
        <v>3.8808389999999999</v>
      </c>
      <c r="DW5" s="4">
        <v>25.462734999999999</v>
      </c>
      <c r="DX5" s="4">
        <v>52.883837</v>
      </c>
      <c r="DY5" s="4">
        <v>22.520567</v>
      </c>
      <c r="DZ5" s="4">
        <v>51.652845999999997</v>
      </c>
      <c r="EA5" s="4">
        <v>94.903758999999994</v>
      </c>
      <c r="EB5" s="4">
        <v>50.510528999999998</v>
      </c>
      <c r="EC5" s="4">
        <v>69.517313999999999</v>
      </c>
      <c r="ED5" s="4">
        <v>12.535322000000001</v>
      </c>
      <c r="EE5" s="4">
        <v>76.750429999999994</v>
      </c>
      <c r="EF5" s="4">
        <v>100</v>
      </c>
      <c r="EG5" s="4">
        <v>43</v>
      </c>
      <c r="EH5" s="4">
        <v>44</v>
      </c>
      <c r="EI5" s="4">
        <v>15.545209</v>
      </c>
      <c r="EJ5" s="4">
        <v>5.6890289999999997</v>
      </c>
      <c r="EK5" s="4">
        <v>5.0274330000000003</v>
      </c>
      <c r="EL5" s="4">
        <v>27.498237</v>
      </c>
      <c r="EM5" s="4">
        <v>12.533916</v>
      </c>
      <c r="EN5" s="4">
        <v>55.097185000000003</v>
      </c>
      <c r="EO5" s="4">
        <v>83.904681999999994</v>
      </c>
      <c r="EP5" s="4">
        <v>55.727986000000001</v>
      </c>
      <c r="EQ5" s="4">
        <v>22.330062000000002</v>
      </c>
      <c r="ER5" s="4">
        <v>58.946983000000003</v>
      </c>
      <c r="ES5" s="4">
        <v>33.222875000000002</v>
      </c>
      <c r="ET5" s="4">
        <v>65.640292000000002</v>
      </c>
      <c r="EU5" s="4">
        <v>10.545674999999999</v>
      </c>
      <c r="EV5" s="4">
        <v>15.032798</v>
      </c>
      <c r="EW5" s="4">
        <v>76.411435999999995</v>
      </c>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c r="IL5" s="4"/>
      <c r="IM5" s="4"/>
      <c r="IN5" s="4"/>
      <c r="IO5" s="4"/>
      <c r="IP5" s="4"/>
      <c r="IQ5" s="4"/>
      <c r="IR5" s="4"/>
      <c r="IS5" s="4"/>
      <c r="IT5" s="4"/>
      <c r="IU5" s="4"/>
      <c r="IV5" s="4"/>
      <c r="IW5" s="4"/>
      <c r="IX5" s="4"/>
      <c r="IY5" s="4"/>
      <c r="IZ5" s="4"/>
      <c r="JA5" s="4"/>
      <c r="JB5" s="4"/>
      <c r="JC5" s="4"/>
      <c r="JD5" s="4"/>
      <c r="JE5" s="4"/>
      <c r="JF5" s="4"/>
      <c r="JG5" s="4"/>
      <c r="JH5" s="4"/>
      <c r="JI5" s="4"/>
      <c r="JJ5" s="4"/>
      <c r="JK5" s="4"/>
      <c r="JL5" s="4"/>
      <c r="JM5" s="4"/>
      <c r="JN5" s="4"/>
      <c r="JO5" s="4"/>
      <c r="JP5" s="4"/>
      <c r="JQ5" s="4"/>
      <c r="JR5" s="4"/>
      <c r="JS5" s="4"/>
      <c r="JT5" s="4"/>
      <c r="JU5" s="4"/>
      <c r="JV5" s="4"/>
      <c r="JW5" s="4"/>
      <c r="JX5" s="4"/>
      <c r="JY5" s="4"/>
      <c r="JZ5" s="4"/>
      <c r="KA5" s="4"/>
      <c r="KB5" s="4"/>
      <c r="KC5" s="4"/>
      <c r="KD5" s="4"/>
      <c r="KE5" s="4"/>
      <c r="KF5" s="4"/>
      <c r="KG5" s="4"/>
      <c r="KH5" s="4"/>
      <c r="KI5" s="4"/>
      <c r="KJ5" s="4"/>
      <c r="KK5" s="4"/>
      <c r="KL5" s="4"/>
      <c r="KM5" s="4"/>
      <c r="KN5" s="4"/>
      <c r="KO5" s="4"/>
      <c r="KP5" s="4"/>
      <c r="KQ5" s="4"/>
      <c r="KR5" s="4"/>
      <c r="KS5" s="4"/>
      <c r="KT5" s="4"/>
      <c r="KU5" s="4"/>
      <c r="KV5" s="4"/>
      <c r="KW5" s="4"/>
      <c r="KX5" s="4"/>
      <c r="KY5" s="4"/>
      <c r="KZ5" s="4"/>
      <c r="LA5" s="4"/>
      <c r="LB5" s="4"/>
      <c r="LC5" s="4"/>
      <c r="LD5" s="4"/>
      <c r="LE5" s="4"/>
      <c r="LF5" s="4"/>
      <c r="LG5" s="4"/>
      <c r="LH5" s="4"/>
      <c r="LI5" s="4"/>
      <c r="LJ5" s="4"/>
      <c r="LK5" s="4"/>
      <c r="LL5" s="4"/>
      <c r="LM5" s="4"/>
      <c r="LN5" s="4"/>
      <c r="LO5" s="4"/>
      <c r="LP5" s="4"/>
      <c r="LQ5" s="4"/>
      <c r="LR5" s="4"/>
      <c r="LS5" s="4"/>
      <c r="LT5" s="4"/>
      <c r="LU5" s="4"/>
      <c r="LV5" s="4"/>
      <c r="LW5" s="4"/>
      <c r="LX5" s="4"/>
      <c r="LY5" s="4"/>
      <c r="LZ5" s="4"/>
      <c r="MA5" s="4"/>
      <c r="MB5" s="4"/>
      <c r="MC5" s="4"/>
      <c r="MD5" s="4"/>
      <c r="ME5" s="4"/>
      <c r="MF5" s="4"/>
      <c r="MG5" s="4"/>
      <c r="MH5" s="4"/>
      <c r="MI5" s="4"/>
      <c r="MJ5" s="4"/>
      <c r="MK5" s="4"/>
      <c r="ML5" s="4"/>
      <c r="MM5" s="4"/>
      <c r="MN5" s="4"/>
      <c r="MO5" s="4"/>
      <c r="MP5" s="4"/>
      <c r="MQ5" s="4"/>
      <c r="MR5" s="4"/>
      <c r="MS5" s="4"/>
      <c r="MT5" s="4"/>
      <c r="MU5" s="4"/>
      <c r="MV5" s="4"/>
      <c r="MW5" s="4"/>
      <c r="MX5" s="4"/>
      <c r="MY5" s="4"/>
      <c r="MZ5" s="4"/>
      <c r="NA5" s="4"/>
      <c r="NB5" s="4"/>
      <c r="NC5" s="4"/>
      <c r="ND5" s="4"/>
      <c r="NE5" s="4"/>
      <c r="NF5" s="4"/>
      <c r="NG5" s="4"/>
      <c r="NH5" s="4"/>
      <c r="NI5" s="4"/>
      <c r="NJ5" s="4"/>
      <c r="NK5" s="4"/>
      <c r="NL5" s="4"/>
      <c r="NM5" s="4"/>
      <c r="NN5" s="4"/>
      <c r="NO5" s="4"/>
      <c r="NP5" s="4"/>
      <c r="NQ5" s="4"/>
      <c r="NR5" s="4"/>
      <c r="NS5" s="4"/>
      <c r="NT5" s="4"/>
      <c r="NU5" s="4"/>
      <c r="NV5" s="4"/>
      <c r="NW5" s="4"/>
      <c r="NX5" s="4"/>
      <c r="NY5" s="4"/>
      <c r="NZ5" s="4"/>
      <c r="OA5" s="4"/>
      <c r="OB5" s="4"/>
      <c r="OC5" s="4"/>
      <c r="OD5" s="4"/>
      <c r="OE5" s="4"/>
      <c r="OF5" s="4"/>
      <c r="OG5" s="4"/>
      <c r="OH5" s="4"/>
      <c r="OI5" s="4"/>
      <c r="OJ5" s="4"/>
      <c r="OK5" s="4"/>
    </row>
    <row r="6" spans="1:451" x14ac:dyDescent="0.25">
      <c r="A6" s="1"/>
      <c r="B6" s="1"/>
      <c r="C6" s="3"/>
      <c r="D6" s="3"/>
      <c r="E6" s="3" t="str">
        <f xml:space="preserve"> _xll.EPMOlapMemberO("[CUSTID].[].[CUST B]","","Customer B","","000")</f>
        <v>Customer B</v>
      </c>
      <c r="F6" s="3" t="str">
        <f xml:space="preserve"> _xll.EPMOlapMemberO("[KEY_FIGURES].[].[CONSENSUSDEMAND]","","Customer Demand","","000")</f>
        <v>Customer Demand</v>
      </c>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v>21.954702000000001</v>
      </c>
      <c r="CJ6" s="4">
        <v>43.623156000000002</v>
      </c>
      <c r="CK6" s="4">
        <v>93.793599999999998</v>
      </c>
      <c r="CL6" s="4">
        <v>61.364139999999999</v>
      </c>
      <c r="CM6" s="4">
        <v>41.225873999999997</v>
      </c>
      <c r="CN6" s="4">
        <v>55.296776999999999</v>
      </c>
      <c r="CO6" s="4">
        <v>26.992156000000001</v>
      </c>
      <c r="CP6" s="4">
        <v>15.008834</v>
      </c>
      <c r="CQ6" s="4">
        <v>39.850417</v>
      </c>
      <c r="CR6" s="4">
        <v>75.721513999999999</v>
      </c>
      <c r="CS6" s="4">
        <v>31.487492</v>
      </c>
      <c r="CT6" s="4">
        <v>11</v>
      </c>
      <c r="CU6" s="4">
        <v>11</v>
      </c>
      <c r="CV6" s="4">
        <v>11</v>
      </c>
      <c r="CW6" s="4">
        <v>11</v>
      </c>
      <c r="CX6" s="4">
        <v>11</v>
      </c>
      <c r="CY6" s="4">
        <v>11</v>
      </c>
      <c r="CZ6" s="4">
        <v>11</v>
      </c>
      <c r="DA6" s="4">
        <v>11</v>
      </c>
      <c r="DB6" s="4">
        <v>11</v>
      </c>
      <c r="DC6" s="4">
        <v>11</v>
      </c>
      <c r="DD6" s="4">
        <v>11</v>
      </c>
      <c r="DE6" s="4">
        <v>12</v>
      </c>
      <c r="DF6" s="4">
        <v>23</v>
      </c>
      <c r="DG6" s="4">
        <v>10</v>
      </c>
      <c r="DH6" s="4">
        <v>11</v>
      </c>
      <c r="DI6" s="4">
        <v>10</v>
      </c>
      <c r="DJ6" s="4">
        <v>10</v>
      </c>
      <c r="DK6" s="4">
        <v>10</v>
      </c>
      <c r="DL6" s="4">
        <v>10</v>
      </c>
      <c r="DM6" s="4">
        <v>10</v>
      </c>
      <c r="DN6" s="4">
        <v>10</v>
      </c>
      <c r="DO6" s="4">
        <v>10</v>
      </c>
      <c r="DP6" s="4">
        <v>10</v>
      </c>
      <c r="DQ6" s="4">
        <v>10</v>
      </c>
      <c r="DR6" s="4">
        <v>57.803744999999999</v>
      </c>
      <c r="DS6" s="4">
        <v>25.648495</v>
      </c>
      <c r="DT6" s="4">
        <v>65.706754000000004</v>
      </c>
      <c r="DU6" s="4">
        <v>37.155434</v>
      </c>
      <c r="DV6" s="4">
        <v>98.857746000000006</v>
      </c>
      <c r="DW6" s="4">
        <v>35.768698999999998</v>
      </c>
      <c r="DX6" s="4">
        <v>74.194252000000006</v>
      </c>
      <c r="DY6" s="4">
        <v>12.289564</v>
      </c>
      <c r="DZ6" s="4">
        <v>3.7748400000000002</v>
      </c>
      <c r="EA6" s="4">
        <v>69.323473000000007</v>
      </c>
      <c r="EB6" s="4">
        <v>31.466155000000001</v>
      </c>
      <c r="EC6" s="4">
        <v>74.238023999999996</v>
      </c>
      <c r="ED6" s="4">
        <v>58.630780999999999</v>
      </c>
      <c r="EE6" s="4">
        <v>53.057068000000001</v>
      </c>
      <c r="EF6" s="4">
        <v>21.820176</v>
      </c>
      <c r="EG6" s="4">
        <v>55.053538000000003</v>
      </c>
      <c r="EH6" s="4">
        <v>27.728117999999998</v>
      </c>
      <c r="EI6" s="4">
        <v>7.6001620000000001</v>
      </c>
      <c r="EJ6" s="4">
        <v>58.631349999999998</v>
      </c>
      <c r="EK6" s="4">
        <v>62.621476000000001</v>
      </c>
      <c r="EL6" s="4">
        <v>63.991914000000001</v>
      </c>
      <c r="EM6" s="4">
        <v>63.82564</v>
      </c>
      <c r="EN6" s="4">
        <v>40.219423999999997</v>
      </c>
      <c r="EO6" s="4">
        <v>37.357706</v>
      </c>
      <c r="EP6" s="4">
        <v>41.665148000000002</v>
      </c>
      <c r="EQ6" s="4">
        <v>69.354787999999999</v>
      </c>
      <c r="ER6" s="4">
        <v>87.212406000000001</v>
      </c>
      <c r="ES6" s="4">
        <v>81.647019999999998</v>
      </c>
      <c r="ET6" s="4">
        <v>16.993903</v>
      </c>
      <c r="EU6" s="4">
        <v>21.304500999999998</v>
      </c>
      <c r="EV6" s="4">
        <v>38.476407999999999</v>
      </c>
      <c r="EW6" s="4">
        <v>5.1675839999999997</v>
      </c>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P6" s="4"/>
      <c r="HQ6" s="4"/>
      <c r="HR6" s="4"/>
      <c r="HS6" s="4"/>
      <c r="HT6" s="4"/>
      <c r="HU6" s="4"/>
      <c r="HV6" s="4"/>
      <c r="HW6" s="4"/>
      <c r="HX6" s="4"/>
      <c r="HY6" s="4"/>
      <c r="HZ6" s="4"/>
      <c r="IA6" s="4"/>
      <c r="IB6" s="4"/>
      <c r="IC6" s="4"/>
      <c r="ID6" s="4"/>
      <c r="IE6" s="4"/>
      <c r="IF6" s="4"/>
      <c r="IG6" s="4"/>
      <c r="IH6" s="4"/>
      <c r="II6" s="4"/>
      <c r="IJ6" s="4"/>
      <c r="IK6" s="4"/>
      <c r="IL6" s="4"/>
      <c r="IM6" s="4"/>
      <c r="IN6" s="4"/>
      <c r="IO6" s="4"/>
      <c r="IP6" s="4"/>
      <c r="IQ6" s="4"/>
      <c r="IR6" s="4"/>
      <c r="IS6" s="4"/>
      <c r="IT6" s="4"/>
      <c r="IU6" s="4"/>
      <c r="IV6" s="4"/>
      <c r="IW6" s="4"/>
      <c r="IX6" s="4"/>
      <c r="IY6" s="4"/>
      <c r="IZ6" s="4"/>
      <c r="JA6" s="4"/>
      <c r="JB6" s="4"/>
      <c r="JC6" s="4"/>
      <c r="JD6" s="4"/>
      <c r="JE6" s="4"/>
      <c r="JF6" s="4"/>
      <c r="JG6" s="4"/>
      <c r="JH6" s="4"/>
      <c r="JI6" s="4"/>
      <c r="JJ6" s="4"/>
      <c r="JK6" s="4"/>
      <c r="JL6" s="4"/>
      <c r="JM6" s="4"/>
      <c r="JN6" s="4"/>
      <c r="JO6" s="4"/>
      <c r="JP6" s="4"/>
      <c r="JQ6" s="4"/>
      <c r="JR6" s="4"/>
      <c r="JS6" s="4"/>
      <c r="JT6" s="4"/>
      <c r="JU6" s="4"/>
      <c r="JV6" s="4"/>
      <c r="JW6" s="4"/>
      <c r="JX6" s="4"/>
      <c r="JY6" s="4"/>
      <c r="JZ6" s="4"/>
      <c r="KA6" s="4"/>
      <c r="KB6" s="4"/>
      <c r="KC6" s="4"/>
      <c r="KD6" s="4"/>
      <c r="KE6" s="4"/>
      <c r="KF6" s="4"/>
      <c r="KG6" s="4"/>
      <c r="KH6" s="4"/>
      <c r="KI6" s="4"/>
      <c r="KJ6" s="4"/>
      <c r="KK6" s="4"/>
      <c r="KL6" s="4"/>
      <c r="KM6" s="4"/>
      <c r="KN6" s="4"/>
      <c r="KO6" s="4"/>
      <c r="KP6" s="4"/>
      <c r="KQ6" s="4"/>
      <c r="KR6" s="4"/>
      <c r="KS6" s="4"/>
      <c r="KT6" s="4"/>
      <c r="KU6" s="4"/>
      <c r="KV6" s="4"/>
      <c r="KW6" s="4"/>
      <c r="KX6" s="4"/>
      <c r="KY6" s="4"/>
      <c r="KZ6" s="4"/>
      <c r="LA6" s="4"/>
      <c r="LB6" s="4"/>
      <c r="LC6" s="4"/>
      <c r="LD6" s="4"/>
      <c r="LE6" s="4"/>
      <c r="LF6" s="4"/>
      <c r="LG6" s="4"/>
      <c r="LH6" s="4"/>
      <c r="LI6" s="4"/>
      <c r="LJ6" s="4"/>
      <c r="LK6" s="4"/>
      <c r="LL6" s="4"/>
      <c r="LM6" s="4"/>
      <c r="LN6" s="4"/>
      <c r="LO6" s="4"/>
      <c r="LP6" s="4"/>
      <c r="LQ6" s="4"/>
      <c r="LR6" s="4"/>
      <c r="LS6" s="4"/>
      <c r="LT6" s="4"/>
      <c r="LU6" s="4"/>
      <c r="LV6" s="4"/>
      <c r="LW6" s="4"/>
      <c r="LX6" s="4"/>
      <c r="LY6" s="4"/>
      <c r="LZ6" s="4"/>
      <c r="MA6" s="4"/>
      <c r="MB6" s="4"/>
      <c r="MC6" s="4"/>
      <c r="MD6" s="4"/>
      <c r="ME6" s="4"/>
      <c r="MF6" s="4"/>
      <c r="MG6" s="4"/>
      <c r="MH6" s="4"/>
      <c r="MI6" s="4"/>
      <c r="MJ6" s="4"/>
      <c r="MK6" s="4"/>
      <c r="ML6" s="4"/>
      <c r="MM6" s="4"/>
      <c r="MN6" s="4"/>
      <c r="MO6" s="4"/>
      <c r="MP6" s="4"/>
      <c r="MQ6" s="4"/>
      <c r="MR6" s="4"/>
      <c r="MS6" s="4"/>
      <c r="MT6" s="4"/>
      <c r="MU6" s="4"/>
      <c r="MV6" s="4"/>
      <c r="MW6" s="4"/>
      <c r="MX6" s="4"/>
      <c r="MY6" s="4"/>
      <c r="MZ6" s="4"/>
      <c r="NA6" s="4"/>
      <c r="NB6" s="4"/>
      <c r="NC6" s="4"/>
      <c r="ND6" s="4"/>
      <c r="NE6" s="4"/>
      <c r="NF6" s="4"/>
      <c r="NG6" s="4"/>
      <c r="NH6" s="4"/>
      <c r="NI6" s="4"/>
      <c r="NJ6" s="4"/>
      <c r="NK6" s="4"/>
      <c r="NL6" s="4"/>
      <c r="NM6" s="4"/>
      <c r="NN6" s="4"/>
      <c r="NO6" s="4"/>
      <c r="NP6" s="4"/>
      <c r="NQ6" s="4"/>
      <c r="NR6" s="4"/>
      <c r="NS6" s="4"/>
      <c r="NT6" s="4"/>
      <c r="NU6" s="4"/>
      <c r="NV6" s="4"/>
      <c r="NW6" s="4"/>
      <c r="NX6" s="4"/>
      <c r="NY6" s="4"/>
      <c r="NZ6" s="4"/>
      <c r="OA6" s="4"/>
      <c r="OB6" s="4"/>
      <c r="OC6" s="4"/>
      <c r="OD6" s="4"/>
      <c r="OE6" s="4"/>
      <c r="OF6" s="4"/>
      <c r="OG6" s="4"/>
      <c r="OH6" s="4"/>
      <c r="OI6" s="4"/>
      <c r="OJ6" s="4"/>
      <c r="OK6" s="4"/>
    </row>
    <row r="7" spans="1:451" x14ac:dyDescent="0.25">
      <c r="A7" s="1"/>
      <c r="B7" s="1"/>
      <c r="C7" s="3"/>
      <c r="D7" s="3" t="str">
        <f xml:space="preserve"> _xll.EPMOlapMemberO("[PRDID].[].[IBP-150]","","IBP-150","","000")</f>
        <v>IBP-150</v>
      </c>
      <c r="E7" s="3" t="str">
        <f xml:space="preserve"> _xll.EPMOlapMemberO("[CUSTID].[].[CUST A]","","Customer A","","000")</f>
        <v>Customer A</v>
      </c>
      <c r="F7" s="3" t="str">
        <f xml:space="preserve"> _xll.EPMOlapMemberO("[KEY_FIGURES].[].[CONSENSUSDEMAND]","","Customer Demand","","000")</f>
        <v>Customer Demand</v>
      </c>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v>3.2941999999999999E-2</v>
      </c>
      <c r="CJ7" s="4">
        <v>9.2816220000000005</v>
      </c>
      <c r="CK7" s="4">
        <v>0.65775600000000001</v>
      </c>
      <c r="CL7" s="4">
        <v>95.018253000000001</v>
      </c>
      <c r="CM7" s="4">
        <v>13.798711000000001</v>
      </c>
      <c r="CN7" s="4">
        <v>26.926613</v>
      </c>
      <c r="CO7" s="4">
        <v>94.372403000000006</v>
      </c>
      <c r="CP7" s="4">
        <v>42.394649999999999</v>
      </c>
      <c r="CQ7" s="4">
        <v>12.236639</v>
      </c>
      <c r="CR7" s="4">
        <v>47.093505999999998</v>
      </c>
      <c r="CS7" s="4">
        <v>12.219533</v>
      </c>
      <c r="CT7" s="4">
        <v>42.328881000000003</v>
      </c>
      <c r="CU7" s="4">
        <v>97.172782999999995</v>
      </c>
      <c r="CV7" s="4">
        <v>38.882064</v>
      </c>
      <c r="CW7" s="4">
        <v>76.233230000000006</v>
      </c>
      <c r="CX7" s="4">
        <v>37.104261000000001</v>
      </c>
      <c r="CY7" s="4">
        <v>93.607062999999997</v>
      </c>
      <c r="CZ7" s="4">
        <v>12.624062</v>
      </c>
      <c r="DA7" s="4">
        <v>26.384360999999998</v>
      </c>
      <c r="DB7" s="4">
        <v>34.766503</v>
      </c>
      <c r="DC7" s="4">
        <v>38.834456000000003</v>
      </c>
      <c r="DD7" s="4">
        <v>66.908497999999994</v>
      </c>
      <c r="DE7" s="4">
        <v>70.019098999999997</v>
      </c>
      <c r="DF7" s="4">
        <v>45.869849000000002</v>
      </c>
      <c r="DG7" s="4">
        <v>67.211613</v>
      </c>
      <c r="DH7" s="4">
        <v>59.814518999999997</v>
      </c>
      <c r="DI7" s="4">
        <v>83.511561</v>
      </c>
      <c r="DJ7" s="4">
        <v>84.863354999999999</v>
      </c>
      <c r="DK7" s="4">
        <v>29.553293</v>
      </c>
      <c r="DL7" s="4">
        <v>39.392847000000003</v>
      </c>
      <c r="DM7" s="4">
        <v>82.418505999999994</v>
      </c>
      <c r="DN7" s="4">
        <v>80.082455999999993</v>
      </c>
      <c r="DO7" s="4">
        <v>33.328142</v>
      </c>
      <c r="DP7" s="4">
        <v>90.592287999999996</v>
      </c>
      <c r="DQ7" s="4">
        <v>45.418990000000001</v>
      </c>
      <c r="DR7" s="4">
        <v>84.587905000000006</v>
      </c>
      <c r="DS7" s="4">
        <v>78.312595000000002</v>
      </c>
      <c r="DT7" s="4">
        <v>86.403139999999993</v>
      </c>
      <c r="DU7" s="4">
        <v>30.383087</v>
      </c>
      <c r="DV7" s="4">
        <v>23.192845999999999</v>
      </c>
      <c r="DW7" s="4">
        <v>90.417096999999998</v>
      </c>
      <c r="DX7" s="4">
        <v>92.158330000000007</v>
      </c>
      <c r="DY7" s="4">
        <v>19.408421000000001</v>
      </c>
      <c r="DZ7" s="4">
        <v>14.654991000000001</v>
      </c>
      <c r="EA7" s="4">
        <v>66.191757999999993</v>
      </c>
      <c r="EB7" s="4">
        <v>0.97954699999999995</v>
      </c>
      <c r="EC7" s="4">
        <v>23.821649000000001</v>
      </c>
      <c r="ED7" s="4">
        <v>18.682708000000002</v>
      </c>
      <c r="EE7" s="4">
        <v>5.5481239999999996</v>
      </c>
      <c r="EF7" s="4">
        <v>29.030691999999998</v>
      </c>
      <c r="EG7" s="4">
        <v>89.465446</v>
      </c>
      <c r="EH7" s="4">
        <v>15.502081</v>
      </c>
      <c r="EI7" s="4">
        <v>84.419484999999995</v>
      </c>
      <c r="EJ7" s="4">
        <v>56.496985000000002</v>
      </c>
      <c r="EK7" s="4">
        <v>86.154330999999999</v>
      </c>
      <c r="EL7" s="4">
        <v>94.848078999999998</v>
      </c>
      <c r="EM7" s="4">
        <v>62.986094000000001</v>
      </c>
      <c r="EN7" s="4">
        <v>86.652097999999995</v>
      </c>
      <c r="EO7" s="4">
        <v>15.170634</v>
      </c>
      <c r="EP7" s="4">
        <v>31.832491000000001</v>
      </c>
      <c r="EQ7" s="4">
        <v>99.689006000000006</v>
      </c>
      <c r="ER7" s="4">
        <v>45.648916</v>
      </c>
      <c r="ES7" s="4">
        <v>23.231417</v>
      </c>
      <c r="ET7" s="4">
        <v>36.115792999999996</v>
      </c>
      <c r="EU7" s="4">
        <v>93.310638999999995</v>
      </c>
      <c r="EV7" s="4">
        <v>19.770354000000001</v>
      </c>
      <c r="EW7" s="4">
        <v>73.993525000000005</v>
      </c>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row>
    <row r="8" spans="1:451" x14ac:dyDescent="0.25">
      <c r="A8" s="1"/>
      <c r="B8" s="1"/>
      <c r="C8" s="3"/>
      <c r="D8" s="3"/>
      <c r="E8" s="3" t="str">
        <f xml:space="preserve"> _xll.EPMOlapMemberO("[CUSTID].[].[CUST B]","","Customer B","","000")</f>
        <v>Customer B</v>
      </c>
      <c r="F8" s="3" t="str">
        <f xml:space="preserve"> _xll.EPMOlapMemberO("[KEY_FIGURES].[].[CONSENSUSDEMAND]","","Customer Demand","","000")</f>
        <v>Customer Demand</v>
      </c>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v>67.657504000000003</v>
      </c>
      <c r="CJ8" s="4">
        <v>26.271066999999999</v>
      </c>
      <c r="CK8" s="4">
        <v>40.032955000000001</v>
      </c>
      <c r="CL8" s="4">
        <v>22.932518000000002</v>
      </c>
      <c r="CM8" s="4">
        <v>68.329183</v>
      </c>
      <c r="CN8" s="4">
        <v>71.172824000000006</v>
      </c>
      <c r="CO8" s="4">
        <v>92.042399000000003</v>
      </c>
      <c r="CP8" s="4">
        <v>75.092304999999996</v>
      </c>
      <c r="CQ8" s="4">
        <v>27.875976000000001</v>
      </c>
      <c r="CR8" s="4">
        <v>81.815878999999995</v>
      </c>
      <c r="CS8" s="4">
        <v>19.139953999999999</v>
      </c>
      <c r="CT8" s="4">
        <v>75.407483999999997</v>
      </c>
      <c r="CU8" s="4">
        <v>65.186723999999998</v>
      </c>
      <c r="CV8" s="4">
        <v>93.900707999999995</v>
      </c>
      <c r="CW8" s="4">
        <v>15.713184</v>
      </c>
      <c r="CX8" s="4">
        <v>9.3099860000000003</v>
      </c>
      <c r="CY8" s="4">
        <v>84.991212000000004</v>
      </c>
      <c r="CZ8" s="4">
        <v>42.113928999999999</v>
      </c>
      <c r="DA8" s="4">
        <v>38.323799000000001</v>
      </c>
      <c r="DB8" s="4">
        <v>65.454706999999999</v>
      </c>
      <c r="DC8" s="4">
        <v>26.12208</v>
      </c>
      <c r="DD8" s="4">
        <v>54.040804000000001</v>
      </c>
      <c r="DE8" s="4">
        <v>18.317316000000002</v>
      </c>
      <c r="DF8" s="4">
        <v>65.907105999999999</v>
      </c>
      <c r="DG8" s="4">
        <v>85.184887000000003</v>
      </c>
      <c r="DH8" s="4">
        <v>36.890304</v>
      </c>
      <c r="DI8" s="4">
        <v>85.761555000000001</v>
      </c>
      <c r="DJ8" s="4">
        <v>76.476530999999994</v>
      </c>
      <c r="DK8" s="4">
        <v>47.416682999999999</v>
      </c>
      <c r="DL8" s="4">
        <v>68.660143000000005</v>
      </c>
      <c r="DM8" s="4">
        <v>65.877949999999998</v>
      </c>
      <c r="DN8" s="4">
        <v>87.185833000000002</v>
      </c>
      <c r="DO8" s="4">
        <v>8.9508510000000001</v>
      </c>
      <c r="DP8" s="4">
        <v>27.736946</v>
      </c>
      <c r="DQ8" s="4">
        <v>64.616643999999994</v>
      </c>
      <c r="DR8" s="4">
        <v>15.365187000000001</v>
      </c>
      <c r="DS8" s="4">
        <v>54.194316000000001</v>
      </c>
      <c r="DT8" s="4">
        <v>27.556274999999999</v>
      </c>
      <c r="DU8" s="4">
        <v>12.094224000000001</v>
      </c>
      <c r="DV8" s="4">
        <v>40.901888</v>
      </c>
      <c r="DW8" s="4">
        <v>54.633733999999997</v>
      </c>
      <c r="DX8" s="4">
        <v>11.148012</v>
      </c>
      <c r="DY8" s="4">
        <v>11.821047</v>
      </c>
      <c r="DZ8" s="4">
        <v>41.156455000000001</v>
      </c>
      <c r="EA8" s="4">
        <v>70.955219999999997</v>
      </c>
      <c r="EB8" s="4">
        <v>51.505892000000003</v>
      </c>
      <c r="EC8" s="4">
        <v>1.805399</v>
      </c>
      <c r="ED8" s="4">
        <v>6.9564310000000003</v>
      </c>
      <c r="EE8" s="4">
        <v>27.199947000000002</v>
      </c>
      <c r="EF8" s="4">
        <v>83.924092000000002</v>
      </c>
      <c r="EG8" s="4">
        <v>80.167726000000002</v>
      </c>
      <c r="EH8" s="4">
        <v>3.8665060000000002</v>
      </c>
      <c r="EI8" s="4">
        <v>24.894911</v>
      </c>
      <c r="EJ8" s="4">
        <v>85.276266000000007</v>
      </c>
      <c r="EK8" s="4">
        <v>54.598255000000002</v>
      </c>
      <c r="EL8" s="4">
        <v>59.039340000000003</v>
      </c>
      <c r="EM8" s="4">
        <v>34.549574</v>
      </c>
      <c r="EN8" s="4">
        <v>42.799059</v>
      </c>
      <c r="EO8" s="4">
        <v>6.0034869999999998</v>
      </c>
      <c r="EP8" s="4">
        <v>45.142992999999997</v>
      </c>
      <c r="EQ8" s="4">
        <v>44.161856999999998</v>
      </c>
      <c r="ER8" s="4">
        <v>98.257400000000004</v>
      </c>
      <c r="ES8" s="4">
        <v>20.321109</v>
      </c>
      <c r="ET8" s="4">
        <v>68.986947999999998</v>
      </c>
      <c r="EU8" s="4">
        <v>57.506377999999998</v>
      </c>
      <c r="EV8" s="4">
        <v>12.279878</v>
      </c>
      <c r="EW8" s="4">
        <v>16.734489</v>
      </c>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c r="GY8" s="4"/>
      <c r="GZ8" s="4"/>
      <c r="HA8" s="4"/>
      <c r="HB8" s="4"/>
      <c r="HC8" s="4"/>
      <c r="HD8" s="4"/>
      <c r="HE8" s="4"/>
      <c r="HF8" s="4"/>
      <c r="HG8" s="4"/>
      <c r="HH8" s="4"/>
      <c r="HI8" s="4"/>
      <c r="HJ8" s="4"/>
      <c r="HK8" s="4"/>
      <c r="HL8" s="4"/>
      <c r="HM8" s="4"/>
      <c r="HN8" s="4"/>
      <c r="HO8" s="4"/>
      <c r="HP8" s="4"/>
      <c r="HQ8" s="4"/>
      <c r="HR8" s="4"/>
      <c r="HS8" s="4"/>
      <c r="HT8" s="4"/>
      <c r="HU8" s="4"/>
      <c r="HV8" s="4"/>
      <c r="HW8" s="4"/>
      <c r="HX8" s="4"/>
      <c r="HY8" s="4"/>
      <c r="HZ8" s="4"/>
      <c r="IA8" s="4"/>
      <c r="IB8" s="4"/>
      <c r="IC8" s="4"/>
      <c r="ID8" s="4"/>
      <c r="IE8" s="4"/>
      <c r="IF8" s="4"/>
      <c r="IG8" s="4"/>
      <c r="IH8" s="4"/>
      <c r="II8" s="4"/>
      <c r="IJ8" s="4"/>
      <c r="IK8" s="4"/>
      <c r="IL8" s="4"/>
      <c r="IM8" s="4"/>
      <c r="IN8" s="4"/>
      <c r="IO8" s="4"/>
      <c r="IP8" s="4"/>
      <c r="IQ8" s="4"/>
      <c r="IR8" s="4"/>
      <c r="IS8" s="4"/>
      <c r="IT8" s="4"/>
      <c r="IU8" s="4"/>
      <c r="IV8" s="4"/>
      <c r="IW8" s="4"/>
      <c r="IX8" s="4"/>
      <c r="IY8" s="4"/>
      <c r="IZ8" s="4"/>
      <c r="JA8" s="4"/>
      <c r="JB8" s="4"/>
      <c r="JC8" s="4"/>
      <c r="JD8" s="4"/>
      <c r="JE8" s="4"/>
      <c r="JF8" s="4"/>
      <c r="JG8" s="4"/>
      <c r="JH8" s="4"/>
      <c r="JI8" s="4"/>
      <c r="JJ8" s="4"/>
      <c r="JK8" s="4"/>
      <c r="JL8" s="4"/>
      <c r="JM8" s="4"/>
      <c r="JN8" s="4"/>
      <c r="JO8" s="4"/>
      <c r="JP8" s="4"/>
      <c r="JQ8" s="4"/>
      <c r="JR8" s="4"/>
      <c r="JS8" s="4"/>
      <c r="JT8" s="4"/>
      <c r="JU8" s="4"/>
      <c r="JV8" s="4"/>
      <c r="JW8" s="4"/>
      <c r="JX8" s="4"/>
      <c r="JY8" s="4"/>
      <c r="JZ8" s="4"/>
      <c r="KA8" s="4"/>
      <c r="KB8" s="4"/>
      <c r="KC8" s="4"/>
      <c r="KD8" s="4"/>
      <c r="KE8" s="4"/>
      <c r="KF8" s="4"/>
      <c r="KG8" s="4"/>
      <c r="KH8" s="4"/>
      <c r="KI8" s="4"/>
      <c r="KJ8" s="4"/>
      <c r="KK8" s="4"/>
      <c r="KL8" s="4"/>
      <c r="KM8" s="4"/>
      <c r="KN8" s="4"/>
      <c r="KO8" s="4"/>
      <c r="KP8" s="4"/>
      <c r="KQ8" s="4"/>
      <c r="KR8" s="4"/>
      <c r="KS8" s="4"/>
      <c r="KT8" s="4"/>
      <c r="KU8" s="4"/>
      <c r="KV8" s="4"/>
      <c r="KW8" s="4"/>
      <c r="KX8" s="4"/>
      <c r="KY8" s="4"/>
      <c r="KZ8" s="4"/>
      <c r="LA8" s="4"/>
      <c r="LB8" s="4"/>
      <c r="LC8" s="4"/>
      <c r="LD8" s="4"/>
      <c r="LE8" s="4"/>
      <c r="LF8" s="4"/>
      <c r="LG8" s="4"/>
      <c r="LH8" s="4"/>
      <c r="LI8" s="4"/>
      <c r="LJ8" s="4"/>
      <c r="LK8" s="4"/>
      <c r="LL8" s="4"/>
      <c r="LM8" s="4"/>
      <c r="LN8" s="4"/>
      <c r="LO8" s="4"/>
      <c r="LP8" s="4"/>
      <c r="LQ8" s="4"/>
      <c r="LR8" s="4"/>
      <c r="LS8" s="4"/>
      <c r="LT8" s="4"/>
      <c r="LU8" s="4"/>
      <c r="LV8" s="4"/>
      <c r="LW8" s="4"/>
      <c r="LX8" s="4"/>
      <c r="LY8" s="4"/>
      <c r="LZ8" s="4"/>
      <c r="MA8" s="4"/>
      <c r="MB8" s="4"/>
      <c r="MC8" s="4"/>
      <c r="MD8" s="4"/>
      <c r="ME8" s="4"/>
      <c r="MF8" s="4"/>
      <c r="MG8" s="4"/>
      <c r="MH8" s="4"/>
      <c r="MI8" s="4"/>
      <c r="MJ8" s="4"/>
      <c r="MK8" s="4"/>
      <c r="ML8" s="4"/>
      <c r="MM8" s="4"/>
      <c r="MN8" s="4"/>
      <c r="MO8" s="4"/>
      <c r="MP8" s="4"/>
      <c r="MQ8" s="4"/>
      <c r="MR8" s="4"/>
      <c r="MS8" s="4"/>
      <c r="MT8" s="4"/>
      <c r="MU8" s="4"/>
      <c r="MV8" s="4"/>
      <c r="MW8" s="4"/>
      <c r="MX8" s="4"/>
      <c r="MY8" s="4"/>
      <c r="MZ8" s="4"/>
      <c r="NA8" s="4"/>
      <c r="NB8" s="4"/>
      <c r="NC8" s="4"/>
      <c r="ND8" s="4"/>
      <c r="NE8" s="4"/>
      <c r="NF8" s="4"/>
      <c r="NG8" s="4"/>
      <c r="NH8" s="4"/>
      <c r="NI8" s="4"/>
      <c r="NJ8" s="4"/>
      <c r="NK8" s="4"/>
      <c r="NL8" s="4"/>
      <c r="NM8" s="4"/>
      <c r="NN8" s="4"/>
      <c r="NO8" s="4"/>
      <c r="NP8" s="4"/>
      <c r="NQ8" s="4"/>
      <c r="NR8" s="4"/>
      <c r="NS8" s="4"/>
      <c r="NT8" s="4"/>
      <c r="NU8" s="4"/>
      <c r="NV8" s="4"/>
      <c r="NW8" s="4"/>
      <c r="NX8" s="4"/>
      <c r="NY8" s="4"/>
      <c r="NZ8" s="4"/>
      <c r="OA8" s="4"/>
      <c r="OB8" s="4"/>
      <c r="OC8" s="4"/>
      <c r="OD8" s="4"/>
      <c r="OE8" s="4"/>
      <c r="OF8" s="4"/>
      <c r="OG8" s="4"/>
      <c r="OH8" s="4"/>
      <c r="OI8" s="4"/>
      <c r="OJ8" s="4"/>
      <c r="OK8" s="4"/>
    </row>
    <row r="9" spans="1:451" x14ac:dyDescent="0.25">
      <c r="A9" s="1"/>
      <c r="B9" s="1"/>
      <c r="C9" s="3"/>
      <c r="D9" s="3" t="str">
        <f xml:space="preserve"> _xll.EPMOlapMemberO("[PRDID].[].[IBP-200]","","IBP-200","","000")</f>
        <v>IBP-200</v>
      </c>
      <c r="E9" s="3" t="str">
        <f xml:space="preserve"> _xll.EPMOlapMemberO("[CUSTID].[].[CUST A]","","Customer A","","000")</f>
        <v>Customer A</v>
      </c>
      <c r="F9" s="3" t="str">
        <f xml:space="preserve"> _xll.EPMOlapMemberO("[KEY_FIGURES].[].[CONSENSUSDEMAND]","","Customer Demand","","000")</f>
        <v>Customer Demand</v>
      </c>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v>57.210286000000004</v>
      </c>
      <c r="CJ9" s="4">
        <v>34.295904999999998</v>
      </c>
      <c r="CK9" s="4">
        <v>29.937404999999998</v>
      </c>
      <c r="CL9" s="4">
        <v>71.056358000000003</v>
      </c>
      <c r="CM9" s="4">
        <v>-92.499954000000002</v>
      </c>
      <c r="CN9" s="4">
        <v>33.797367999999999</v>
      </c>
      <c r="CO9" s="4">
        <v>32.807989999999997</v>
      </c>
      <c r="CP9" s="4">
        <v>93.293413000000001</v>
      </c>
      <c r="CQ9" s="4">
        <v>79.855524000000003</v>
      </c>
      <c r="CR9" s="4">
        <v>18.011289999999999</v>
      </c>
      <c r="CS9" s="4">
        <v>47.966431999999998</v>
      </c>
      <c r="CT9" s="4">
        <v>87.788427999999996</v>
      </c>
      <c r="CU9" s="4">
        <v>84.637863999999993</v>
      </c>
      <c r="CV9" s="4">
        <v>29.808758000000001</v>
      </c>
      <c r="CW9" s="4">
        <v>85.295793000000003</v>
      </c>
      <c r="CX9" s="4">
        <v>61.463428</v>
      </c>
      <c r="CY9" s="4">
        <v>32.174841000000001</v>
      </c>
      <c r="CZ9" s="4">
        <v>13.811899</v>
      </c>
      <c r="DA9" s="4">
        <v>38.634720999999999</v>
      </c>
      <c r="DB9" s="4">
        <v>19.406441000000001</v>
      </c>
      <c r="DC9" s="4">
        <v>22.249891999999999</v>
      </c>
      <c r="DD9" s="4">
        <v>39.750458000000002</v>
      </c>
      <c r="DE9" s="4">
        <v>45.098515999999996</v>
      </c>
      <c r="DF9" s="4">
        <v>88.879485000000003</v>
      </c>
      <c r="DG9" s="4">
        <v>63.962575000000001</v>
      </c>
      <c r="DH9" s="4">
        <v>36.689920999999998</v>
      </c>
      <c r="DI9" s="4">
        <v>75.767883999999995</v>
      </c>
      <c r="DJ9" s="4">
        <v>33.928521000000003</v>
      </c>
      <c r="DK9" s="4">
        <v>77.106454999999997</v>
      </c>
      <c r="DL9" s="4">
        <v>33.82779</v>
      </c>
      <c r="DM9" s="4">
        <v>61.840181000000001</v>
      </c>
      <c r="DN9" s="4">
        <v>55.464668000000003</v>
      </c>
      <c r="DO9" s="4">
        <v>1.2013990000000001</v>
      </c>
      <c r="DP9" s="4">
        <v>89.884020000000007</v>
      </c>
      <c r="DQ9" s="4">
        <v>63.854619</v>
      </c>
      <c r="DR9" s="4">
        <v>41.080514999999998</v>
      </c>
      <c r="DS9" s="4">
        <v>8.9698080000000004</v>
      </c>
      <c r="DT9" s="4">
        <v>30.447946000000002</v>
      </c>
      <c r="DU9" s="4">
        <v>69.610247999999999</v>
      </c>
      <c r="DV9" s="4">
        <v>7.4652969999999996</v>
      </c>
      <c r="DW9" s="4">
        <v>91.229450999999997</v>
      </c>
      <c r="DX9" s="4">
        <v>51.524231999999998</v>
      </c>
      <c r="DY9" s="4">
        <v>75.871104000000003</v>
      </c>
      <c r="DZ9" s="4">
        <v>56.361328</v>
      </c>
      <c r="EA9" s="4">
        <v>4.3671199999999999</v>
      </c>
      <c r="EB9" s="4">
        <v>43.342346999999997</v>
      </c>
      <c r="EC9" s="4">
        <v>55.264042000000003</v>
      </c>
      <c r="ED9" s="4">
        <v>32.305607999999999</v>
      </c>
      <c r="EE9" s="4">
        <v>67.231182000000004</v>
      </c>
      <c r="EF9" s="4">
        <v>21.462578000000001</v>
      </c>
      <c r="EG9" s="4">
        <v>40.456507000000002</v>
      </c>
      <c r="EH9" s="4">
        <v>10.614591000000001</v>
      </c>
      <c r="EI9" s="4">
        <v>83.935531999999995</v>
      </c>
      <c r="EJ9" s="4">
        <v>68.178944999999999</v>
      </c>
      <c r="EK9" s="4">
        <v>41.323692999999999</v>
      </c>
      <c r="EL9" s="4">
        <v>65.769930000000002</v>
      </c>
      <c r="EM9" s="4">
        <v>54.584546000000003</v>
      </c>
      <c r="EN9" s="4">
        <v>88.027479999999997</v>
      </c>
      <c r="EO9" s="4">
        <v>60.322403999999999</v>
      </c>
      <c r="EP9" s="4">
        <v>70.954622000000001</v>
      </c>
      <c r="EQ9" s="4">
        <v>37.527293</v>
      </c>
      <c r="ER9" s="4">
        <v>94.877641999999994</v>
      </c>
      <c r="ES9" s="4">
        <v>15.069383</v>
      </c>
      <c r="ET9" s="4">
        <v>93.602359000000007</v>
      </c>
      <c r="EU9" s="4">
        <v>98.094945999999993</v>
      </c>
      <c r="EV9" s="4">
        <v>15.183310000000001</v>
      </c>
      <c r="EW9" s="4">
        <v>31.315138999999999</v>
      </c>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c r="GH9" s="4"/>
      <c r="GI9" s="4"/>
      <c r="GJ9" s="4"/>
      <c r="GK9" s="4"/>
      <c r="GL9" s="4"/>
      <c r="GM9" s="4"/>
      <c r="GN9" s="4"/>
      <c r="GO9" s="4"/>
      <c r="GP9" s="4"/>
      <c r="GQ9" s="4"/>
      <c r="GR9" s="4"/>
      <c r="GS9" s="4"/>
      <c r="GT9" s="4"/>
      <c r="GU9" s="4"/>
      <c r="GV9" s="4"/>
      <c r="GW9" s="4"/>
      <c r="GX9" s="4"/>
      <c r="GY9" s="4"/>
      <c r="GZ9" s="4"/>
      <c r="HA9" s="4"/>
      <c r="HB9" s="4"/>
      <c r="HC9" s="4"/>
      <c r="HD9" s="4"/>
      <c r="HE9" s="4"/>
      <c r="HF9" s="4"/>
      <c r="HG9" s="4"/>
      <c r="HH9" s="4"/>
      <c r="HI9" s="4"/>
      <c r="HJ9" s="4"/>
      <c r="HK9" s="4"/>
      <c r="HL9" s="4"/>
      <c r="HM9" s="4"/>
      <c r="HN9" s="4"/>
      <c r="HO9" s="4"/>
      <c r="HP9" s="4"/>
      <c r="HQ9" s="4"/>
      <c r="HR9" s="4"/>
      <c r="HS9" s="4"/>
      <c r="HT9" s="4"/>
      <c r="HU9" s="4"/>
      <c r="HV9" s="4"/>
      <c r="HW9" s="4"/>
      <c r="HX9" s="4"/>
      <c r="HY9" s="4"/>
      <c r="HZ9" s="4"/>
      <c r="IA9" s="4"/>
      <c r="IB9" s="4"/>
      <c r="IC9" s="4"/>
      <c r="ID9" s="4"/>
      <c r="IE9" s="4"/>
      <c r="IF9" s="4"/>
      <c r="IG9" s="4"/>
      <c r="IH9" s="4"/>
      <c r="II9" s="4"/>
      <c r="IJ9" s="4"/>
      <c r="IK9" s="4"/>
      <c r="IL9" s="4"/>
      <c r="IM9" s="4"/>
      <c r="IN9" s="4"/>
      <c r="IO9" s="4"/>
      <c r="IP9" s="4"/>
      <c r="IQ9" s="4"/>
      <c r="IR9" s="4"/>
      <c r="IS9" s="4"/>
      <c r="IT9" s="4"/>
      <c r="IU9" s="4"/>
      <c r="IV9" s="4"/>
      <c r="IW9" s="4"/>
      <c r="IX9" s="4"/>
      <c r="IY9" s="4"/>
      <c r="IZ9" s="4"/>
      <c r="JA9" s="4"/>
      <c r="JB9" s="4"/>
      <c r="JC9" s="4"/>
      <c r="JD9" s="4"/>
      <c r="JE9" s="4"/>
      <c r="JF9" s="4"/>
      <c r="JG9" s="4"/>
      <c r="JH9" s="4"/>
      <c r="JI9" s="4"/>
      <c r="JJ9" s="4"/>
      <c r="JK9" s="4"/>
      <c r="JL9" s="4"/>
      <c r="JM9" s="4"/>
      <c r="JN9" s="4"/>
      <c r="JO9" s="4"/>
      <c r="JP9" s="4"/>
      <c r="JQ9" s="4"/>
      <c r="JR9" s="4"/>
      <c r="JS9" s="4"/>
      <c r="JT9" s="4"/>
      <c r="JU9" s="4"/>
      <c r="JV9" s="4"/>
      <c r="JW9" s="4"/>
      <c r="JX9" s="4"/>
      <c r="JY9" s="4"/>
      <c r="JZ9" s="4"/>
      <c r="KA9" s="4"/>
      <c r="KB9" s="4"/>
      <c r="KC9" s="4"/>
      <c r="KD9" s="4"/>
      <c r="KE9" s="4"/>
      <c r="KF9" s="4"/>
      <c r="KG9" s="4"/>
      <c r="KH9" s="4"/>
      <c r="KI9" s="4"/>
      <c r="KJ9" s="4"/>
      <c r="KK9" s="4"/>
      <c r="KL9" s="4"/>
      <c r="KM9" s="4"/>
      <c r="KN9" s="4"/>
      <c r="KO9" s="4"/>
      <c r="KP9" s="4"/>
      <c r="KQ9" s="4"/>
      <c r="KR9" s="4"/>
      <c r="KS9" s="4"/>
      <c r="KT9" s="4"/>
      <c r="KU9" s="4"/>
      <c r="KV9" s="4"/>
      <c r="KW9" s="4"/>
      <c r="KX9" s="4"/>
      <c r="KY9" s="4"/>
      <c r="KZ9" s="4"/>
      <c r="LA9" s="4"/>
      <c r="LB9" s="4"/>
      <c r="LC9" s="4"/>
      <c r="LD9" s="4"/>
      <c r="LE9" s="4"/>
      <c r="LF9" s="4"/>
      <c r="LG9" s="4"/>
      <c r="LH9" s="4"/>
      <c r="LI9" s="4"/>
      <c r="LJ9" s="4"/>
      <c r="LK9" s="4"/>
      <c r="LL9" s="4"/>
      <c r="LM9" s="4"/>
      <c r="LN9" s="4"/>
      <c r="LO9" s="4"/>
      <c r="LP9" s="4"/>
      <c r="LQ9" s="4"/>
      <c r="LR9" s="4"/>
      <c r="LS9" s="4"/>
      <c r="LT9" s="4"/>
      <c r="LU9" s="4"/>
      <c r="LV9" s="4"/>
      <c r="LW9" s="4"/>
      <c r="LX9" s="4"/>
      <c r="LY9" s="4"/>
      <c r="LZ9" s="4"/>
      <c r="MA9" s="4"/>
      <c r="MB9" s="4"/>
      <c r="MC9" s="4"/>
      <c r="MD9" s="4"/>
      <c r="ME9" s="4"/>
      <c r="MF9" s="4"/>
      <c r="MG9" s="4"/>
      <c r="MH9" s="4"/>
      <c r="MI9" s="4"/>
      <c r="MJ9" s="4"/>
      <c r="MK9" s="4"/>
      <c r="ML9" s="4"/>
      <c r="MM9" s="4"/>
      <c r="MN9" s="4"/>
      <c r="MO9" s="4"/>
      <c r="MP9" s="4"/>
      <c r="MQ9" s="4"/>
      <c r="MR9" s="4"/>
      <c r="MS9" s="4"/>
      <c r="MT9" s="4"/>
      <c r="MU9" s="4"/>
      <c r="MV9" s="4"/>
      <c r="MW9" s="4"/>
      <c r="MX9" s="4"/>
      <c r="MY9" s="4"/>
      <c r="MZ9" s="4"/>
      <c r="NA9" s="4"/>
      <c r="NB9" s="4"/>
      <c r="NC9" s="4"/>
      <c r="ND9" s="4"/>
      <c r="NE9" s="4"/>
      <c r="NF9" s="4"/>
      <c r="NG9" s="4"/>
      <c r="NH9" s="4"/>
      <c r="NI9" s="4"/>
      <c r="NJ9" s="4"/>
      <c r="NK9" s="4"/>
      <c r="NL9" s="4"/>
      <c r="NM9" s="4"/>
      <c r="NN9" s="4"/>
      <c r="NO9" s="4"/>
      <c r="NP9" s="4"/>
      <c r="NQ9" s="4"/>
      <c r="NR9" s="4"/>
      <c r="NS9" s="4"/>
      <c r="NT9" s="4"/>
      <c r="NU9" s="4"/>
      <c r="NV9" s="4"/>
      <c r="NW9" s="4"/>
      <c r="NX9" s="4"/>
      <c r="NY9" s="4"/>
      <c r="NZ9" s="4"/>
      <c r="OA9" s="4"/>
      <c r="OB9" s="4"/>
      <c r="OC9" s="4"/>
      <c r="OD9" s="4"/>
      <c r="OE9" s="4"/>
      <c r="OF9" s="4"/>
      <c r="OG9" s="4"/>
      <c r="OH9" s="4"/>
      <c r="OI9" s="4"/>
      <c r="OJ9" s="4"/>
      <c r="OK9" s="4"/>
    </row>
    <row r="10" spans="1:451" x14ac:dyDescent="0.25">
      <c r="A10" s="1"/>
      <c r="B10" s="1"/>
      <c r="C10" s="3"/>
      <c r="D10" s="3" t="str">
        <f xml:space="preserve"> _xll.EPMOlapMemberO("[PRDID].[].[IBP-300]","","IBP-300","","000")</f>
        <v>IBP-300</v>
      </c>
      <c r="E10" s="3" t="str">
        <f xml:space="preserve"> _xll.EPMOlapMemberO("[CUSTID].[].[CUST A]","","Customer A","","000")</f>
        <v>Customer A</v>
      </c>
      <c r="F10" s="3" t="str">
        <f xml:space="preserve"> _xll.EPMOlapMemberO("[KEY_FIGURES].[].[CONSENSUSDEMAND]","","Customer Demand","","000")</f>
        <v>Customer Demand</v>
      </c>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c r="GH10" s="4"/>
      <c r="GI10" s="4"/>
      <c r="GJ10" s="4"/>
      <c r="GK10" s="4"/>
      <c r="GL10" s="4"/>
      <c r="GM10" s="4"/>
      <c r="GN10" s="4"/>
      <c r="GO10" s="4"/>
      <c r="GP10" s="4"/>
      <c r="GQ10" s="4"/>
      <c r="GR10" s="4"/>
      <c r="GS10" s="4"/>
      <c r="GT10" s="4"/>
      <c r="GU10" s="4"/>
      <c r="GV10" s="4"/>
      <c r="GW10" s="4"/>
      <c r="GX10" s="4"/>
      <c r="GY10" s="4"/>
      <c r="GZ10" s="4"/>
      <c r="HA10" s="4"/>
      <c r="HB10" s="4"/>
      <c r="HC10" s="4"/>
      <c r="HD10" s="4"/>
      <c r="HE10" s="4"/>
      <c r="HF10" s="4"/>
      <c r="HG10" s="4"/>
      <c r="HH10" s="4"/>
      <c r="HI10" s="4"/>
      <c r="HJ10" s="4"/>
      <c r="HK10" s="4"/>
      <c r="HL10" s="4"/>
      <c r="HM10" s="4"/>
      <c r="HN10" s="4"/>
      <c r="HO10" s="4"/>
      <c r="HP10" s="4"/>
      <c r="HQ10" s="4"/>
      <c r="HR10" s="4"/>
      <c r="HS10" s="4"/>
      <c r="HT10" s="4"/>
      <c r="HU10" s="4"/>
      <c r="HV10" s="4"/>
      <c r="HW10" s="4"/>
      <c r="HX10" s="4"/>
      <c r="HY10" s="4"/>
      <c r="HZ10" s="4"/>
      <c r="IA10" s="4"/>
      <c r="IB10" s="4"/>
      <c r="IC10" s="4"/>
      <c r="ID10" s="4"/>
      <c r="IE10" s="4"/>
      <c r="IF10" s="4"/>
      <c r="IG10" s="4"/>
      <c r="IH10" s="4"/>
      <c r="II10" s="4"/>
      <c r="IJ10" s="4"/>
      <c r="IK10" s="4"/>
      <c r="IL10" s="4"/>
      <c r="IM10" s="4"/>
      <c r="IN10" s="4"/>
      <c r="IO10" s="4"/>
      <c r="IP10" s="4"/>
      <c r="IQ10" s="4"/>
      <c r="IR10" s="4"/>
      <c r="IS10" s="4"/>
      <c r="IT10" s="4"/>
      <c r="IU10" s="4"/>
      <c r="IV10" s="4"/>
      <c r="IW10" s="4"/>
      <c r="IX10" s="4"/>
      <c r="IY10" s="4"/>
      <c r="IZ10" s="4"/>
      <c r="JA10" s="4"/>
      <c r="JB10" s="4"/>
      <c r="JC10" s="4"/>
      <c r="JD10" s="4"/>
      <c r="JE10" s="4"/>
      <c r="JF10" s="4"/>
      <c r="JG10" s="4"/>
      <c r="JH10" s="4"/>
      <c r="JI10" s="4"/>
      <c r="JJ10" s="4"/>
      <c r="JK10" s="4"/>
      <c r="JL10" s="4"/>
      <c r="JM10" s="4"/>
      <c r="JN10" s="4"/>
      <c r="JO10" s="4"/>
      <c r="JP10" s="4"/>
      <c r="JQ10" s="4"/>
      <c r="JR10" s="4"/>
      <c r="JS10" s="4"/>
      <c r="JT10" s="4"/>
      <c r="JU10" s="4"/>
      <c r="JV10" s="4"/>
      <c r="JW10" s="4"/>
      <c r="JX10" s="4"/>
      <c r="JY10" s="4"/>
      <c r="JZ10" s="4"/>
      <c r="KA10" s="4"/>
      <c r="KB10" s="4"/>
      <c r="KC10" s="4"/>
      <c r="KD10" s="4"/>
      <c r="KE10" s="4"/>
      <c r="KF10" s="4"/>
      <c r="KG10" s="4"/>
      <c r="KH10" s="4"/>
      <c r="KI10" s="4"/>
      <c r="KJ10" s="4"/>
      <c r="KK10" s="4"/>
      <c r="KL10" s="4"/>
      <c r="KM10" s="4"/>
      <c r="KN10" s="4"/>
      <c r="KO10" s="4"/>
      <c r="KP10" s="4"/>
      <c r="KQ10" s="4"/>
      <c r="KR10" s="4"/>
      <c r="KS10" s="4"/>
      <c r="KT10" s="4"/>
      <c r="KU10" s="4"/>
      <c r="KV10" s="4"/>
      <c r="KW10" s="4"/>
      <c r="KX10" s="4"/>
      <c r="KY10" s="4"/>
      <c r="KZ10" s="4"/>
      <c r="LA10" s="4"/>
      <c r="LB10" s="4"/>
      <c r="LC10" s="4"/>
      <c r="LD10" s="4"/>
      <c r="LE10" s="4"/>
      <c r="LF10" s="4"/>
      <c r="LG10" s="4"/>
      <c r="LH10" s="4"/>
      <c r="LI10" s="4"/>
      <c r="LJ10" s="4"/>
      <c r="LK10" s="4"/>
      <c r="LL10" s="4"/>
      <c r="LM10" s="4"/>
      <c r="LN10" s="4"/>
      <c r="LO10" s="4"/>
      <c r="LP10" s="4"/>
      <c r="LQ10" s="4"/>
      <c r="LR10" s="4"/>
      <c r="LS10" s="4"/>
      <c r="LT10" s="4"/>
      <c r="LU10" s="4"/>
      <c r="LV10" s="4"/>
      <c r="LW10" s="4"/>
      <c r="LX10" s="4"/>
      <c r="LY10" s="4"/>
      <c r="LZ10" s="4"/>
      <c r="MA10" s="4"/>
      <c r="MB10" s="4"/>
      <c r="MC10" s="4"/>
      <c r="MD10" s="4"/>
      <c r="ME10" s="4"/>
      <c r="MF10" s="4"/>
      <c r="MG10" s="4"/>
      <c r="MH10" s="4"/>
      <c r="MI10" s="4"/>
      <c r="MJ10" s="4"/>
      <c r="MK10" s="4"/>
      <c r="ML10" s="4"/>
      <c r="MM10" s="4"/>
      <c r="MN10" s="4"/>
      <c r="MO10" s="4"/>
      <c r="MP10" s="4"/>
      <c r="MQ10" s="4"/>
      <c r="MR10" s="4"/>
      <c r="MS10" s="4"/>
      <c r="MT10" s="4"/>
      <c r="MU10" s="4"/>
      <c r="MV10" s="4"/>
      <c r="MW10" s="4"/>
      <c r="MX10" s="4"/>
      <c r="MY10" s="4"/>
      <c r="MZ10" s="4"/>
      <c r="NA10" s="4"/>
      <c r="NB10" s="4"/>
      <c r="NC10" s="4"/>
      <c r="ND10" s="4"/>
      <c r="NE10" s="4"/>
      <c r="NF10" s="4"/>
      <c r="NG10" s="4"/>
      <c r="NH10" s="4"/>
      <c r="NI10" s="4"/>
      <c r="NJ10" s="4"/>
      <c r="NK10" s="4"/>
      <c r="NL10" s="4"/>
      <c r="NM10" s="4"/>
      <c r="NN10" s="4"/>
      <c r="NO10" s="4"/>
      <c r="NP10" s="4"/>
      <c r="NQ10" s="4"/>
      <c r="NR10" s="4"/>
      <c r="NS10" s="4"/>
      <c r="NT10" s="4"/>
      <c r="NU10" s="4"/>
      <c r="NV10" s="4"/>
      <c r="NW10" s="4"/>
      <c r="NX10" s="4"/>
      <c r="NY10" s="4"/>
      <c r="NZ10" s="4"/>
      <c r="OA10" s="4"/>
      <c r="OB10" s="4"/>
      <c r="OC10" s="4"/>
      <c r="OD10" s="4"/>
      <c r="OE10" s="4"/>
      <c r="OF10" s="4"/>
      <c r="OG10" s="4"/>
      <c r="OH10" s="4"/>
      <c r="OI10" s="4"/>
      <c r="OJ10" s="4"/>
      <c r="OK10" s="4"/>
    </row>
    <row r="11" spans="1:451" x14ac:dyDescent="0.25">
      <c r="C11" s="6"/>
      <c r="D11" s="6"/>
      <c r="E11" s="6"/>
      <c r="F11" s="6"/>
    </row>
    <row r="12" spans="1:451" x14ac:dyDescent="0.25">
      <c r="C12" s="6"/>
      <c r="D12" s="6"/>
      <c r="E12" s="6"/>
      <c r="F12" s="6"/>
    </row>
    <row r="13" spans="1:451" x14ac:dyDescent="0.25">
      <c r="C13" s="6"/>
      <c r="D13" s="6"/>
      <c r="E13" s="6"/>
      <c r="F13" s="6"/>
    </row>
    <row r="14" spans="1:451" x14ac:dyDescent="0.25">
      <c r="C14" s="6"/>
      <c r="D14" s="6"/>
      <c r="E14" s="6"/>
      <c r="F14" s="6"/>
    </row>
    <row r="15" spans="1:451" x14ac:dyDescent="0.25">
      <c r="C15" s="6"/>
      <c r="D15" s="6"/>
      <c r="E15" s="6"/>
      <c r="F15" s="6"/>
    </row>
    <row r="16" spans="1:451" x14ac:dyDescent="0.25">
      <c r="C16" s="6"/>
      <c r="D16" s="6"/>
      <c r="E16" s="6"/>
      <c r="F16" s="6"/>
    </row>
    <row r="17" spans="3:6" x14ac:dyDescent="0.25">
      <c r="C17" s="6"/>
      <c r="D17" s="6"/>
      <c r="E17" s="6"/>
      <c r="F17" s="6"/>
    </row>
    <row r="18" spans="3:6" x14ac:dyDescent="0.25">
      <c r="C18" s="6"/>
      <c r="D18" s="6"/>
      <c r="E18" s="6"/>
      <c r="F18" s="6"/>
    </row>
    <row r="19" spans="3:6" x14ac:dyDescent="0.25">
      <c r="C19" s="6"/>
      <c r="D19" s="6"/>
      <c r="E19" s="6"/>
      <c r="F19" s="6"/>
    </row>
    <row r="20" spans="3:6" x14ac:dyDescent="0.25">
      <c r="C20" s="6"/>
      <c r="D20" s="6"/>
      <c r="E20" s="6"/>
      <c r="F20" s="6"/>
    </row>
    <row r="21" spans="3:6" x14ac:dyDescent="0.25">
      <c r="C21" s="6"/>
      <c r="D21" s="6"/>
      <c r="E21" s="6"/>
      <c r="F21" s="6"/>
    </row>
    <row r="22" spans="3:6" x14ac:dyDescent="0.25">
      <c r="C22" s="6"/>
      <c r="D22" s="6"/>
      <c r="E22" s="6"/>
      <c r="F22" s="6"/>
    </row>
    <row r="23" spans="3:6" x14ac:dyDescent="0.25">
      <c r="C23" s="6"/>
      <c r="D23" s="6"/>
      <c r="E23" s="6"/>
      <c r="F23" s="6"/>
    </row>
    <row r="24" spans="3:6" x14ac:dyDescent="0.25">
      <c r="C24" s="6"/>
      <c r="D24" s="6"/>
      <c r="E24" s="6"/>
      <c r="F24" s="6"/>
    </row>
    <row r="25" spans="3:6" x14ac:dyDescent="0.25">
      <c r="C25" s="6"/>
      <c r="D25" s="6"/>
      <c r="E25" s="6"/>
      <c r="F25" s="6"/>
    </row>
    <row r="26" spans="3:6" x14ac:dyDescent="0.25">
      <c r="C26" s="6"/>
      <c r="D26" s="6"/>
      <c r="E26" s="6"/>
      <c r="F26" s="6"/>
    </row>
    <row r="27" spans="3:6" x14ac:dyDescent="0.25">
      <c r="C27" s="6"/>
      <c r="D27" s="6"/>
      <c r="E27" s="6"/>
      <c r="F27" s="6"/>
    </row>
    <row r="28" spans="3:6" x14ac:dyDescent="0.25">
      <c r="C28" s="6"/>
      <c r="D28" s="6"/>
      <c r="E28" s="6"/>
      <c r="F28" s="6"/>
    </row>
    <row r="29" spans="3:6" x14ac:dyDescent="0.25">
      <c r="C29" s="6"/>
      <c r="D29" s="6"/>
      <c r="E29" s="6"/>
      <c r="F29" s="6"/>
    </row>
    <row r="30" spans="3:6" x14ac:dyDescent="0.25">
      <c r="C30" s="6"/>
      <c r="D30" s="6"/>
      <c r="E30" s="6"/>
      <c r="F30" s="6"/>
    </row>
    <row r="31" spans="3:6" x14ac:dyDescent="0.25">
      <c r="C31" s="6"/>
      <c r="D31" s="6"/>
      <c r="E31" s="6"/>
      <c r="F31" s="6"/>
    </row>
    <row r="32" spans="3:6" x14ac:dyDescent="0.25">
      <c r="C32" s="6"/>
      <c r="D32" s="6"/>
      <c r="E32" s="6"/>
      <c r="F32" s="6"/>
    </row>
    <row r="33" spans="3:6" x14ac:dyDescent="0.25">
      <c r="C33" s="6"/>
      <c r="D33" s="6"/>
      <c r="E33" s="6"/>
      <c r="F33" s="6"/>
    </row>
    <row r="34" spans="3:6" x14ac:dyDescent="0.25">
      <c r="C34" s="6"/>
      <c r="D34" s="6"/>
      <c r="E34" s="6"/>
      <c r="F34" s="6"/>
    </row>
    <row r="35" spans="3:6" x14ac:dyDescent="0.25">
      <c r="C35" s="6"/>
      <c r="D35" s="6"/>
      <c r="E35" s="6"/>
      <c r="F35" s="6"/>
    </row>
    <row r="36" spans="3:6" x14ac:dyDescent="0.25">
      <c r="C36" s="6"/>
      <c r="D36" s="6"/>
      <c r="E36" s="6"/>
      <c r="F36" s="6"/>
    </row>
    <row r="37" spans="3:6" x14ac:dyDescent="0.25">
      <c r="C37" s="6"/>
      <c r="D37" s="6"/>
      <c r="E37" s="6"/>
      <c r="F37" s="6"/>
    </row>
    <row r="38" spans="3:6" x14ac:dyDescent="0.25">
      <c r="C38" s="6"/>
      <c r="D38" s="6"/>
      <c r="E38" s="6"/>
      <c r="F38" s="6"/>
    </row>
    <row r="39" spans="3:6" x14ac:dyDescent="0.25">
      <c r="C39" s="6"/>
      <c r="D39" s="6"/>
      <c r="E39" s="6"/>
      <c r="F39" s="6"/>
    </row>
    <row r="40" spans="3:6" x14ac:dyDescent="0.25">
      <c r="C40" s="6"/>
      <c r="D40" s="6"/>
      <c r="E40" s="6"/>
      <c r="F40" s="6"/>
    </row>
    <row r="41" spans="3:6" x14ac:dyDescent="0.25">
      <c r="C41" s="6"/>
      <c r="D41" s="6"/>
      <c r="E41" s="6"/>
      <c r="F41" s="6"/>
    </row>
    <row r="42" spans="3:6" x14ac:dyDescent="0.25">
      <c r="C42" s="6"/>
      <c r="D42" s="6"/>
      <c r="E42" s="6"/>
      <c r="F42" s="6"/>
    </row>
    <row r="43" spans="3:6" x14ac:dyDescent="0.25">
      <c r="C43" s="6"/>
      <c r="D43" s="6"/>
      <c r="E43" s="6"/>
      <c r="F43" s="6"/>
    </row>
    <row r="44" spans="3:6" x14ac:dyDescent="0.25">
      <c r="C44" s="6"/>
      <c r="D44" s="6"/>
      <c r="E44" s="6"/>
      <c r="F44" s="6"/>
    </row>
    <row r="45" spans="3:6" x14ac:dyDescent="0.25">
      <c r="C45" s="6"/>
      <c r="D45" s="6"/>
      <c r="E45" s="6"/>
      <c r="F45" s="6"/>
    </row>
    <row r="46" spans="3:6" x14ac:dyDescent="0.25">
      <c r="C46" s="6"/>
      <c r="D46" s="6"/>
      <c r="E46" s="6"/>
      <c r="F46" s="6"/>
    </row>
    <row r="47" spans="3:6" x14ac:dyDescent="0.25">
      <c r="C47" s="6"/>
      <c r="D47" s="6"/>
      <c r="E47" s="6"/>
      <c r="F47" s="6"/>
    </row>
    <row r="48" spans="3:6" x14ac:dyDescent="0.25">
      <c r="C48" s="6"/>
      <c r="D48" s="6"/>
      <c r="E48" s="6"/>
      <c r="F48" s="6"/>
    </row>
    <row r="49" spans="3:6" x14ac:dyDescent="0.25">
      <c r="C49" s="6"/>
      <c r="D49" s="6"/>
      <c r="E49" s="6"/>
      <c r="F49" s="6"/>
    </row>
    <row r="50" spans="3:6" x14ac:dyDescent="0.25">
      <c r="C50" s="6"/>
      <c r="D50" s="6"/>
      <c r="E50" s="6"/>
      <c r="F50" s="6"/>
    </row>
    <row r="51" spans="3:6" x14ac:dyDescent="0.25">
      <c r="C51" s="6"/>
      <c r="D51" s="6"/>
      <c r="E51" s="6"/>
      <c r="F51" s="6"/>
    </row>
    <row r="52" spans="3:6" x14ac:dyDescent="0.25">
      <c r="C52" s="6"/>
      <c r="D52" s="6"/>
      <c r="E52" s="6"/>
      <c r="F52" s="6"/>
    </row>
    <row r="53" spans="3:6" x14ac:dyDescent="0.25">
      <c r="C53" s="6"/>
      <c r="D53" s="6"/>
      <c r="E53" s="6"/>
      <c r="F53" s="6"/>
    </row>
    <row r="54" spans="3:6" x14ac:dyDescent="0.25">
      <c r="C54" s="6"/>
      <c r="D54" s="6"/>
      <c r="E54" s="6"/>
      <c r="F54" s="6"/>
    </row>
    <row r="55" spans="3:6" x14ac:dyDescent="0.25">
      <c r="C55" s="6"/>
      <c r="D55" s="6"/>
      <c r="E55" s="6"/>
      <c r="F55" s="6"/>
    </row>
    <row r="56" spans="3:6" x14ac:dyDescent="0.25">
      <c r="C56" s="6"/>
      <c r="D56" s="6"/>
      <c r="E56" s="6"/>
      <c r="F56" s="6"/>
    </row>
    <row r="57" spans="3:6" x14ac:dyDescent="0.25">
      <c r="C57" s="6"/>
      <c r="D57" s="6"/>
      <c r="E57" s="6"/>
      <c r="F57" s="6"/>
    </row>
    <row r="58" spans="3:6" x14ac:dyDescent="0.25">
      <c r="C58" s="6"/>
      <c r="D58" s="6"/>
      <c r="E58" s="6"/>
      <c r="F58" s="6"/>
    </row>
    <row r="59" spans="3:6" x14ac:dyDescent="0.25">
      <c r="C59" s="6"/>
      <c r="D59" s="6"/>
      <c r="E59" s="6"/>
      <c r="F59" s="6"/>
    </row>
    <row r="60" spans="3:6" x14ac:dyDescent="0.25">
      <c r="C60" s="6"/>
      <c r="D60" s="6"/>
      <c r="E60" s="6"/>
      <c r="F60" s="6"/>
    </row>
    <row r="61" spans="3:6" x14ac:dyDescent="0.25">
      <c r="C61" s="6"/>
      <c r="D61" s="6"/>
      <c r="E61" s="6"/>
      <c r="F61" s="6"/>
    </row>
    <row r="62" spans="3:6" x14ac:dyDescent="0.25">
      <c r="C62" s="6"/>
      <c r="D62" s="6"/>
      <c r="E62" s="6"/>
      <c r="F62" s="6"/>
    </row>
    <row r="63" spans="3:6" x14ac:dyDescent="0.25">
      <c r="C63" s="6"/>
      <c r="D63" s="6"/>
      <c r="E63" s="6"/>
      <c r="F63" s="6"/>
    </row>
    <row r="64" spans="3:6" x14ac:dyDescent="0.25">
      <c r="C64" s="6"/>
      <c r="D64" s="6"/>
      <c r="E64" s="6"/>
      <c r="F64" s="6"/>
    </row>
    <row r="65" spans="3:6" x14ac:dyDescent="0.25">
      <c r="C65" s="6"/>
      <c r="D65" s="6"/>
      <c r="E65" s="6"/>
      <c r="F65" s="6"/>
    </row>
    <row r="66" spans="3:6" x14ac:dyDescent="0.25">
      <c r="C66" s="6"/>
      <c r="D66" s="6"/>
      <c r="E66" s="6"/>
      <c r="F66" s="6"/>
    </row>
    <row r="67" spans="3:6" x14ac:dyDescent="0.25">
      <c r="C67" s="6"/>
      <c r="D67" s="6"/>
      <c r="E67" s="6"/>
      <c r="F67" s="6"/>
    </row>
    <row r="68" spans="3:6" x14ac:dyDescent="0.25">
      <c r="C68" s="6"/>
      <c r="D68" s="6"/>
      <c r="E68" s="6"/>
      <c r="F68" s="6"/>
    </row>
    <row r="69" spans="3:6" x14ac:dyDescent="0.25">
      <c r="C69" s="6"/>
      <c r="D69" s="6"/>
      <c r="E69" s="6"/>
      <c r="F69" s="6"/>
    </row>
    <row r="70" spans="3:6" x14ac:dyDescent="0.25">
      <c r="C70" s="6"/>
      <c r="D70" s="6"/>
      <c r="E70" s="6"/>
      <c r="F70" s="6"/>
    </row>
    <row r="71" spans="3:6" x14ac:dyDescent="0.25">
      <c r="C71" s="6"/>
      <c r="D71" s="6"/>
      <c r="E71" s="6"/>
      <c r="F71" s="6"/>
    </row>
    <row r="72" spans="3:6" x14ac:dyDescent="0.25">
      <c r="C72" s="6"/>
      <c r="D72" s="6"/>
      <c r="E72" s="6"/>
      <c r="F72" s="6"/>
    </row>
    <row r="73" spans="3:6" x14ac:dyDescent="0.25">
      <c r="C73" s="6"/>
      <c r="D73" s="6"/>
      <c r="E73" s="6"/>
      <c r="F73" s="6"/>
    </row>
    <row r="74" spans="3:6" x14ac:dyDescent="0.25">
      <c r="C74" s="6"/>
      <c r="D74" s="6"/>
      <c r="E74" s="6"/>
      <c r="F74" s="6"/>
    </row>
    <row r="75" spans="3:6" x14ac:dyDescent="0.25">
      <c r="C75" s="6"/>
      <c r="D75" s="6"/>
      <c r="E75" s="6"/>
      <c r="F75" s="6"/>
    </row>
    <row r="76" spans="3:6" x14ac:dyDescent="0.25">
      <c r="C76" s="6"/>
      <c r="D76" s="6"/>
      <c r="E76" s="6"/>
      <c r="F76" s="6"/>
    </row>
    <row r="77" spans="3:6" x14ac:dyDescent="0.25">
      <c r="C77" s="6"/>
      <c r="D77" s="6"/>
      <c r="E77" s="6"/>
      <c r="F77" s="6"/>
    </row>
    <row r="78" spans="3:6" x14ac:dyDescent="0.25">
      <c r="C78" s="6"/>
      <c r="D78" s="6"/>
      <c r="E78" s="6"/>
      <c r="F78" s="6"/>
    </row>
    <row r="79" spans="3:6" x14ac:dyDescent="0.25">
      <c r="C79" s="6"/>
      <c r="D79" s="6"/>
      <c r="E79" s="6"/>
      <c r="F79" s="6"/>
    </row>
    <row r="80" spans="3:6" x14ac:dyDescent="0.25">
      <c r="C80" s="6"/>
      <c r="D80" s="6"/>
      <c r="E80" s="6"/>
      <c r="F80" s="6"/>
    </row>
    <row r="81" spans="3:6" x14ac:dyDescent="0.25">
      <c r="C81" s="6"/>
      <c r="D81" s="6"/>
      <c r="E81" s="6"/>
      <c r="F81" s="6"/>
    </row>
    <row r="82" spans="3:6" x14ac:dyDescent="0.25">
      <c r="C82" s="6"/>
      <c r="D82" s="6"/>
      <c r="E82" s="6"/>
      <c r="F82" s="6"/>
    </row>
    <row r="83" spans="3:6" x14ac:dyDescent="0.25">
      <c r="C83" s="6"/>
      <c r="D83" s="6"/>
      <c r="E83" s="6"/>
      <c r="F83" s="6"/>
    </row>
    <row r="84" spans="3:6" x14ac:dyDescent="0.25">
      <c r="C84" s="6"/>
      <c r="D84" s="6"/>
      <c r="E84" s="6"/>
      <c r="F84" s="6"/>
    </row>
    <row r="85" spans="3:6" x14ac:dyDescent="0.25">
      <c r="C85" s="6"/>
      <c r="D85" s="6"/>
      <c r="E85" s="6"/>
      <c r="F85" s="6"/>
    </row>
    <row r="86" spans="3:6" x14ac:dyDescent="0.25">
      <c r="C86" s="6"/>
      <c r="D86" s="6"/>
      <c r="E86" s="6"/>
      <c r="F86" s="6"/>
    </row>
    <row r="87" spans="3:6" x14ac:dyDescent="0.25">
      <c r="C87" s="6"/>
      <c r="D87" s="6"/>
      <c r="E87" s="6"/>
      <c r="F87" s="6"/>
    </row>
    <row r="88" spans="3:6" x14ac:dyDescent="0.25">
      <c r="C88" s="6"/>
      <c r="D88" s="6"/>
      <c r="E88" s="6"/>
      <c r="F88" s="6"/>
    </row>
    <row r="89" spans="3:6" x14ac:dyDescent="0.25">
      <c r="C89" s="6"/>
      <c r="D89" s="6"/>
      <c r="E89" s="6"/>
      <c r="F89" s="6"/>
    </row>
    <row r="90" spans="3:6" x14ac:dyDescent="0.25">
      <c r="C90" s="6"/>
      <c r="D90" s="6"/>
      <c r="E90" s="6"/>
      <c r="F90" s="6"/>
    </row>
    <row r="91" spans="3:6" x14ac:dyDescent="0.25">
      <c r="C91" s="6"/>
      <c r="D91" s="6"/>
      <c r="E91" s="6"/>
      <c r="F91" s="6"/>
    </row>
    <row r="92" spans="3:6" x14ac:dyDescent="0.25">
      <c r="C92" s="6"/>
      <c r="D92" s="6"/>
      <c r="E92" s="6"/>
      <c r="F92" s="6"/>
    </row>
    <row r="93" spans="3:6" x14ac:dyDescent="0.25">
      <c r="C93" s="6"/>
      <c r="D93" s="6"/>
      <c r="E93" s="6"/>
      <c r="F93" s="6"/>
    </row>
    <row r="94" spans="3:6" x14ac:dyDescent="0.25">
      <c r="C94" s="6"/>
      <c r="D94" s="6"/>
      <c r="E94" s="6"/>
      <c r="F94" s="6"/>
    </row>
    <row r="95" spans="3:6" x14ac:dyDescent="0.25">
      <c r="C95" s="6"/>
      <c r="D95" s="6"/>
      <c r="E95" s="6"/>
      <c r="F95" s="6"/>
    </row>
    <row r="96" spans="3:6" x14ac:dyDescent="0.25">
      <c r="C96" s="6"/>
      <c r="D96" s="6"/>
      <c r="E96" s="6"/>
      <c r="F96" s="6"/>
    </row>
    <row r="97" spans="3:6" x14ac:dyDescent="0.25">
      <c r="C97" s="6"/>
      <c r="D97" s="6"/>
      <c r="E97" s="6"/>
      <c r="F97" s="6"/>
    </row>
    <row r="98" spans="3:6" x14ac:dyDescent="0.25">
      <c r="C98" s="6"/>
      <c r="D98" s="6"/>
      <c r="E98" s="6"/>
      <c r="F98" s="6"/>
    </row>
    <row r="99" spans="3:6" x14ac:dyDescent="0.25">
      <c r="C99" s="6"/>
      <c r="D99" s="6"/>
      <c r="E99" s="6"/>
      <c r="F99" s="6"/>
    </row>
    <row r="100" spans="3:6" x14ac:dyDescent="0.25">
      <c r="C100" s="6"/>
      <c r="D100" s="6"/>
      <c r="E100" s="6"/>
      <c r="F100" s="6"/>
    </row>
    <row r="101" spans="3:6" x14ac:dyDescent="0.25">
      <c r="C101" s="6"/>
      <c r="D101" s="6"/>
      <c r="E101" s="6"/>
      <c r="F101" s="6"/>
    </row>
    <row r="102" spans="3:6" x14ac:dyDescent="0.25">
      <c r="C102" s="6"/>
      <c r="D102" s="6"/>
      <c r="E102" s="6"/>
      <c r="F102" s="6"/>
    </row>
    <row r="103" spans="3:6" x14ac:dyDescent="0.25">
      <c r="C103" s="6"/>
      <c r="D103" s="6"/>
      <c r="E103" s="6"/>
      <c r="F103" s="6"/>
    </row>
    <row r="104" spans="3:6" x14ac:dyDescent="0.25">
      <c r="C104" s="6"/>
      <c r="D104" s="6"/>
      <c r="E104" s="6"/>
      <c r="F104" s="6"/>
    </row>
    <row r="105" spans="3:6" x14ac:dyDescent="0.25">
      <c r="C105" s="6"/>
      <c r="D105" s="6"/>
      <c r="E105" s="6"/>
      <c r="F105" s="6"/>
    </row>
    <row r="106" spans="3:6" x14ac:dyDescent="0.25">
      <c r="C106" s="6"/>
      <c r="D106" s="6"/>
      <c r="E106" s="6"/>
      <c r="F106" s="6"/>
    </row>
    <row r="107" spans="3:6" x14ac:dyDescent="0.25">
      <c r="C107" s="6"/>
      <c r="D107" s="6"/>
      <c r="E107" s="6"/>
      <c r="F107" s="6"/>
    </row>
    <row r="108" spans="3:6" x14ac:dyDescent="0.25">
      <c r="C108" s="6"/>
      <c r="D108" s="6"/>
      <c r="E108" s="6"/>
      <c r="F108" s="6"/>
    </row>
    <row r="109" spans="3:6" x14ac:dyDescent="0.25">
      <c r="C109" s="6"/>
      <c r="D109" s="6"/>
      <c r="E109" s="6"/>
      <c r="F109" s="6"/>
    </row>
    <row r="110" spans="3:6" x14ac:dyDescent="0.25">
      <c r="C110" s="6"/>
      <c r="D110" s="6"/>
      <c r="E110" s="6"/>
      <c r="F110" s="6"/>
    </row>
    <row r="111" spans="3:6" x14ac:dyDescent="0.25">
      <c r="C111" s="6"/>
      <c r="D111" s="6"/>
      <c r="E111" s="6"/>
      <c r="F111" s="6"/>
    </row>
    <row r="112" spans="3:6" x14ac:dyDescent="0.25">
      <c r="C112" s="6"/>
      <c r="D112" s="6"/>
      <c r="E112" s="6"/>
      <c r="F112" s="6"/>
    </row>
    <row r="113" spans="3:6" x14ac:dyDescent="0.25">
      <c r="C113" s="6"/>
      <c r="D113" s="6"/>
      <c r="E113" s="6"/>
      <c r="F113" s="6"/>
    </row>
    <row r="114" spans="3:6" x14ac:dyDescent="0.25">
      <c r="C114" s="6"/>
      <c r="D114" s="6"/>
      <c r="E114" s="6"/>
      <c r="F114" s="6"/>
    </row>
    <row r="115" spans="3:6" x14ac:dyDescent="0.25">
      <c r="C115" s="6"/>
      <c r="D115" s="6"/>
      <c r="E115" s="6"/>
      <c r="F115" s="6"/>
    </row>
    <row r="116" spans="3:6" x14ac:dyDescent="0.25">
      <c r="C116" s="6"/>
      <c r="D116" s="6"/>
      <c r="E116" s="6"/>
      <c r="F116" s="6"/>
    </row>
    <row r="117" spans="3:6" x14ac:dyDescent="0.25">
      <c r="C117" s="6"/>
      <c r="D117" s="6"/>
      <c r="E117" s="6"/>
      <c r="F117" s="6"/>
    </row>
    <row r="118" spans="3:6" x14ac:dyDescent="0.25">
      <c r="C118" s="6"/>
      <c r="D118" s="6"/>
      <c r="E118" s="6"/>
      <c r="F118" s="6"/>
    </row>
    <row r="119" spans="3:6" x14ac:dyDescent="0.25">
      <c r="C119" s="6"/>
      <c r="D119" s="6"/>
      <c r="E119" s="6"/>
      <c r="F119" s="6"/>
    </row>
    <row r="120" spans="3:6" x14ac:dyDescent="0.25">
      <c r="C120" s="6"/>
      <c r="D120" s="6"/>
      <c r="E120" s="6"/>
      <c r="F120" s="6"/>
    </row>
    <row r="121" spans="3:6" x14ac:dyDescent="0.25">
      <c r="C121" s="6"/>
      <c r="D121" s="6"/>
      <c r="E121" s="6"/>
      <c r="F121" s="6"/>
    </row>
    <row r="122" spans="3:6" x14ac:dyDescent="0.25">
      <c r="C122" s="6"/>
      <c r="D122" s="6"/>
      <c r="E122" s="6"/>
      <c r="F122" s="6"/>
    </row>
    <row r="123" spans="3:6" x14ac:dyDescent="0.25">
      <c r="C123" s="6"/>
      <c r="D123" s="6"/>
      <c r="E123" s="6"/>
      <c r="F123" s="6"/>
    </row>
    <row r="124" spans="3:6" x14ac:dyDescent="0.25">
      <c r="C124" s="6"/>
      <c r="D124" s="6"/>
      <c r="E124" s="6"/>
      <c r="F124" s="6"/>
    </row>
    <row r="125" spans="3:6" x14ac:dyDescent="0.25">
      <c r="C125" s="6"/>
      <c r="D125" s="6"/>
      <c r="E125" s="6"/>
      <c r="F125" s="6"/>
    </row>
    <row r="126" spans="3:6" x14ac:dyDescent="0.25">
      <c r="C126" s="6"/>
      <c r="D126" s="6"/>
      <c r="E126" s="6"/>
      <c r="F126" s="6"/>
    </row>
    <row r="127" spans="3:6" x14ac:dyDescent="0.25">
      <c r="C127" s="6"/>
      <c r="D127" s="6"/>
      <c r="E127" s="6"/>
      <c r="F127" s="6"/>
    </row>
    <row r="128" spans="3:6" x14ac:dyDescent="0.25">
      <c r="C128" s="6"/>
      <c r="D128" s="6"/>
      <c r="E128" s="6"/>
      <c r="F128" s="6"/>
    </row>
    <row r="129" spans="3:6" x14ac:dyDescent="0.25">
      <c r="C129" s="6"/>
      <c r="D129" s="6"/>
      <c r="E129" s="6"/>
      <c r="F129" s="6"/>
    </row>
    <row r="130" spans="3:6" x14ac:dyDescent="0.25">
      <c r="C130" s="6"/>
      <c r="D130" s="6"/>
      <c r="E130" s="6"/>
      <c r="F130" s="6"/>
    </row>
    <row r="131" spans="3:6" x14ac:dyDescent="0.25">
      <c r="C131" s="6"/>
      <c r="D131" s="6"/>
      <c r="E131" s="6"/>
      <c r="F131" s="6"/>
    </row>
    <row r="132" spans="3:6" x14ac:dyDescent="0.25">
      <c r="C132" s="6"/>
      <c r="D132" s="6"/>
      <c r="E132" s="6"/>
      <c r="F132" s="6"/>
    </row>
    <row r="133" spans="3:6" x14ac:dyDescent="0.25">
      <c r="C133" s="6"/>
      <c r="D133" s="6"/>
      <c r="E133" s="6"/>
      <c r="F133" s="6"/>
    </row>
    <row r="134" spans="3:6" x14ac:dyDescent="0.25">
      <c r="C134" s="6"/>
      <c r="D134" s="6"/>
      <c r="E134" s="6"/>
      <c r="F134" s="6"/>
    </row>
    <row r="135" spans="3:6" x14ac:dyDescent="0.25">
      <c r="C135" s="6"/>
      <c r="D135" s="6"/>
      <c r="E135" s="6"/>
      <c r="F135" s="6"/>
    </row>
    <row r="136" spans="3:6" x14ac:dyDescent="0.25">
      <c r="C136" s="6"/>
      <c r="D136" s="6"/>
      <c r="E136" s="6"/>
      <c r="F136" s="6"/>
    </row>
    <row r="137" spans="3:6" x14ac:dyDescent="0.25">
      <c r="C137" s="6"/>
      <c r="D137" s="6"/>
      <c r="E137" s="6"/>
      <c r="F137" s="6"/>
    </row>
    <row r="138" spans="3:6" x14ac:dyDescent="0.25">
      <c r="C138" s="6"/>
      <c r="D138" s="6"/>
      <c r="E138" s="6"/>
      <c r="F138" s="6"/>
    </row>
    <row r="139" spans="3:6" x14ac:dyDescent="0.25">
      <c r="C139" s="6"/>
      <c r="D139" s="6"/>
      <c r="E139" s="6"/>
      <c r="F139" s="6"/>
    </row>
    <row r="140" spans="3:6" x14ac:dyDescent="0.25">
      <c r="C140" s="6"/>
      <c r="D140" s="6"/>
      <c r="E140" s="6"/>
      <c r="F140" s="6"/>
    </row>
    <row r="141" spans="3:6" x14ac:dyDescent="0.25">
      <c r="C141" s="6"/>
      <c r="D141" s="6"/>
      <c r="E141" s="6"/>
      <c r="F141" s="6"/>
    </row>
    <row r="142" spans="3:6" x14ac:dyDescent="0.25">
      <c r="C142" s="6"/>
      <c r="D142" s="6"/>
      <c r="E142" s="6"/>
      <c r="F142" s="6"/>
    </row>
    <row r="143" spans="3:6" x14ac:dyDescent="0.25">
      <c r="C143" s="6"/>
      <c r="D143" s="6"/>
      <c r="E143" s="6"/>
      <c r="F143" s="6"/>
    </row>
    <row r="144" spans="3:6" x14ac:dyDescent="0.25">
      <c r="C144" s="6"/>
      <c r="D144" s="6"/>
      <c r="E144" s="6"/>
      <c r="F144" s="6"/>
    </row>
    <row r="145" spans="3:6" x14ac:dyDescent="0.25">
      <c r="C145" s="6"/>
      <c r="D145" s="6"/>
      <c r="E145" s="6"/>
      <c r="F145" s="6"/>
    </row>
    <row r="146" spans="3:6" x14ac:dyDescent="0.25">
      <c r="C146" s="6"/>
      <c r="D146" s="6"/>
      <c r="E146" s="6"/>
      <c r="F146" s="6"/>
    </row>
    <row r="147" spans="3:6" x14ac:dyDescent="0.25">
      <c r="C147" s="6"/>
      <c r="D147" s="6"/>
      <c r="E147" s="6"/>
      <c r="F147" s="6"/>
    </row>
    <row r="148" spans="3:6" x14ac:dyDescent="0.25">
      <c r="C148" s="6"/>
      <c r="D148" s="6"/>
      <c r="E148" s="6"/>
      <c r="F148" s="6"/>
    </row>
    <row r="149" spans="3:6" x14ac:dyDescent="0.25">
      <c r="C149" s="6"/>
      <c r="D149" s="6"/>
      <c r="E149" s="6"/>
      <c r="F149" s="6"/>
    </row>
    <row r="150" spans="3:6" x14ac:dyDescent="0.25">
      <c r="C150" s="6"/>
      <c r="D150" s="6"/>
      <c r="E150" s="6"/>
      <c r="F150" s="6"/>
    </row>
    <row r="151" spans="3:6" x14ac:dyDescent="0.25">
      <c r="C151" s="6"/>
      <c r="D151" s="6"/>
      <c r="E151" s="6"/>
      <c r="F151" s="6"/>
    </row>
    <row r="152" spans="3:6" x14ac:dyDescent="0.25">
      <c r="C152" s="6"/>
      <c r="D152" s="6"/>
      <c r="E152" s="6"/>
      <c r="F152" s="6"/>
    </row>
    <row r="153" spans="3:6" x14ac:dyDescent="0.25">
      <c r="C153" s="6"/>
      <c r="D153" s="6"/>
      <c r="E153" s="6"/>
      <c r="F153" s="6"/>
    </row>
    <row r="154" spans="3:6" x14ac:dyDescent="0.25">
      <c r="C154" s="6"/>
      <c r="D154" s="6"/>
      <c r="E154" s="6"/>
      <c r="F154" s="6"/>
    </row>
    <row r="155" spans="3:6" x14ac:dyDescent="0.25">
      <c r="C155" s="6"/>
      <c r="D155" s="6"/>
      <c r="E155" s="6"/>
      <c r="F155" s="6"/>
    </row>
    <row r="156" spans="3:6" x14ac:dyDescent="0.25">
      <c r="C156" s="6"/>
      <c r="D156" s="6"/>
      <c r="E156" s="6"/>
      <c r="F156" s="6"/>
    </row>
    <row r="157" spans="3:6" x14ac:dyDescent="0.25">
      <c r="C157" s="6"/>
      <c r="D157" s="6"/>
      <c r="E157" s="6"/>
      <c r="F157" s="6"/>
    </row>
    <row r="158" spans="3:6" x14ac:dyDescent="0.25">
      <c r="C158" s="6"/>
      <c r="D158" s="6"/>
      <c r="E158" s="6"/>
      <c r="F158" s="6"/>
    </row>
    <row r="159" spans="3:6" x14ac:dyDescent="0.25">
      <c r="C159" s="6"/>
      <c r="D159" s="6"/>
      <c r="E159" s="6"/>
      <c r="F159" s="6"/>
    </row>
    <row r="160" spans="3:6" x14ac:dyDescent="0.25">
      <c r="C160" s="6"/>
      <c r="D160" s="6"/>
      <c r="E160" s="6"/>
      <c r="F160" s="6"/>
    </row>
    <row r="161" spans="3:6" x14ac:dyDescent="0.25">
      <c r="C161" s="6"/>
      <c r="D161" s="6"/>
      <c r="E161" s="6"/>
      <c r="F161" s="6"/>
    </row>
    <row r="162" spans="3:6" x14ac:dyDescent="0.25">
      <c r="C162" s="6"/>
      <c r="D162" s="6"/>
      <c r="E162" s="6"/>
      <c r="F162" s="6"/>
    </row>
    <row r="163" spans="3:6" x14ac:dyDescent="0.25">
      <c r="C163" s="6"/>
      <c r="D163" s="6"/>
      <c r="E163" s="6"/>
      <c r="F163" s="6"/>
    </row>
    <row r="164" spans="3:6" x14ac:dyDescent="0.25">
      <c r="C164" s="6"/>
      <c r="D164" s="6"/>
      <c r="E164" s="6"/>
      <c r="F164" s="6"/>
    </row>
    <row r="165" spans="3:6" x14ac:dyDescent="0.25">
      <c r="C165" s="6"/>
      <c r="D165" s="6"/>
      <c r="E165" s="6"/>
      <c r="F165" s="6"/>
    </row>
    <row r="166" spans="3:6" x14ac:dyDescent="0.25">
      <c r="C166" s="6"/>
      <c r="D166" s="6"/>
      <c r="E166" s="6"/>
      <c r="F166" s="6"/>
    </row>
    <row r="167" spans="3:6" x14ac:dyDescent="0.25">
      <c r="C167" s="6"/>
      <c r="D167" s="6"/>
      <c r="E167" s="6"/>
      <c r="F167" s="6"/>
    </row>
    <row r="168" spans="3:6" x14ac:dyDescent="0.25">
      <c r="C168" s="6"/>
      <c r="D168" s="6"/>
      <c r="E168" s="6"/>
      <c r="F168" s="6"/>
    </row>
    <row r="169" spans="3:6" x14ac:dyDescent="0.25">
      <c r="C169" s="6"/>
      <c r="D169" s="6"/>
      <c r="E169" s="6"/>
      <c r="F169" s="6"/>
    </row>
    <row r="170" spans="3:6" x14ac:dyDescent="0.25">
      <c r="C170" s="6"/>
      <c r="D170" s="6"/>
      <c r="E170" s="6"/>
      <c r="F170" s="6"/>
    </row>
    <row r="171" spans="3:6" x14ac:dyDescent="0.25">
      <c r="C171" s="6"/>
      <c r="D171" s="6"/>
      <c r="E171" s="6"/>
      <c r="F171" s="6"/>
    </row>
    <row r="172" spans="3:6" x14ac:dyDescent="0.25">
      <c r="C172" s="6"/>
      <c r="D172" s="6"/>
      <c r="E172" s="6"/>
      <c r="F172" s="6"/>
    </row>
    <row r="173" spans="3:6" x14ac:dyDescent="0.25">
      <c r="C173" s="6"/>
      <c r="D173" s="6"/>
      <c r="E173" s="6"/>
      <c r="F173" s="6"/>
    </row>
    <row r="174" spans="3:6" x14ac:dyDescent="0.25">
      <c r="C174" s="6"/>
      <c r="D174" s="6"/>
      <c r="E174" s="6"/>
      <c r="F174" s="6"/>
    </row>
    <row r="175" spans="3:6" x14ac:dyDescent="0.25">
      <c r="C175" s="6"/>
      <c r="D175" s="6"/>
      <c r="E175" s="6"/>
      <c r="F175" s="6"/>
    </row>
    <row r="176" spans="3:6" x14ac:dyDescent="0.25">
      <c r="C176" s="6"/>
      <c r="D176" s="6"/>
      <c r="E176" s="6"/>
      <c r="F176" s="6"/>
    </row>
    <row r="177" spans="3:6" x14ac:dyDescent="0.25">
      <c r="C177" s="6"/>
      <c r="D177" s="6"/>
      <c r="E177" s="6"/>
      <c r="F177" s="6"/>
    </row>
    <row r="178" spans="3:6" x14ac:dyDescent="0.25">
      <c r="C178" s="6"/>
      <c r="D178" s="6"/>
      <c r="E178" s="6"/>
      <c r="F178" s="6"/>
    </row>
    <row r="179" spans="3:6" x14ac:dyDescent="0.25">
      <c r="C179" s="6"/>
      <c r="D179" s="6"/>
      <c r="E179" s="6"/>
      <c r="F179" s="6"/>
    </row>
    <row r="180" spans="3:6" x14ac:dyDescent="0.25">
      <c r="C180" s="6"/>
      <c r="D180" s="6"/>
      <c r="E180" s="6"/>
      <c r="F180" s="6"/>
    </row>
    <row r="181" spans="3:6" x14ac:dyDescent="0.25">
      <c r="C181" s="6"/>
      <c r="D181" s="6"/>
      <c r="E181" s="6"/>
      <c r="F181" s="6"/>
    </row>
    <row r="182" spans="3:6" x14ac:dyDescent="0.25">
      <c r="C182" s="6"/>
      <c r="D182" s="6"/>
      <c r="E182" s="6"/>
      <c r="F182" s="6"/>
    </row>
    <row r="183" spans="3:6" x14ac:dyDescent="0.25">
      <c r="C183" s="6"/>
      <c r="D183" s="6"/>
      <c r="E183" s="6"/>
      <c r="F183" s="6"/>
    </row>
    <row r="184" spans="3:6" x14ac:dyDescent="0.25">
      <c r="C184" s="6"/>
      <c r="D184" s="6"/>
      <c r="E184" s="6"/>
      <c r="F184" s="6"/>
    </row>
    <row r="185" spans="3:6" x14ac:dyDescent="0.25">
      <c r="C185" s="6"/>
      <c r="D185" s="6"/>
      <c r="E185" s="6"/>
      <c r="F185" s="6"/>
    </row>
    <row r="186" spans="3:6" x14ac:dyDescent="0.25">
      <c r="C186" s="6"/>
      <c r="D186" s="6"/>
      <c r="E186" s="6"/>
      <c r="F186" s="6"/>
    </row>
    <row r="187" spans="3:6" x14ac:dyDescent="0.25">
      <c r="C187" s="6"/>
      <c r="D187" s="6"/>
      <c r="E187" s="6"/>
      <c r="F187" s="6"/>
    </row>
    <row r="188" spans="3:6" x14ac:dyDescent="0.25">
      <c r="C188" s="6"/>
      <c r="D188" s="6"/>
      <c r="E188" s="6"/>
      <c r="F188" s="6"/>
    </row>
    <row r="189" spans="3:6" x14ac:dyDescent="0.25">
      <c r="C189" s="6"/>
      <c r="D189" s="6"/>
      <c r="E189" s="6"/>
      <c r="F189" s="6"/>
    </row>
    <row r="190" spans="3:6" x14ac:dyDescent="0.25">
      <c r="C190" s="6"/>
      <c r="D190" s="6"/>
      <c r="E190" s="6"/>
      <c r="F190" s="6"/>
    </row>
    <row r="191" spans="3:6" x14ac:dyDescent="0.25">
      <c r="C191" s="6"/>
      <c r="D191" s="6"/>
      <c r="E191" s="6"/>
      <c r="F191" s="6"/>
    </row>
    <row r="192" spans="3:6" x14ac:dyDescent="0.25">
      <c r="C192" s="6"/>
      <c r="D192" s="6"/>
      <c r="E192" s="6"/>
      <c r="F192" s="6"/>
    </row>
    <row r="193" spans="3:6" x14ac:dyDescent="0.25">
      <c r="C193" s="6"/>
      <c r="D193" s="6"/>
      <c r="E193" s="6"/>
      <c r="F193" s="6"/>
    </row>
    <row r="194" spans="3:6" x14ac:dyDescent="0.25">
      <c r="C194" s="6"/>
      <c r="D194" s="6"/>
      <c r="E194" s="6"/>
      <c r="F194" s="6"/>
    </row>
    <row r="195" spans="3:6" x14ac:dyDescent="0.25">
      <c r="C195" s="6"/>
      <c r="D195" s="6"/>
      <c r="E195" s="6"/>
      <c r="F195" s="6"/>
    </row>
    <row r="196" spans="3:6" x14ac:dyDescent="0.25">
      <c r="C196" s="6"/>
      <c r="D196" s="6"/>
      <c r="E196" s="6"/>
      <c r="F196" s="6"/>
    </row>
    <row r="197" spans="3:6" x14ac:dyDescent="0.25">
      <c r="C197" s="6"/>
      <c r="D197" s="6"/>
      <c r="E197" s="6"/>
      <c r="F197" s="6"/>
    </row>
    <row r="198" spans="3:6" x14ac:dyDescent="0.25">
      <c r="C198" s="6"/>
      <c r="D198" s="6"/>
      <c r="E198" s="6"/>
      <c r="F198" s="6"/>
    </row>
    <row r="199" spans="3:6" x14ac:dyDescent="0.25">
      <c r="C199" s="6"/>
      <c r="D199" s="6"/>
      <c r="E199" s="6"/>
      <c r="F199" s="6"/>
    </row>
    <row r="200" spans="3:6" x14ac:dyDescent="0.25">
      <c r="C200" s="6"/>
      <c r="D200" s="6"/>
      <c r="E200" s="6"/>
      <c r="F200" s="6"/>
    </row>
    <row r="201" spans="3:6" x14ac:dyDescent="0.25">
      <c r="C201" s="6"/>
      <c r="D201" s="6"/>
      <c r="E201" s="6"/>
      <c r="F201" s="6"/>
    </row>
    <row r="202" spans="3:6" x14ac:dyDescent="0.25">
      <c r="C202" s="6"/>
      <c r="D202" s="6"/>
      <c r="E202" s="6"/>
      <c r="F202" s="6"/>
    </row>
    <row r="203" spans="3:6" x14ac:dyDescent="0.25">
      <c r="C203" s="6"/>
      <c r="D203" s="6"/>
      <c r="E203" s="6"/>
      <c r="F203" s="6"/>
    </row>
    <row r="204" spans="3:6" x14ac:dyDescent="0.25">
      <c r="C204" s="6"/>
      <c r="D204" s="6"/>
      <c r="E204" s="6"/>
      <c r="F204" s="6"/>
    </row>
    <row r="205" spans="3:6" x14ac:dyDescent="0.25">
      <c r="C205" s="6"/>
      <c r="D205" s="6"/>
      <c r="E205" s="6"/>
      <c r="F205" s="6"/>
    </row>
    <row r="206" spans="3:6" x14ac:dyDescent="0.25">
      <c r="C206" s="6"/>
      <c r="D206" s="6"/>
      <c r="E206" s="6"/>
      <c r="F206" s="6"/>
    </row>
    <row r="207" spans="3:6" x14ac:dyDescent="0.25">
      <c r="C207" s="6"/>
      <c r="D207" s="6"/>
      <c r="E207" s="6"/>
      <c r="F207" s="6"/>
    </row>
    <row r="208" spans="3:6" x14ac:dyDescent="0.25">
      <c r="C208" s="6"/>
      <c r="D208" s="6"/>
      <c r="E208" s="6"/>
      <c r="F208" s="6"/>
    </row>
    <row r="209" spans="3:6" x14ac:dyDescent="0.25">
      <c r="C209" s="6"/>
      <c r="D209" s="6"/>
      <c r="E209" s="6"/>
      <c r="F209" s="6"/>
    </row>
    <row r="210" spans="3:6" x14ac:dyDescent="0.25">
      <c r="C210" s="6"/>
      <c r="D210" s="6"/>
      <c r="E210" s="6"/>
      <c r="F210" s="6"/>
    </row>
    <row r="211" spans="3:6" x14ac:dyDescent="0.25">
      <c r="C211" s="6"/>
      <c r="D211" s="6"/>
      <c r="E211" s="6"/>
      <c r="F211" s="6"/>
    </row>
    <row r="212" spans="3:6" x14ac:dyDescent="0.25">
      <c r="C212" s="6"/>
      <c r="D212" s="6"/>
      <c r="E212" s="6"/>
      <c r="F212" s="6"/>
    </row>
    <row r="213" spans="3:6" x14ac:dyDescent="0.25">
      <c r="C213" s="6"/>
      <c r="D213" s="6"/>
      <c r="E213" s="6"/>
      <c r="F213" s="6"/>
    </row>
    <row r="214" spans="3:6" x14ac:dyDescent="0.25">
      <c r="C214" s="6"/>
      <c r="D214" s="6"/>
      <c r="E214" s="6"/>
      <c r="F214" s="6"/>
    </row>
    <row r="215" spans="3:6" x14ac:dyDescent="0.25">
      <c r="C215" s="6"/>
      <c r="D215" s="6"/>
      <c r="E215" s="6"/>
      <c r="F215" s="6"/>
    </row>
    <row r="216" spans="3:6" x14ac:dyDescent="0.25">
      <c r="C216" s="6"/>
      <c r="D216" s="6"/>
      <c r="E216" s="6"/>
      <c r="F216" s="6"/>
    </row>
    <row r="217" spans="3:6" x14ac:dyDescent="0.25">
      <c r="C217" s="6"/>
      <c r="D217" s="6"/>
      <c r="E217" s="6"/>
      <c r="F217" s="6"/>
    </row>
    <row r="218" spans="3:6" x14ac:dyDescent="0.25">
      <c r="C218" s="6"/>
      <c r="D218" s="6"/>
      <c r="E218" s="6"/>
      <c r="F218" s="6"/>
    </row>
    <row r="219" spans="3:6" x14ac:dyDescent="0.25">
      <c r="C219" s="6"/>
      <c r="D219" s="6"/>
      <c r="E219" s="6"/>
      <c r="F219" s="6"/>
    </row>
    <row r="220" spans="3:6" x14ac:dyDescent="0.25">
      <c r="C220" s="6"/>
      <c r="D220" s="6"/>
      <c r="E220" s="6"/>
      <c r="F220" s="6"/>
    </row>
    <row r="221" spans="3:6" x14ac:dyDescent="0.25">
      <c r="C221" s="6"/>
      <c r="D221" s="6"/>
      <c r="E221" s="6"/>
      <c r="F221" s="6"/>
    </row>
    <row r="222" spans="3:6" x14ac:dyDescent="0.25">
      <c r="C222" s="6"/>
      <c r="D222" s="6"/>
      <c r="E222" s="6"/>
      <c r="F222" s="6"/>
    </row>
    <row r="223" spans="3:6" x14ac:dyDescent="0.25">
      <c r="C223" s="6"/>
      <c r="D223" s="6"/>
      <c r="E223" s="6"/>
      <c r="F223" s="6"/>
    </row>
    <row r="224" spans="3:6" x14ac:dyDescent="0.25">
      <c r="C224" s="6"/>
      <c r="D224" s="6"/>
      <c r="E224" s="6"/>
      <c r="F224" s="6"/>
    </row>
    <row r="225" spans="3:6" x14ac:dyDescent="0.25">
      <c r="C225" s="6"/>
      <c r="D225" s="6"/>
      <c r="E225" s="6"/>
      <c r="F225" s="6"/>
    </row>
    <row r="226" spans="3:6" x14ac:dyDescent="0.25">
      <c r="C226" s="6"/>
      <c r="D226" s="6"/>
      <c r="E226" s="6"/>
      <c r="F226" s="6"/>
    </row>
    <row r="227" spans="3:6" x14ac:dyDescent="0.25">
      <c r="C227" s="6"/>
      <c r="D227" s="6"/>
      <c r="E227" s="6"/>
      <c r="F227" s="6"/>
    </row>
    <row r="228" spans="3:6" x14ac:dyDescent="0.25">
      <c r="C228" s="6"/>
      <c r="D228" s="6"/>
      <c r="E228" s="6"/>
      <c r="F228" s="6"/>
    </row>
    <row r="229" spans="3:6" x14ac:dyDescent="0.25">
      <c r="C229" s="6"/>
      <c r="D229" s="6"/>
      <c r="E229" s="6"/>
      <c r="F229" s="6"/>
    </row>
    <row r="230" spans="3:6" x14ac:dyDescent="0.25">
      <c r="C230" s="6"/>
      <c r="D230" s="6"/>
      <c r="E230" s="6"/>
      <c r="F230" s="6"/>
    </row>
    <row r="231" spans="3:6" x14ac:dyDescent="0.25">
      <c r="C231" s="6"/>
      <c r="D231" s="6"/>
      <c r="E231" s="6"/>
      <c r="F231" s="6"/>
    </row>
    <row r="232" spans="3:6" x14ac:dyDescent="0.25">
      <c r="C232" s="6"/>
      <c r="D232" s="6"/>
      <c r="E232" s="6"/>
      <c r="F232" s="6"/>
    </row>
    <row r="233" spans="3:6" x14ac:dyDescent="0.25">
      <c r="C233" s="6"/>
      <c r="D233" s="6"/>
      <c r="E233" s="6"/>
      <c r="F233" s="6"/>
    </row>
    <row r="234" spans="3:6" x14ac:dyDescent="0.25">
      <c r="C234" s="6"/>
      <c r="D234" s="6"/>
      <c r="E234" s="6"/>
      <c r="F234" s="6"/>
    </row>
    <row r="235" spans="3:6" x14ac:dyDescent="0.25">
      <c r="C235" s="6"/>
      <c r="D235" s="6"/>
      <c r="E235" s="6"/>
      <c r="F235" s="6"/>
    </row>
    <row r="236" spans="3:6" x14ac:dyDescent="0.25">
      <c r="C236" s="6"/>
      <c r="D236" s="6"/>
      <c r="E236" s="6"/>
      <c r="F236" s="6"/>
    </row>
    <row r="237" spans="3:6" x14ac:dyDescent="0.25">
      <c r="C237" s="6"/>
      <c r="D237" s="6"/>
      <c r="E237" s="6"/>
      <c r="F237" s="6"/>
    </row>
    <row r="238" spans="3:6" x14ac:dyDescent="0.25">
      <c r="C238" s="6"/>
      <c r="D238" s="6"/>
      <c r="E238" s="6"/>
      <c r="F238" s="6"/>
    </row>
    <row r="239" spans="3:6" x14ac:dyDescent="0.25">
      <c r="C239" s="6"/>
      <c r="D239" s="6"/>
      <c r="E239" s="6"/>
      <c r="F239" s="6"/>
    </row>
    <row r="240" spans="3:6" x14ac:dyDescent="0.25">
      <c r="C240" s="6"/>
      <c r="D240" s="6"/>
      <c r="E240" s="6"/>
      <c r="F240" s="6"/>
    </row>
    <row r="241" spans="3:6" x14ac:dyDescent="0.25">
      <c r="C241" s="6"/>
      <c r="D241" s="6"/>
      <c r="E241" s="6"/>
      <c r="F241" s="6"/>
    </row>
    <row r="242" spans="3:6" x14ac:dyDescent="0.25">
      <c r="C242" s="6"/>
      <c r="D242" s="6"/>
      <c r="E242" s="6"/>
      <c r="F242" s="6"/>
    </row>
    <row r="243" spans="3:6" x14ac:dyDescent="0.25">
      <c r="C243" s="6"/>
      <c r="D243" s="6"/>
      <c r="E243" s="6"/>
      <c r="F243" s="6"/>
    </row>
    <row r="244" spans="3:6" x14ac:dyDescent="0.25">
      <c r="C244" s="6"/>
      <c r="D244" s="6"/>
      <c r="E244" s="6"/>
      <c r="F244" s="6"/>
    </row>
    <row r="245" spans="3:6" x14ac:dyDescent="0.25">
      <c r="C245" s="6"/>
      <c r="D245" s="6"/>
      <c r="E245" s="6"/>
      <c r="F245" s="6"/>
    </row>
    <row r="246" spans="3:6" x14ac:dyDescent="0.25">
      <c r="C246" s="6"/>
      <c r="D246" s="6"/>
      <c r="E246" s="6"/>
      <c r="F246" s="6"/>
    </row>
    <row r="247" spans="3:6" x14ac:dyDescent="0.25">
      <c r="C247" s="6"/>
      <c r="D247" s="6"/>
      <c r="E247" s="6"/>
      <c r="F247" s="6"/>
    </row>
    <row r="248" spans="3:6" x14ac:dyDescent="0.25">
      <c r="C248" s="6"/>
      <c r="D248" s="6"/>
      <c r="E248" s="6"/>
      <c r="F248" s="6"/>
    </row>
    <row r="249" spans="3:6" x14ac:dyDescent="0.25">
      <c r="C249" s="6"/>
      <c r="D249" s="6"/>
      <c r="E249" s="6"/>
      <c r="F249" s="6"/>
    </row>
    <row r="250" spans="3:6" x14ac:dyDescent="0.25">
      <c r="C250" s="6"/>
      <c r="D250" s="6"/>
      <c r="E250" s="6"/>
      <c r="F250" s="6"/>
    </row>
    <row r="251" spans="3:6" x14ac:dyDescent="0.25">
      <c r="C251" s="6"/>
      <c r="D251" s="6"/>
      <c r="E251" s="6"/>
      <c r="F251" s="6"/>
    </row>
    <row r="252" spans="3:6" x14ac:dyDescent="0.25">
      <c r="C252" s="6"/>
      <c r="D252" s="6"/>
      <c r="E252" s="6"/>
      <c r="F252" s="6"/>
    </row>
    <row r="253" spans="3:6" x14ac:dyDescent="0.25">
      <c r="C253" s="6"/>
      <c r="D253" s="6"/>
      <c r="E253" s="6"/>
      <c r="F253" s="6"/>
    </row>
    <row r="254" spans="3:6" x14ac:dyDescent="0.25">
      <c r="C254" s="6"/>
      <c r="D254" s="6"/>
      <c r="E254" s="6"/>
      <c r="F254" s="6"/>
    </row>
    <row r="255" spans="3:6" x14ac:dyDescent="0.25">
      <c r="C255" s="6"/>
      <c r="D255" s="6"/>
      <c r="E255" s="6"/>
      <c r="F255" s="6"/>
    </row>
    <row r="256" spans="3:6" x14ac:dyDescent="0.25">
      <c r="C256" s="6"/>
      <c r="D256" s="6"/>
      <c r="E256" s="6"/>
      <c r="F256" s="6"/>
    </row>
    <row r="257" spans="3:6" x14ac:dyDescent="0.25">
      <c r="C257" s="6"/>
      <c r="D257" s="6"/>
      <c r="E257" s="6"/>
      <c r="F257" s="6"/>
    </row>
    <row r="258" spans="3:6" x14ac:dyDescent="0.25">
      <c r="C258" s="6"/>
      <c r="D258" s="6"/>
      <c r="E258" s="6"/>
      <c r="F258" s="6"/>
    </row>
    <row r="259" spans="3:6" x14ac:dyDescent="0.25">
      <c r="C259" s="6"/>
      <c r="D259" s="6"/>
      <c r="E259" s="6"/>
      <c r="F259" s="6"/>
    </row>
    <row r="260" spans="3:6" x14ac:dyDescent="0.25">
      <c r="C260" s="6"/>
      <c r="D260" s="6"/>
      <c r="E260" s="6"/>
      <c r="F260" s="6"/>
    </row>
    <row r="261" spans="3:6" x14ac:dyDescent="0.25">
      <c r="C261" s="6"/>
      <c r="D261" s="6"/>
      <c r="E261" s="6"/>
      <c r="F261" s="6"/>
    </row>
    <row r="262" spans="3:6" x14ac:dyDescent="0.25">
      <c r="C262" s="6"/>
      <c r="D262" s="6"/>
      <c r="E262" s="6"/>
      <c r="F262" s="6"/>
    </row>
    <row r="263" spans="3:6" x14ac:dyDescent="0.25">
      <c r="C263" s="6"/>
      <c r="D263" s="6"/>
      <c r="E263" s="6"/>
      <c r="F263" s="6"/>
    </row>
    <row r="264" spans="3:6" x14ac:dyDescent="0.25">
      <c r="C264" s="6"/>
      <c r="D264" s="6"/>
      <c r="E264" s="6"/>
      <c r="F264" s="6"/>
    </row>
    <row r="265" spans="3:6" x14ac:dyDescent="0.25">
      <c r="C265" s="6"/>
      <c r="D265" s="6"/>
      <c r="E265" s="6"/>
      <c r="F265" s="6"/>
    </row>
    <row r="266" spans="3:6" x14ac:dyDescent="0.25">
      <c r="C266" s="6"/>
      <c r="D266" s="6"/>
      <c r="E266" s="6"/>
      <c r="F266" s="6"/>
    </row>
    <row r="267" spans="3:6" x14ac:dyDescent="0.25">
      <c r="C267" s="6"/>
      <c r="D267" s="6"/>
      <c r="E267" s="6"/>
      <c r="F267" s="6"/>
    </row>
    <row r="268" spans="3:6" x14ac:dyDescent="0.25">
      <c r="C268" s="6"/>
      <c r="D268" s="6"/>
      <c r="E268" s="6"/>
      <c r="F268" s="6"/>
    </row>
    <row r="269" spans="3:6" x14ac:dyDescent="0.25">
      <c r="C269" s="6"/>
      <c r="D269" s="6"/>
      <c r="E269" s="6"/>
      <c r="F269" s="6"/>
    </row>
    <row r="270" spans="3:6" x14ac:dyDescent="0.25">
      <c r="C270" s="6"/>
      <c r="D270" s="6"/>
      <c r="E270" s="6"/>
      <c r="F270" s="6"/>
    </row>
    <row r="271" spans="3:6" x14ac:dyDescent="0.25">
      <c r="C271" s="6"/>
      <c r="D271" s="6"/>
      <c r="E271" s="6"/>
      <c r="F271" s="6"/>
    </row>
    <row r="272" spans="3:6" x14ac:dyDescent="0.25">
      <c r="C272" s="6"/>
      <c r="D272" s="6"/>
      <c r="E272" s="6"/>
      <c r="F272" s="6"/>
    </row>
    <row r="273" spans="3:6" x14ac:dyDescent="0.25">
      <c r="C273" s="6"/>
      <c r="D273" s="6"/>
      <c r="E273" s="6"/>
      <c r="F273" s="6"/>
    </row>
    <row r="274" spans="3:6" x14ac:dyDescent="0.25">
      <c r="C274" s="6"/>
      <c r="D274" s="6"/>
      <c r="E274" s="6"/>
      <c r="F274" s="6"/>
    </row>
    <row r="275" spans="3:6" x14ac:dyDescent="0.25">
      <c r="C275" s="6"/>
      <c r="D275" s="6"/>
      <c r="E275" s="6"/>
      <c r="F275" s="6"/>
    </row>
    <row r="276" spans="3:6" x14ac:dyDescent="0.25">
      <c r="C276" s="6"/>
      <c r="D276" s="6"/>
      <c r="E276" s="6"/>
      <c r="F276" s="6"/>
    </row>
    <row r="277" spans="3:6" x14ac:dyDescent="0.25">
      <c r="C277" s="6"/>
      <c r="D277" s="6"/>
      <c r="E277" s="6"/>
      <c r="F277" s="6"/>
    </row>
    <row r="278" spans="3:6" x14ac:dyDescent="0.25">
      <c r="C278" s="6"/>
      <c r="D278" s="6"/>
      <c r="E278" s="6"/>
      <c r="F278" s="6"/>
    </row>
    <row r="279" spans="3:6" x14ac:dyDescent="0.25">
      <c r="C279" s="6"/>
      <c r="D279" s="6"/>
      <c r="E279" s="6"/>
      <c r="F279" s="6"/>
    </row>
    <row r="280" spans="3:6" x14ac:dyDescent="0.25">
      <c r="C280" s="6"/>
      <c r="D280" s="6"/>
      <c r="E280" s="6"/>
      <c r="F280" s="6"/>
    </row>
    <row r="281" spans="3:6" x14ac:dyDescent="0.25">
      <c r="C281" s="6"/>
      <c r="D281" s="6"/>
      <c r="E281" s="6"/>
      <c r="F281" s="6"/>
    </row>
    <row r="282" spans="3:6" x14ac:dyDescent="0.25">
      <c r="C282" s="6"/>
      <c r="D282" s="6"/>
      <c r="E282" s="6"/>
      <c r="F282" s="6"/>
    </row>
    <row r="283" spans="3:6" x14ac:dyDescent="0.25">
      <c r="C283" s="6"/>
      <c r="D283" s="6"/>
      <c r="E283" s="6"/>
      <c r="F283" s="6"/>
    </row>
    <row r="284" spans="3:6" x14ac:dyDescent="0.25">
      <c r="C284" s="6"/>
      <c r="D284" s="6"/>
      <c r="E284" s="6"/>
      <c r="F284" s="6"/>
    </row>
    <row r="285" spans="3:6" x14ac:dyDescent="0.25">
      <c r="C285" s="6"/>
      <c r="D285" s="6"/>
      <c r="E285" s="6"/>
      <c r="F285" s="6"/>
    </row>
    <row r="286" spans="3:6" x14ac:dyDescent="0.25">
      <c r="C286" s="6"/>
      <c r="D286" s="6"/>
      <c r="E286" s="6"/>
      <c r="F286" s="6"/>
    </row>
    <row r="287" spans="3:6" x14ac:dyDescent="0.25">
      <c r="C287" s="6"/>
      <c r="D287" s="6"/>
      <c r="E287" s="6"/>
      <c r="F287" s="6"/>
    </row>
    <row r="288" spans="3:6" x14ac:dyDescent="0.25">
      <c r="C288" s="6"/>
      <c r="D288" s="6"/>
      <c r="E288" s="6"/>
      <c r="F288" s="6"/>
    </row>
    <row r="289" spans="3:6" x14ac:dyDescent="0.25">
      <c r="C289" s="6"/>
      <c r="D289" s="6"/>
      <c r="E289" s="6"/>
      <c r="F289" s="6"/>
    </row>
    <row r="290" spans="3:6" x14ac:dyDescent="0.25">
      <c r="C290" s="6"/>
      <c r="D290" s="6"/>
      <c r="E290" s="6"/>
      <c r="F290" s="6"/>
    </row>
    <row r="291" spans="3:6" x14ac:dyDescent="0.25">
      <c r="C291" s="6"/>
      <c r="D291" s="6"/>
      <c r="E291" s="6"/>
      <c r="F291" s="6"/>
    </row>
    <row r="292" spans="3:6" x14ac:dyDescent="0.25">
      <c r="C292" s="6"/>
      <c r="D292" s="6"/>
      <c r="E292" s="6"/>
      <c r="F292" s="6"/>
    </row>
    <row r="293" spans="3:6" x14ac:dyDescent="0.25">
      <c r="C293" s="6"/>
      <c r="D293" s="6"/>
      <c r="E293" s="6"/>
      <c r="F293" s="6"/>
    </row>
    <row r="294" spans="3:6" x14ac:dyDescent="0.25">
      <c r="C294" s="6"/>
      <c r="D294" s="6"/>
      <c r="E294" s="6"/>
      <c r="F294" s="6"/>
    </row>
    <row r="295" spans="3:6" x14ac:dyDescent="0.25">
      <c r="C295" s="6"/>
      <c r="D295" s="6"/>
      <c r="E295" s="6"/>
      <c r="F295" s="6"/>
    </row>
    <row r="296" spans="3:6" x14ac:dyDescent="0.25">
      <c r="C296" s="6"/>
      <c r="D296" s="6"/>
      <c r="E296" s="6"/>
      <c r="F296" s="6"/>
    </row>
    <row r="297" spans="3:6" x14ac:dyDescent="0.25">
      <c r="C297" s="6"/>
      <c r="D297" s="6"/>
      <c r="E297" s="6"/>
      <c r="F297" s="6"/>
    </row>
    <row r="298" spans="3:6" x14ac:dyDescent="0.25">
      <c r="C298" s="6"/>
      <c r="D298" s="6"/>
      <c r="E298" s="6"/>
      <c r="F298" s="6"/>
    </row>
    <row r="299" spans="3:6" x14ac:dyDescent="0.25">
      <c r="C299" s="6"/>
      <c r="D299" s="6"/>
      <c r="E299" s="6"/>
      <c r="F299" s="6"/>
    </row>
    <row r="300" spans="3:6" x14ac:dyDescent="0.25">
      <c r="C300" s="6"/>
      <c r="D300" s="6"/>
      <c r="E300" s="6"/>
      <c r="F300" s="6"/>
    </row>
    <row r="301" spans="3:6" x14ac:dyDescent="0.25">
      <c r="C301" s="6"/>
      <c r="D301" s="6"/>
      <c r="E301" s="6"/>
      <c r="F301" s="6"/>
    </row>
    <row r="302" spans="3:6" x14ac:dyDescent="0.25">
      <c r="C302" s="6"/>
      <c r="D302" s="6"/>
      <c r="E302" s="6"/>
      <c r="F302" s="6"/>
    </row>
    <row r="303" spans="3:6" x14ac:dyDescent="0.25">
      <c r="C303" s="6"/>
      <c r="D303" s="6"/>
      <c r="E303" s="6"/>
      <c r="F303" s="6"/>
    </row>
    <row r="304" spans="3:6" x14ac:dyDescent="0.25">
      <c r="C304" s="6"/>
      <c r="D304" s="6"/>
      <c r="E304" s="6"/>
      <c r="F304" s="6"/>
    </row>
    <row r="305" spans="3:6" x14ac:dyDescent="0.25">
      <c r="C305" s="6"/>
      <c r="D305" s="6"/>
      <c r="E305" s="6"/>
      <c r="F305" s="6"/>
    </row>
    <row r="306" spans="3:6" x14ac:dyDescent="0.25">
      <c r="C306" s="6"/>
      <c r="D306" s="6"/>
      <c r="E306" s="6"/>
      <c r="F306" s="6"/>
    </row>
    <row r="307" spans="3:6" x14ac:dyDescent="0.25">
      <c r="C307" s="6"/>
      <c r="D307" s="6"/>
      <c r="E307" s="6"/>
      <c r="F307" s="6"/>
    </row>
    <row r="308" spans="3:6" x14ac:dyDescent="0.25">
      <c r="C308" s="6"/>
      <c r="D308" s="6"/>
      <c r="E308" s="6"/>
      <c r="F308" s="6"/>
    </row>
    <row r="309" spans="3:6" x14ac:dyDescent="0.25">
      <c r="C309" s="6"/>
      <c r="D309" s="6"/>
      <c r="E309" s="6"/>
      <c r="F309" s="6"/>
    </row>
    <row r="310" spans="3:6" x14ac:dyDescent="0.25">
      <c r="C310" s="6"/>
      <c r="D310" s="6"/>
      <c r="E310" s="6"/>
      <c r="F310" s="6"/>
    </row>
    <row r="311" spans="3:6" x14ac:dyDescent="0.25">
      <c r="C311" s="6"/>
      <c r="D311" s="6"/>
      <c r="E311" s="6"/>
      <c r="F311" s="6"/>
    </row>
    <row r="312" spans="3:6" x14ac:dyDescent="0.25">
      <c r="C312" s="6"/>
      <c r="D312" s="6"/>
      <c r="E312" s="6"/>
      <c r="F312" s="6"/>
    </row>
    <row r="313" spans="3:6" x14ac:dyDescent="0.25">
      <c r="C313" s="6"/>
      <c r="D313" s="6"/>
      <c r="E313" s="6"/>
      <c r="F313" s="6"/>
    </row>
    <row r="314" spans="3:6" x14ac:dyDescent="0.25">
      <c r="C314" s="6"/>
      <c r="D314" s="6"/>
      <c r="E314" s="6"/>
      <c r="F314" s="6"/>
    </row>
    <row r="315" spans="3:6" x14ac:dyDescent="0.25">
      <c r="C315" s="6"/>
      <c r="D315" s="6"/>
      <c r="E315" s="6"/>
      <c r="F315" s="6"/>
    </row>
    <row r="316" spans="3:6" x14ac:dyDescent="0.25">
      <c r="C316" s="6"/>
      <c r="D316" s="6"/>
      <c r="E316" s="6"/>
      <c r="F316" s="6"/>
    </row>
    <row r="317" spans="3:6" x14ac:dyDescent="0.25">
      <c r="C317" s="6"/>
      <c r="D317" s="6"/>
      <c r="E317" s="6"/>
      <c r="F317" s="6"/>
    </row>
    <row r="318" spans="3:6" x14ac:dyDescent="0.25">
      <c r="C318" s="6"/>
      <c r="D318" s="6"/>
      <c r="E318" s="6"/>
      <c r="F318" s="6"/>
    </row>
    <row r="319" spans="3:6" x14ac:dyDescent="0.25">
      <c r="C319" s="6"/>
      <c r="D319" s="6"/>
      <c r="E319" s="6"/>
      <c r="F319" s="6"/>
    </row>
    <row r="320" spans="3:6" x14ac:dyDescent="0.25">
      <c r="C320" s="6"/>
      <c r="D320" s="6"/>
      <c r="E320" s="6"/>
      <c r="F320" s="6"/>
    </row>
    <row r="321" spans="3:6" x14ac:dyDescent="0.25">
      <c r="C321" s="6"/>
      <c r="D321" s="6"/>
      <c r="E321" s="6"/>
      <c r="F321" s="6"/>
    </row>
    <row r="322" spans="3:6" x14ac:dyDescent="0.25">
      <c r="C322" s="6"/>
      <c r="D322" s="6"/>
      <c r="E322" s="6"/>
      <c r="F322" s="6"/>
    </row>
    <row r="323" spans="3:6" x14ac:dyDescent="0.25">
      <c r="C323" s="6"/>
      <c r="D323" s="6"/>
      <c r="E323" s="6"/>
      <c r="F323" s="6"/>
    </row>
    <row r="324" spans="3:6" x14ac:dyDescent="0.25">
      <c r="C324" s="6"/>
      <c r="D324" s="6"/>
      <c r="E324" s="6"/>
      <c r="F324" s="6"/>
    </row>
    <row r="325" spans="3:6" x14ac:dyDescent="0.25">
      <c r="C325" s="6"/>
      <c r="D325" s="6"/>
      <c r="E325" s="6"/>
      <c r="F325" s="6"/>
    </row>
    <row r="326" spans="3:6" x14ac:dyDescent="0.25">
      <c r="C326" s="6"/>
      <c r="D326" s="6"/>
      <c r="E326" s="6"/>
      <c r="F326" s="6"/>
    </row>
    <row r="327" spans="3:6" x14ac:dyDescent="0.25">
      <c r="C327" s="6"/>
      <c r="D327" s="6"/>
      <c r="E327" s="6"/>
      <c r="F327" s="6"/>
    </row>
    <row r="328" spans="3:6" x14ac:dyDescent="0.25">
      <c r="C328" s="6"/>
      <c r="D328" s="6"/>
      <c r="E328" s="6"/>
      <c r="F328" s="6"/>
    </row>
    <row r="329" spans="3:6" x14ac:dyDescent="0.25">
      <c r="C329" s="6"/>
      <c r="D329" s="6"/>
      <c r="E329" s="6"/>
      <c r="F329" s="6"/>
    </row>
    <row r="330" spans="3:6" x14ac:dyDescent="0.25">
      <c r="C330" s="6"/>
      <c r="D330" s="6"/>
      <c r="E330" s="6"/>
      <c r="F330" s="6"/>
    </row>
    <row r="331" spans="3:6" x14ac:dyDescent="0.25">
      <c r="C331" s="6"/>
      <c r="D331" s="6"/>
      <c r="E331" s="6"/>
      <c r="F331" s="6"/>
    </row>
    <row r="332" spans="3:6" x14ac:dyDescent="0.25">
      <c r="C332" s="6"/>
      <c r="D332" s="6"/>
      <c r="E332" s="6"/>
      <c r="F332" s="6"/>
    </row>
    <row r="333" spans="3:6" x14ac:dyDescent="0.25">
      <c r="C333" s="6"/>
      <c r="D333" s="6"/>
      <c r="E333" s="6"/>
      <c r="F333" s="6"/>
    </row>
    <row r="334" spans="3:6" x14ac:dyDescent="0.25">
      <c r="C334" s="6"/>
      <c r="D334" s="6"/>
      <c r="E334" s="6"/>
      <c r="F334" s="6"/>
    </row>
    <row r="335" spans="3:6" x14ac:dyDescent="0.25">
      <c r="C335" s="6"/>
      <c r="D335" s="6"/>
      <c r="E335" s="6"/>
      <c r="F335" s="6"/>
    </row>
    <row r="336" spans="3:6" x14ac:dyDescent="0.25">
      <c r="C336" s="6"/>
      <c r="D336" s="6"/>
      <c r="E336" s="6"/>
      <c r="F336" s="6"/>
    </row>
    <row r="337" spans="3:6" x14ac:dyDescent="0.25">
      <c r="C337" s="6"/>
      <c r="D337" s="6"/>
      <c r="E337" s="6"/>
      <c r="F337" s="6"/>
    </row>
    <row r="338" spans="3:6" x14ac:dyDescent="0.25">
      <c r="C338" s="6"/>
      <c r="D338" s="6"/>
      <c r="E338" s="6"/>
      <c r="F338" s="6"/>
    </row>
    <row r="339" spans="3:6" x14ac:dyDescent="0.25">
      <c r="C339" s="6"/>
      <c r="D339" s="6"/>
      <c r="E339" s="6"/>
      <c r="F339" s="6"/>
    </row>
    <row r="340" spans="3:6" x14ac:dyDescent="0.25">
      <c r="C340" s="6"/>
      <c r="D340" s="6"/>
      <c r="E340" s="6"/>
      <c r="F340" s="6"/>
    </row>
    <row r="341" spans="3:6" x14ac:dyDescent="0.25">
      <c r="C341" s="6"/>
      <c r="D341" s="6"/>
      <c r="E341" s="6"/>
      <c r="F341" s="6"/>
    </row>
    <row r="342" spans="3:6" x14ac:dyDescent="0.25">
      <c r="C342" s="6"/>
      <c r="D342" s="6"/>
      <c r="E342" s="6"/>
      <c r="F342" s="6"/>
    </row>
    <row r="343" spans="3:6" x14ac:dyDescent="0.25">
      <c r="C343" s="6"/>
      <c r="D343" s="6"/>
      <c r="E343" s="6"/>
      <c r="F343" s="6"/>
    </row>
    <row r="344" spans="3:6" x14ac:dyDescent="0.25">
      <c r="C344" s="6"/>
      <c r="D344" s="6"/>
      <c r="E344" s="6"/>
      <c r="F344" s="6"/>
    </row>
    <row r="345" spans="3:6" x14ac:dyDescent="0.25">
      <c r="C345" s="6"/>
      <c r="D345" s="6"/>
      <c r="E345" s="6"/>
      <c r="F345" s="6"/>
    </row>
    <row r="346" spans="3:6" x14ac:dyDescent="0.25">
      <c r="C346" s="6"/>
      <c r="D346" s="6"/>
      <c r="E346" s="6"/>
      <c r="F346" s="6"/>
    </row>
    <row r="347" spans="3:6" x14ac:dyDescent="0.25">
      <c r="C347" s="6"/>
      <c r="D347" s="6"/>
      <c r="E347" s="6"/>
      <c r="F347" s="6"/>
    </row>
    <row r="348" spans="3:6" x14ac:dyDescent="0.25">
      <c r="C348" s="6"/>
      <c r="D348" s="6"/>
      <c r="E348" s="6"/>
      <c r="F348" s="6"/>
    </row>
    <row r="349" spans="3:6" x14ac:dyDescent="0.25">
      <c r="C349" s="6"/>
      <c r="D349" s="6"/>
      <c r="E349" s="6"/>
      <c r="F349" s="6"/>
    </row>
    <row r="350" spans="3:6" x14ac:dyDescent="0.25">
      <c r="C350" s="6"/>
      <c r="D350" s="6"/>
      <c r="E350" s="6"/>
      <c r="F350" s="6"/>
    </row>
    <row r="351" spans="3:6" x14ac:dyDescent="0.25">
      <c r="C351" s="6"/>
      <c r="D351" s="6"/>
      <c r="E351" s="6"/>
      <c r="F351" s="6"/>
    </row>
    <row r="352" spans="3:6" x14ac:dyDescent="0.25">
      <c r="C352" s="6"/>
      <c r="D352" s="6"/>
      <c r="E352" s="6"/>
      <c r="F352" s="6"/>
    </row>
    <row r="353" spans="3:6" x14ac:dyDescent="0.25">
      <c r="C353" s="6"/>
      <c r="D353" s="6"/>
      <c r="E353" s="6"/>
      <c r="F353" s="6"/>
    </row>
    <row r="354" spans="3:6" x14ac:dyDescent="0.25">
      <c r="C354" s="6"/>
      <c r="D354" s="6"/>
      <c r="E354" s="6"/>
      <c r="F354" s="6"/>
    </row>
    <row r="355" spans="3:6" x14ac:dyDescent="0.25">
      <c r="C355" s="6"/>
      <c r="D355" s="6"/>
      <c r="E355" s="6"/>
      <c r="F355" s="6"/>
    </row>
    <row r="356" spans="3:6" x14ac:dyDescent="0.25">
      <c r="C356" s="6"/>
      <c r="D356" s="6"/>
      <c r="E356" s="6"/>
      <c r="F356" s="6"/>
    </row>
    <row r="357" spans="3:6" x14ac:dyDescent="0.25">
      <c r="C357" s="6"/>
      <c r="D357" s="6"/>
      <c r="E357" s="6"/>
      <c r="F357" s="6"/>
    </row>
    <row r="358" spans="3:6" x14ac:dyDescent="0.25">
      <c r="C358" s="6"/>
      <c r="D358" s="6"/>
      <c r="E358" s="6"/>
      <c r="F358" s="6"/>
    </row>
    <row r="359" spans="3:6" x14ac:dyDescent="0.25">
      <c r="C359" s="6"/>
      <c r="D359" s="6"/>
      <c r="E359" s="6"/>
      <c r="F359" s="6"/>
    </row>
    <row r="360" spans="3:6" x14ac:dyDescent="0.25">
      <c r="C360" s="6"/>
      <c r="D360" s="6"/>
      <c r="E360" s="6"/>
      <c r="F360" s="6"/>
    </row>
    <row r="361" spans="3:6" x14ac:dyDescent="0.25">
      <c r="C361" s="6"/>
      <c r="D361" s="6"/>
      <c r="E361" s="6"/>
      <c r="F361" s="6"/>
    </row>
    <row r="362" spans="3:6" x14ac:dyDescent="0.25">
      <c r="C362" s="6"/>
      <c r="D362" s="6"/>
      <c r="E362" s="6"/>
      <c r="F362" s="6"/>
    </row>
    <row r="363" spans="3:6" x14ac:dyDescent="0.25">
      <c r="C363" s="6"/>
      <c r="D363" s="6"/>
      <c r="E363" s="6"/>
      <c r="F363" s="6"/>
    </row>
    <row r="364" spans="3:6" x14ac:dyDescent="0.25">
      <c r="C364" s="6"/>
      <c r="D364" s="6"/>
      <c r="E364" s="6"/>
      <c r="F364" s="6"/>
    </row>
    <row r="365" spans="3:6" x14ac:dyDescent="0.25">
      <c r="C365" s="6"/>
      <c r="D365" s="6"/>
      <c r="E365" s="6"/>
      <c r="F365" s="6"/>
    </row>
    <row r="366" spans="3:6" x14ac:dyDescent="0.25">
      <c r="C366" s="6"/>
      <c r="D366" s="6"/>
      <c r="E366" s="6"/>
      <c r="F366" s="6"/>
    </row>
    <row r="367" spans="3:6" x14ac:dyDescent="0.25">
      <c r="C367" s="6"/>
      <c r="D367" s="6"/>
      <c r="E367" s="6"/>
      <c r="F367" s="6"/>
    </row>
    <row r="368" spans="3:6" x14ac:dyDescent="0.25">
      <c r="C368" s="6"/>
      <c r="D368" s="6"/>
      <c r="E368" s="6"/>
      <c r="F368" s="6"/>
    </row>
    <row r="369" spans="3:6" x14ac:dyDescent="0.25">
      <c r="C369" s="6"/>
      <c r="D369" s="6"/>
      <c r="E369" s="6"/>
      <c r="F369" s="6"/>
    </row>
    <row r="370" spans="3:6" x14ac:dyDescent="0.25">
      <c r="C370" s="6"/>
      <c r="D370" s="6"/>
      <c r="E370" s="6"/>
      <c r="F370" s="6"/>
    </row>
    <row r="371" spans="3:6" x14ac:dyDescent="0.25">
      <c r="C371" s="6"/>
      <c r="D371" s="6"/>
      <c r="E371" s="6"/>
      <c r="F371" s="6"/>
    </row>
  </sheetData>
  <sheetProtection autoFilter="0"/>
  <pageMargins left="0.7" right="0.7" top="0.75" bottom="0.75" header="0.3" footer="0.3"/>
  <pageSetup paperSize="9" orientation="portrait" r:id="rId1"/>
  <customProperties>
    <customPr name="FPMExcelClientCellBasedFunctionStatus" r:id="rId2"/>
    <customPr name="FPMExcelClientRefreshTime" r:id="rId3"/>
    <customPr name="IbpWorksheetKeyString_GUID" r:id="rId4"/>
  </customProperties>
  <drawing r:id="rId5"/>
  <legacyDrawing r:id="rId6"/>
  <controls>
    <mc:AlternateContent xmlns:mc="http://schemas.openxmlformats.org/markup-compatibility/2006">
      <mc:Choice Requires="x14">
        <control shapeId="2049" r:id="rId7" name="AnalyzerDynReport000tb1">
          <controlPr defaultSize="0" autoLine="0" autoPict="0" r:id="rId8">
            <anchor moveWithCells="1">
              <from>
                <xdr:col>0</xdr:col>
                <xdr:colOff>0</xdr:colOff>
                <xdr:row>0</xdr:row>
                <xdr:rowOff>0</xdr:rowOff>
              </from>
              <to>
                <xdr:col>3</xdr:col>
                <xdr:colOff>542925</xdr:colOff>
                <xdr:row>0</xdr:row>
                <xdr:rowOff>0</xdr:rowOff>
              </to>
            </anchor>
          </controlPr>
        </control>
      </mc:Choice>
      <mc:Fallback>
        <control shapeId="2049" r:id="rId7" name="AnalyzerDynReport000tb1"/>
      </mc:Fallback>
    </mc:AlternateContent>
    <mc:AlternateContent xmlns:mc="http://schemas.openxmlformats.org/markup-compatibility/2006">
      <mc:Choice Requires="x14">
        <control shapeId="2050" r:id="rId9" name="ConnectionDescriptorsInfotb1">
          <controlPr defaultSize="0" autoLine="0" autoPict="0" r:id="rId10">
            <anchor moveWithCells="1">
              <from>
                <xdr:col>0</xdr:col>
                <xdr:colOff>0</xdr:colOff>
                <xdr:row>0</xdr:row>
                <xdr:rowOff>0</xdr:rowOff>
              </from>
              <to>
                <xdr:col>3</xdr:col>
                <xdr:colOff>542925</xdr:colOff>
                <xdr:row>0</xdr:row>
                <xdr:rowOff>0</xdr:rowOff>
              </to>
            </anchor>
          </controlPr>
        </control>
      </mc:Choice>
      <mc:Fallback>
        <control shapeId="2050" r:id="rId9" name="ConnectionDescriptorsInfotb1"/>
      </mc:Fallback>
    </mc:AlternateContent>
    <mc:AlternateContent xmlns:mc="http://schemas.openxmlformats.org/markup-compatibility/2006">
      <mc:Choice Requires="x14">
        <control shapeId="2051" r:id="rId11" name="MultipleReportManagerInfotb1">
          <controlPr defaultSize="0" autoLine="0" autoPict="0" r:id="rId12">
            <anchor moveWithCells="1">
              <from>
                <xdr:col>0</xdr:col>
                <xdr:colOff>0</xdr:colOff>
                <xdr:row>0</xdr:row>
                <xdr:rowOff>0</xdr:rowOff>
              </from>
              <to>
                <xdr:col>3</xdr:col>
                <xdr:colOff>542925</xdr:colOff>
                <xdr:row>0</xdr:row>
                <xdr:rowOff>0</xdr:rowOff>
              </to>
            </anchor>
          </controlPr>
        </control>
      </mc:Choice>
      <mc:Fallback>
        <control shapeId="2051" r:id="rId11" name="MultipleReportManagerInfotb1"/>
      </mc:Fallback>
    </mc:AlternateContent>
    <mc:AlternateContent xmlns:mc="http://schemas.openxmlformats.org/markup-compatibility/2006">
      <mc:Choice Requires="x14">
        <control shapeId="2052" r:id="rId13" name="FPMExcelClientSheetOptionstb1">
          <controlPr defaultSize="0" autoLine="0" autoPict="0" r:id="rId14">
            <anchor moveWithCells="1">
              <from>
                <xdr:col>0</xdr:col>
                <xdr:colOff>0</xdr:colOff>
                <xdr:row>0</xdr:row>
                <xdr:rowOff>0</xdr:rowOff>
              </from>
              <to>
                <xdr:col>3</xdr:col>
                <xdr:colOff>542925</xdr:colOff>
                <xdr:row>0</xdr:row>
                <xdr:rowOff>0</xdr:rowOff>
              </to>
            </anchor>
          </controlPr>
        </control>
      </mc:Choice>
      <mc:Fallback>
        <control shapeId="2052" r:id="rId13" name="FPMExcelClientSheetOptionstb1"/>
      </mc:Fallback>
    </mc:AlternateContent>
    <mc:AlternateContent xmlns:mc="http://schemas.openxmlformats.org/markup-compatibility/2006">
      <mc:Choice Requires="x14">
        <control shapeId="2053" r:id="rId15" name="ReportSubmitManagerControltb1">
          <controlPr defaultSize="0" autoLine="0" autoPict="0" r:id="rId16">
            <anchor moveWithCells="1">
              <from>
                <xdr:col>0</xdr:col>
                <xdr:colOff>0</xdr:colOff>
                <xdr:row>0</xdr:row>
                <xdr:rowOff>0</xdr:rowOff>
              </from>
              <to>
                <xdr:col>3</xdr:col>
                <xdr:colOff>542925</xdr:colOff>
                <xdr:row>0</xdr:row>
                <xdr:rowOff>0</xdr:rowOff>
              </to>
            </anchor>
          </controlPr>
        </control>
      </mc:Choice>
      <mc:Fallback>
        <control shapeId="2053" r:id="rId15" name="ReportSubmitManagerControltb1"/>
      </mc:Fallback>
    </mc:AlternateContent>
    <mc:AlternateContent xmlns:mc="http://schemas.openxmlformats.org/markup-compatibility/2006">
      <mc:Choice Requires="x14">
        <control shapeId="2054" r:id="rId17" name="ReportSubmitControl_1tb1">
          <controlPr defaultSize="0" autoLine="0" autoPict="0" r:id="rId18">
            <anchor moveWithCells="1">
              <from>
                <xdr:col>0</xdr:col>
                <xdr:colOff>0</xdr:colOff>
                <xdr:row>0</xdr:row>
                <xdr:rowOff>0</xdr:rowOff>
              </from>
              <to>
                <xdr:col>3</xdr:col>
                <xdr:colOff>542925</xdr:colOff>
                <xdr:row>0</xdr:row>
                <xdr:rowOff>0</xdr:rowOff>
              </to>
            </anchor>
          </controlPr>
        </control>
      </mc:Choice>
      <mc:Fallback>
        <control shapeId="2054" r:id="rId17" name="ReportSubmitControl_1tb1"/>
      </mc:Fallback>
    </mc:AlternateContent>
    <mc:AlternateContent xmlns:mc="http://schemas.openxmlformats.org/markup-compatibility/2006">
      <mc:Choice Requires="x14">
        <control shapeId="2055" r:id="rId19" name="Button 7">
          <controlPr defaultSize="0" print="0" autoFill="0" autoPict="0" macro="[0]!hideEmptyColumn">
            <anchor moveWithCells="1">
              <from>
                <xdr:col>4</xdr:col>
                <xdr:colOff>200025</xdr:colOff>
                <xdr:row>1</xdr:row>
                <xdr:rowOff>0</xdr:rowOff>
              </from>
              <to>
                <xdr:col>5</xdr:col>
                <xdr:colOff>695325</xdr:colOff>
                <xdr:row>2</xdr:row>
                <xdr:rowOff>66675</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timeRelativeFromDays>0</timeRelativeFromDays>
      <timeRelativeToDays>720</timeRelativeToDays>
    </planningUnits>
  </bookSettings>
  <report_Sheet1 xmlns="">
    <settings>
      <time>
        <dimension>PERIODID0</dimension>
        <rolling>true</rolling>
        <realTime>true</realTime>
        <fromAbsolute/>
        <toAbsolute/>
        <fromRelative>0</fromRelative>
        <toRelative>49</toRelative>
        <fromTimeAbsolute>0001-01-01T00:00:00</fromTimeAbsolute>
        <toTimeAbsolute>0001-01-01T00:00:00</toTimeAbsolute>
        <fromTimeRelativeInDays>-140</fromTimeRelativeInDays>
        <toTimeRelativeInDays>12</toTimeRelativeInDays>
      </time>
      <planningLevels>
        <value>PRDID</value>
        <value>CUSTID</value>
      </planningLevels>
      <keyFigures>
        <value>CONSENSUSDEMAND</value>
      </keyFigures>
      <conversions/>
      <rowAxis>
        <value>PRDID</value>
        <value>CUSTID</value>
        <value>KEY_FIGURES</value>
      </rowAxis>
      <columnAxis>
        <value>PERIODID0</value>
      </columnAxis>
      <alerts/>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CUSTID</dimensionId>
          <description>Ascending</description>
          <name>A-Z</name>
          <id>-11</id>
        </attributeSorting>
      </attributeSortings>
    </settings>
  </report_Sheet1>
</config>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5ADDB5086ED984C8626DF396CE52380" ma:contentTypeVersion="14" ma:contentTypeDescription="Create a new document." ma:contentTypeScope="" ma:versionID="74a081fbb84ec12856662400aaf1437d">
  <xsd:schema xmlns:xsd="http://www.w3.org/2001/XMLSchema" xmlns:xs="http://www.w3.org/2001/XMLSchema" xmlns:p="http://schemas.microsoft.com/office/2006/metadata/properties" xmlns:ns3="a240ad8e-32f0-49ff-8cbe-0619d9b747ef" xmlns:ns4="bbc324ba-a621-4ce9-b168-efe94d1c4d21" targetNamespace="http://schemas.microsoft.com/office/2006/metadata/properties" ma:root="true" ma:fieldsID="c5800c1bfdc2ced46ca140ab05f0fc0a" ns3:_="" ns4:_="">
    <xsd:import namespace="a240ad8e-32f0-49ff-8cbe-0619d9b747ef"/>
    <xsd:import namespace="bbc324ba-a621-4ce9-b168-efe94d1c4d2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DateTaken" minOccurs="0"/>
                <xsd:element ref="ns4:MediaServiceLocation"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240ad8e-32f0-49ff-8cbe-0619d9b747ef"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bc324ba-a621-4ce9-b168-efe94d1c4d21"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description="" ma:internalName="MediaServiceAutoTags" ma:readOnly="true">
      <xsd:simpleType>
        <xsd:restriction base="dms:Text"/>
      </xsd:simpleType>
    </xsd:element>
    <xsd:element name="MediaServiceDateTaken" ma:index="14" nillable="true" ma:displayName="MediaServiceDateTaken" ma:description="" ma:hidden="true" ma:internalName="MediaServiceDateTaken" ma:readOnly="true">
      <xsd:simpleType>
        <xsd:restriction base="dms:Text"/>
      </xsd:simpleType>
    </xsd:element>
    <xsd:element name="MediaServiceLocation" ma:index="15" nillable="true" ma:displayName="MediaServiceLocation" ma:internalName="MediaServiceLocation"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E134B54-B2D3-48B9-BCAE-1467D4A735F6}">
  <ds:schemaRefs>
    <ds:schemaRef ds:uri="http://com.sap.sop/sopconfig"/>
    <ds:schemaRef ds:uri=""/>
  </ds:schemaRefs>
</ds:datastoreItem>
</file>

<file path=customXml/itemProps2.xml><?xml version="1.0" encoding="utf-8"?>
<ds:datastoreItem xmlns:ds="http://schemas.openxmlformats.org/officeDocument/2006/customXml" ds:itemID="{2073F83B-2A70-44DB-8422-866274B59049}">
  <ds:schemaRefs>
    <ds:schemaRef ds:uri="http://schemas.microsoft.com/sharepoint/v3/contenttype/forms"/>
  </ds:schemaRefs>
</ds:datastoreItem>
</file>

<file path=customXml/itemProps3.xml><?xml version="1.0" encoding="utf-8"?>
<ds:datastoreItem xmlns:ds="http://schemas.openxmlformats.org/officeDocument/2006/customXml" ds:itemID="{9755BDC0-D694-446D-A70F-AF859CDAA3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240ad8e-32f0-49ff-8cbe-0619d9b747ef"/>
    <ds:schemaRef ds:uri="bbc324ba-a621-4ce9-b168-efe94d1c4d2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0E04736-483E-4519-A67B-A2B14E198BF8}">
  <ds:schemaRefs>
    <ds:schemaRef ds:uri="bbc324ba-a621-4ce9-b168-efe94d1c4d21"/>
    <ds:schemaRef ds:uri="http://purl.org/dc/elements/1.1/"/>
    <ds:schemaRef ds:uri="http://schemas.microsoft.com/office/2006/metadata/properties"/>
    <ds:schemaRef ds:uri="a240ad8e-32f0-49ff-8cbe-0619d9b747ef"/>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Planning 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Weber, Patrick</dc:creator>
  <cp:lastModifiedBy>Weber, Patrick</cp:lastModifiedBy>
  <dcterms:created xsi:type="dcterms:W3CDTF">2021-06-02T14:12:37Z</dcterms:created>
  <dcterms:modified xsi:type="dcterms:W3CDTF">2021-07-26T08:44:33Z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0x01010075ADDB5086ED984C8626DF396CE52380</vt:lpwstr>
  </property>
  <property fmtid="{D5CDD505-2E9C-101B-9397-08002B2CF9AE}" pid="3" name="IbpWorkbookKeyString_GUID">
    <vt:lpwstr>be3ba980-9a5f-4467-821f-74eedc1b1331</vt:lpwstr>
  </property>
</Properties>
</file>