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6_Prefill Reason Codes and Comments when Saving Data/"/>
    </mc:Choice>
  </mc:AlternateContent>
  <xr:revisionPtr revIDLastSave="39" documentId="8_{60E63B1F-8DC4-484C-8497-F8EC45E7BA81}" xr6:coauthVersionLast="47" xr6:coauthVersionMax="47" xr10:uidLastSave="{47BCD3B2-B740-4436-8169-24F8DC4F9995}"/>
  <bookViews>
    <workbookView xWindow="-103" yWindow="-103" windowWidth="22149" windowHeight="11949" tabRatio="374" firstSheet="2" activeTab="2" xr2:uid="{00000000-000D-0000-FFFF-FFFF00000000}"/>
  </bookViews>
  <sheets>
    <sheet name="SapIbpChartFeeder" sheetId="6" state="hidden" r:id="rId1"/>
    <sheet name="IBPFormattingSheet" sheetId="7" state="hidden" r:id="rId2"/>
    <sheet name="Planning" sheetId="5" r:id="rId3"/>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Planning!$H$6:$V$6</definedName>
    <definedName name="_SOP">1</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IBPFormattingSheet!$D$61</definedName>
    <definedName name="AddMemberFirst_1" localSheetId="1" hidden="1">IBPFormattingSheet!$D$59</definedName>
    <definedName name="AddMemberSecond" localSheetId="1" hidden="1">IBPFormattingSheet!$D$40</definedName>
    <definedName name="DataFirst" localSheetId="1" hidden="1">IBPFormattingSheet!$E$43:$G$43</definedName>
    <definedName name="DataSecond" localSheetId="1" hidden="1">IBPFormattingSheet!$E$76:$G$76</definedName>
    <definedName name="DataUseFirst" localSheetId="1" hidden="1">IBPFormattingSheet!$H$43</definedName>
    <definedName name="DataUseSecond" localSheetId="1"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1" hidden="1">IBPFormattingSheet!$F$73</definedName>
    <definedName name="EvenDataSecond" localSheetId="1" hidden="1">IBPFormattingSheet!$F$81</definedName>
    <definedName name="EvenDataUseFirst" localSheetId="1" hidden="1">IBPFormattingSheet!$H$73</definedName>
    <definedName name="EvenDataUseSecond" localSheetId="1" hidden="1">IBPFormattingSheet!$H$81</definedName>
    <definedName name="EvenHeaderFirst" localSheetId="1" hidden="1">IBPFormattingSheet!$J$73</definedName>
    <definedName name="EvenHeaderSecond" localSheetId="1" hidden="1">IBPFormattingSheet!$J$81</definedName>
    <definedName name="EvenHeaderUseFirst" localSheetId="1" hidden="1">IBPFormattingSheet!$L$73</definedName>
    <definedName name="EvenHeaderUseSecond" localSheetId="1" hidden="1">IBPFormattingSheet!$L$81</definedName>
    <definedName name="HeaderFirst" localSheetId="1" hidden="1">IBPFormattingSheet!$I$43:$K$43</definedName>
    <definedName name="HeaderSecond" localSheetId="1" hidden="1">IBPFormattingSheet!$I$76:$K$76</definedName>
    <definedName name="HeaderSmallGrid" localSheetId="1" hidden="1">IBPFormattingSheet!$A$1</definedName>
    <definedName name="HeaderUseFirst" localSheetId="1" hidden="1">IBPFormattingSheet!$L$43</definedName>
    <definedName name="HeaderUseSecond" localSheetId="1" hidden="1">IBPFormattingSheet!$L$76</definedName>
    <definedName name="HeaderUseSmallGrid" localSheetId="1" hidden="1">IBPFormattingSheet!$A$1</definedName>
    <definedName name="IBP_Migrated" localSheetId="1">TRUE</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IBPFormattingSheet!$B$63</definedName>
    <definedName name="MemberFirstBlock" localSheetId="1" hidden="1">IBPFormattingSheet!$B$42:$B$62</definedName>
    <definedName name="MemberFirstDataCalculated" localSheetId="1" hidden="1">IBPFormattingSheet!$F$45</definedName>
    <definedName name="MemberFirstDataChanged" localSheetId="1" hidden="1">IBPFormattingSheet!$F$54</definedName>
    <definedName name="MemberFirstDataCustom" localSheetId="1" hidden="1">IBPFormattingSheet!#REF!</definedName>
    <definedName name="MemberFirstDataInputable" localSheetId="1" hidden="1">IBPFormattingSheet!$F$48</definedName>
    <definedName name="MemberFirstDataItem_1" localSheetId="1" hidden="1">IBPFormattingSheet!$F$59</definedName>
    <definedName name="MemberFirstDataLocal" localSheetId="1" hidden="1">IBPFormattingSheet!$F$51</definedName>
    <definedName name="MemberFirstDataUseCalculated" localSheetId="1" hidden="1">IBPFormattingSheet!$H$45</definedName>
    <definedName name="MemberFirstDataUseChanged" localSheetId="1" hidden="1">IBPFormattingSheet!$H$54</definedName>
    <definedName name="MemberFirstDataUseCustom" localSheetId="1" hidden="1">IBPFormattingSheet!#REF!</definedName>
    <definedName name="MemberFirstDataUseInputable" localSheetId="1" hidden="1">IBPFormattingSheet!$H$48</definedName>
    <definedName name="MemberFirstDataUseItem_1" localSheetId="1" hidden="1">IBPFormattingSheet!$H$59</definedName>
    <definedName name="MemberFirstDataUseLocal" localSheetId="1" hidden="1">IBPFormattingSheet!$H$51</definedName>
    <definedName name="MemberFirstHeaderCalculated" localSheetId="1" hidden="1">IBPFormattingSheet!$J$45</definedName>
    <definedName name="MemberFirstHeaderChanged" localSheetId="1" hidden="1">IBPFormattingSheet!$J$54</definedName>
    <definedName name="MemberFirstHeaderCustom" localSheetId="1" hidden="1">IBPFormattingSheet!#REF!</definedName>
    <definedName name="MemberFirstHeaderInputable" localSheetId="1" hidden="1">IBPFormattingSheet!$J$48</definedName>
    <definedName name="MemberFirstHeaderItem_1" localSheetId="1" hidden="1">IBPFormattingSheet!$J$59</definedName>
    <definedName name="MemberFirstHeaderLocal" localSheetId="1" hidden="1">IBPFormattingSheet!$J$51</definedName>
    <definedName name="MemberFirstHeaderUseCalculated" localSheetId="1" hidden="1">IBPFormattingSheet!$L$45</definedName>
    <definedName name="MemberFirstHeaderUseChanged" localSheetId="1" hidden="1">IBPFormattingSheet!$L$54</definedName>
    <definedName name="MemberFirstHeaderUseCustom" localSheetId="1" hidden="1">IBPFormattingSheet!#REF!</definedName>
    <definedName name="MemberFirstHeaderUseInputable" localSheetId="1" hidden="1">IBPFormattingSheet!$L$48</definedName>
    <definedName name="MemberFirstHeaderUseItem_1" localSheetId="1" hidden="1">IBPFormattingSheet!$L$59</definedName>
    <definedName name="MemberFirstHeaderUseLocal" localSheetId="1" hidden="1">IBPFormattingSheet!$L$51</definedName>
    <definedName name="MemberSecondBlock" localSheetId="1" hidden="1">IBPFormattingSheet!$B$24:$B$41</definedName>
    <definedName name="MemberSecondDataCalculated" localSheetId="1" hidden="1">IBPFormattingSheet!$F$27</definedName>
    <definedName name="MemberSecondDataChanged" localSheetId="1" hidden="1">IBPFormattingSheet!$F$36</definedName>
    <definedName name="MemberSecondDataCustom" localSheetId="1" hidden="1">IBPFormattingSheet!#REF!</definedName>
    <definedName name="MemberSecondDataInputable" localSheetId="1" hidden="1">IBPFormattingSheet!$F$30</definedName>
    <definedName name="MemberSecondDataLocal" localSheetId="1" hidden="1">IBPFormattingSheet!$F$33</definedName>
    <definedName name="MemberSecondDataUseCalculated" localSheetId="1" hidden="1">IBPFormattingSheet!$H$27</definedName>
    <definedName name="MemberSecondDataUseChanged" localSheetId="1" hidden="1">IBPFormattingSheet!$H$36</definedName>
    <definedName name="MemberSecondDataUseCustom" localSheetId="1" hidden="1">IBPFormattingSheet!#REF!</definedName>
    <definedName name="MemberSecondDataUseInputable" localSheetId="1" hidden="1">IBPFormattingSheet!$H$30</definedName>
    <definedName name="MemberSecondDataUseLocal" localSheetId="1" hidden="1">IBPFormattingSheet!$H$33</definedName>
    <definedName name="MemberSecondHeaderCalculated" localSheetId="1" hidden="1">IBPFormattingSheet!$J$27</definedName>
    <definedName name="MemberSecondHeaderChanged" localSheetId="1" hidden="1">IBPFormattingSheet!$J$36</definedName>
    <definedName name="MemberSecondHeaderCustom" localSheetId="1" hidden="1">IBPFormattingSheet!#REF!</definedName>
    <definedName name="MemberSecondHeaderInputable" localSheetId="1" hidden="1">IBPFormattingSheet!$J$30</definedName>
    <definedName name="MemberSecondHeaderLocal" localSheetId="1" hidden="1">IBPFormattingSheet!$J$33</definedName>
    <definedName name="MemberSecondHeaderUseCalculated" localSheetId="1" hidden="1">IBPFormattingSheet!$L$27</definedName>
    <definedName name="MemberSecondHeaderUseChanged" localSheetId="1" hidden="1">IBPFormattingSheet!$L$36</definedName>
    <definedName name="MemberSecondHeaderUseCustom" localSheetId="1" hidden="1">IBPFormattingSheet!#REF!</definedName>
    <definedName name="MemberSecondHeaderUseInputable" localSheetId="1" hidden="1">IBPFormattingSheet!$L$30</definedName>
    <definedName name="MemberSecondHeaderUseLocal" localSheetId="1" hidden="1">IBPFormattingSheet!$L$33</definedName>
    <definedName name="OddDataFirst" localSheetId="1" hidden="1">IBPFormattingSheet!$F$70</definedName>
    <definedName name="OddDataSecond" localSheetId="1" hidden="1">IBPFormattingSheet!$F$78</definedName>
    <definedName name="OddDataUseFirst" localSheetId="1" hidden="1">IBPFormattingSheet!$H$70</definedName>
    <definedName name="OddDataUseSecond" localSheetId="1" hidden="1">IBPFormattingSheet!$H$78</definedName>
    <definedName name="OddEvenEndBlock" localSheetId="1" hidden="1">IBPFormattingSheet!$B$83</definedName>
    <definedName name="OddEvenFirstBlock" localSheetId="1" hidden="1">IBPFormattingSheet!$B$67:$B$74</definedName>
    <definedName name="OddEvenSecondBlock" localSheetId="1" hidden="1">IBPFormattingSheet!$B$75:$B$82</definedName>
    <definedName name="OddHeaderFirst" localSheetId="1" hidden="1">IBPFormattingSheet!$J$70</definedName>
    <definedName name="OddHeaderSecond" localSheetId="1" hidden="1">IBPFormattingSheet!$J$78</definedName>
    <definedName name="OddHeaderUseFirst" localSheetId="1" hidden="1">IBPFormattingSheet!$L$70</definedName>
    <definedName name="OddHeaderUseSecond" localSheetId="1" hidden="1">IBPFormattingSheet!$L$78</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"SID"</definedName>
    <definedName name="SOP_CurrencyToID" localSheetId="2">"EUR"</definedName>
    <definedName name="SOP_CURRTOID" localSheetId="2">"EUR"</definedName>
    <definedName name="SOP_Favorite_Name">"Save Data"</definedName>
    <definedName name="SOP_Filter" localSheetId="2">{"Product ID = HT_001","Location ID = HD_DC_CA_E"}</definedName>
    <definedName name="SOP_Filter">{" "}</definedName>
    <definedName name="SOP_Filter_Criteria_Count" localSheetId="2">2</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 ID"</definedName>
    <definedName name="SOP_Heading3" localSheetId="2">"Product ID"</definedName>
    <definedName name="SOP_Heading4" localSheetId="2">" "</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"SAP6"</definedName>
    <definedName name="SOP_Planning_Scope">"23.02.2022 - 31.12.2023 | Baseline | Base Version"</definedName>
    <definedName name="SOP_Refresh_Timestamp">44615.7941898148</definedName>
    <definedName name="SOP_Template_Name">"template name"</definedName>
    <definedName name="SOP_UOMToID" localSheetId="2">"PC"</definedName>
    <definedName name="SOP_Value_Based_Filter" localSheetId="2">{" "}</definedName>
    <definedName name="SOP_Value_Based_Filter_Name" localSheetId="2">"(None)"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5" l="1"/>
  <c r="H6" i="5"/>
  <c r="I6" i="5"/>
  <c r="A6" i="5"/>
  <c r="B6" i="5"/>
  <c r="C6" i="5"/>
  <c r="D6" i="5"/>
  <c r="E6" i="5"/>
  <c r="F6" i="5"/>
  <c r="G6" i="5"/>
  <c r="A2" i="5"/>
  <c r="K2" i="5"/>
  <c r="K1" i="5"/>
  <c r="T6" i="5"/>
  <c r="V6" i="5"/>
  <c r="S6" i="5"/>
  <c r="I7" i="5"/>
  <c r="M6" i="5"/>
  <c r="U6" i="5"/>
  <c r="Q6" i="5"/>
  <c r="J9" i="5"/>
  <c r="J7" i="5"/>
  <c r="R6" i="5"/>
  <c r="N6" i="5"/>
  <c r="K6" i="5"/>
  <c r="J11" i="5"/>
  <c r="H7" i="5"/>
  <c r="P6" i="5"/>
  <c r="L6" i="5"/>
  <c r="J10" i="5"/>
  <c r="J8" i="5"/>
  <c r="O6" i="5"/>
  <c r="J12"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7" authorId="0" shapeId="0" xr:uid="{FEF2C440-670A-4866-8583-678147C0D0CF}">
      <text>
        <r>
          <rPr>
            <sz val="9"/>
            <color indexed="81"/>
            <rFont val="Tahoma"/>
            <family val="2"/>
          </rPr>
          <t>1503 is fixed</t>
        </r>
      </text>
    </comment>
    <comment ref="S7" authorId="0" shapeId="0" xr:uid="{A82842AD-EF78-44C8-A89B-23691140CAF5}">
      <text>
        <r>
          <rPr>
            <sz val="9"/>
            <color indexed="81"/>
            <rFont val="Tahoma"/>
            <family val="2"/>
          </rPr>
          <t>100 is fixed</t>
        </r>
      </text>
    </comment>
    <comment ref="T7" authorId="0" shapeId="0" xr:uid="{8C282947-6238-4AFD-857F-0D5FF0374B67}">
      <text>
        <r>
          <rPr>
            <sz val="9"/>
            <color indexed="81"/>
            <rFont val="Tahoma"/>
            <family val="2"/>
          </rPr>
          <t>100 is fixed</t>
        </r>
      </text>
    </comment>
    <comment ref="U7" authorId="0" shapeId="0" xr:uid="{39F256B4-A9E3-4D8A-993E-ADC4213F1A8B}">
      <text>
        <r>
          <rPr>
            <sz val="9"/>
            <color indexed="81"/>
            <rFont val="Tahoma"/>
            <family val="2"/>
          </rPr>
          <t>100 is fixed</t>
        </r>
      </text>
    </comment>
  </commentList>
</comments>
</file>

<file path=xl/sharedStrings.xml><?xml version="1.0" encoding="utf-8"?>
<sst xmlns="http://schemas.openxmlformats.org/spreadsheetml/2006/main" count="148" uniqueCount="69">
  <si>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</si>
  <si>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</si>
  <si>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</si>
  <si>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</si>
  <si>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</si>
  <si>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</si>
  <si>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</si>
  <si>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</si>
  <si>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</si>
  <si>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</si>
  <si>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</si>
  <si>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</si>
  <si>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</si>
  <si>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</si>
  <si>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</si>
  <si>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</si>
  <si>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</si>
  <si>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</si>
  <si>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</si>
  <si>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</si>
  <si>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</si>
  <si>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</si>
  <si>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</si>
  <si>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</si>
  <si>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Sheet2_FILTER</t>
  </si>
  <si>
    <t>Sheet2_CHART</t>
  </si>
  <si>
    <t>Jun 17</t>
  </si>
  <si>
    <t>Jul 17</t>
  </si>
  <si>
    <t>Aug 17</t>
  </si>
  <si>
    <t>Sep 17</t>
  </si>
  <si>
    <t>OCT 2017</t>
  </si>
  <si>
    <t>Nov 17</t>
  </si>
  <si>
    <t>DEC 2017</t>
  </si>
  <si>
    <t>Jan 18</t>
  </si>
  <si>
    <t>Feb 18</t>
  </si>
  <si>
    <t>MAR 2018</t>
  </si>
  <si>
    <t>Apr 18</t>
  </si>
  <si>
    <t>MAY 2018</t>
  </si>
  <si>
    <t>Consensus Demand Plan Revenue</t>
  </si>
  <si>
    <t>Consensus Demand</t>
  </si>
  <si>
    <t>= EPMOlapMemberO("[KEY_FIGURES].[].[CONSENSUSDEMANDREV]","","Consensus Demand Plan Revenue","","000")_x000D_
= EPMOlapMemberO("[KEY_FIGURES].[].[FINALCONSENSUSDEMAND]","","Consensus Demand","","000")</t>
  </si>
  <si>
    <t>= EPMOlapMemberO("[LOCID].[].[HD_DC_US_E]","","HD_DC_US_E","","000")</t>
  </si>
  <si>
    <t>Sheet5_SERIES</t>
  </si>
  <si>
    <t>Sheet5_FILTER</t>
  </si>
  <si>
    <t>Balazs EPM Formatting Sheet Demo</t>
  </si>
  <si>
    <t>Sheet2_SERIES</t>
  </si>
  <si>
    <t>= EPMOlapMemberO("[KEY_FIGURES].[].[ADJDELIVQTY]","","Delivered Qty Adjusted","","000")_x000D_
= EPMOlapMemberO("[KEY_FIGURES].[].[CONSENSUSDEMAND]","","Consensus Demand without Promotions","","000")_x000D_
= EPMOlapMemberO("[KEY_FIGURES].[].[SALESFCSTQTY]","","Sales Forecast Qty","","000")</t>
  </si>
  <si>
    <t>Delivered Qty Adjusted</t>
  </si>
  <si>
    <t>Consensus Demand without Promotions</t>
  </si>
  <si>
    <t>Sales Forecast Qty</t>
  </si>
  <si>
    <t>DEC 2018</t>
  </si>
  <si>
    <t>Jan 19</t>
  </si>
  <si>
    <t>Feb 19</t>
  </si>
  <si>
    <t>MAR 2019</t>
  </si>
  <si>
    <t>Apr 19</t>
  </si>
  <si>
    <t>MAY 2019</t>
  </si>
  <si>
    <t>Jun 19</t>
  </si>
  <si>
    <t>Jul 19</t>
  </si>
  <si>
    <t>Aug 19</t>
  </si>
  <si>
    <t>Sep 19</t>
  </si>
  <si>
    <t>OCT 2019</t>
  </si>
  <si>
    <t>Nov 19</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</si>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</sst>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2_#,##0"/>
    <numFmt numFmtId="165" formatCode="\◑\_xd83d_\_xdd13_#,##0"/>
  </numFmts>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4">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A5A5A5"/>
      </patternFill>
    </fill>
  </fills>
  <borders count="40">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
      <left style="double">
        <color rgb="FF3F3F3F"/>
      </left>
      <right style="double">
        <color rgb="FF3F3F3F"/>
      </right>
      <top style="double">
        <color rgb="FF3F3F3F"/>
      </top>
      <bottom style="double">
        <color rgb="FF3F3F3F"/>
      </bottom>
      <diagonal/>
    </border>
  </borders>
  <cellStyleXfs count="3">
    <xf numFmtId="0" fontId="0" fillId="0" borderId="0"/>
    <xf numFmtId="0" fontId="15" fillId="8" borderId="0" applyNumberFormat="0" applyBorder="0" applyAlignment="0" applyProtection="0"/>
    <xf numFmtId="0" fontId="12" fillId="13" borderId="39" applyNumberFormat="0" applyAlignment="0" applyProtection="0"/>
  </cellStyleXfs>
  <cellXfs count="103">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7" borderId="0" xfId="0" applyNumberFormat="1" applyFont="1" applyFill="1" applyBorder="1" applyAlignment="1" applyProtection="1">
      <alignment horizontal="right" vertical="center"/>
      <protection locked="0"/>
    </xf>
    <xf numFmtId="0" fontId="0" fillId="6" borderId="0" xfId="0" applyFill="1"/>
    <xf numFmtId="0" fontId="15" fillId="10" borderId="0" xfId="0" applyFont="1" applyFill="1" applyBorder="1"/>
    <xf numFmtId="0" fontId="0" fillId="11" borderId="0" xfId="0" applyFill="1"/>
    <xf numFmtId="3" fontId="13" fillId="9"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1"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2" borderId="0" xfId="0" applyNumberFormat="1" applyFont="1" applyFill="1" applyBorder="1" applyAlignment="1" applyProtection="1">
      <alignment horizontal="right" vertical="center"/>
      <protection locked="0"/>
    </xf>
    <xf numFmtId="0" fontId="0" fillId="0" borderId="0" xfId="0" quotePrefix="1" applyAlignment="1">
      <alignment wrapText="1"/>
    </xf>
    <xf numFmtId="0" fontId="0" fillId="0" borderId="0" xfId="0" quotePrefix="1"/>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164" fontId="23" fillId="12" borderId="0" xfId="0" applyNumberFormat="1" applyFont="1" applyFill="1" applyBorder="1" applyAlignment="1" applyProtection="1">
      <alignment horizontal="right" vertical="center"/>
      <protection locked="0"/>
    </xf>
    <xf numFmtId="165" fontId="23" fillId="12" borderId="0" xfId="0" applyNumberFormat="1" applyFont="1" applyFill="1" applyBorder="1" applyAlignment="1" applyProtection="1">
      <alignment horizontal="right" vertical="center"/>
      <protection locked="0"/>
    </xf>
    <xf numFmtId="0" fontId="15" fillId="10" borderId="0" xfId="0" applyFont="1" applyFill="1" applyBorder="1" applyAlignment="1" applyProtection="1">
      <alignment horizontal="right" vertical="center"/>
    </xf>
    <xf numFmtId="0" fontId="12" fillId="10" borderId="0" xfId="0" applyFont="1" applyFill="1" applyBorder="1" applyAlignment="1" applyProtection="1">
      <alignment horizontal="left" vertical="center"/>
    </xf>
    <xf numFmtId="0" fontId="15" fillId="10" borderId="0" xfId="0" applyFont="1" applyFill="1" applyProtection="1"/>
    <xf numFmtId="0" fontId="15" fillId="10" borderId="0" xfId="0" applyFont="1" applyFill="1" applyBorder="1" applyProtection="1"/>
    <xf numFmtId="0" fontId="15" fillId="10" borderId="0" xfId="1" applyFont="1" applyFill="1" applyBorder="1" applyAlignment="1" applyProtection="1"/>
    <xf numFmtId="0" fontId="0" fillId="6" borderId="0" xfId="0" applyFill="1" applyProtection="1"/>
    <xf numFmtId="0" fontId="0" fillId="0" borderId="0" xfId="0" applyProtection="1"/>
    <xf numFmtId="0" fontId="12" fillId="11" borderId="0" xfId="0" applyFont="1" applyFill="1" applyProtection="1"/>
    <xf numFmtId="0" fontId="0" fillId="6" borderId="0" xfId="0" applyFill="1" applyAlignment="1" applyProtection="1">
      <alignment horizontal="left" vertical="top" wrapText="1"/>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0" fillId="6" borderId="0" xfId="0" applyFill="1" applyAlignment="1" applyProtection="1">
      <alignment horizontal="left" vertical="top" wrapText="1"/>
    </xf>
    <xf numFmtId="0" fontId="19" fillId="10" borderId="0" xfId="0" quotePrefix="1" applyFont="1" applyFill="1" applyBorder="1" applyAlignment="1" applyProtection="1">
      <alignment horizontal="left" vertical="top" wrapText="1" indent="5"/>
    </xf>
    <xf numFmtId="0" fontId="19" fillId="10" borderId="0" xfId="0" quotePrefix="1" applyFont="1" applyFill="1" applyBorder="1" applyAlignment="1" applyProtection="1">
      <alignment horizontal="left" vertical="top" indent="5"/>
    </xf>
    <xf numFmtId="0" fontId="20" fillId="10" borderId="0" xfId="0" applyFont="1" applyFill="1" applyBorder="1" applyAlignment="1" applyProtection="1">
      <alignment horizontal="left" vertical="center"/>
    </xf>
    <xf numFmtId="0" fontId="21" fillId="10" borderId="0" xfId="0" applyFont="1" applyFill="1" applyBorder="1" applyAlignment="1" applyProtection="1">
      <alignment horizontal="right" vertical="top" wrapText="1"/>
    </xf>
    <xf numFmtId="0" fontId="22" fillId="10" borderId="0" xfId="0" quotePrefix="1" applyFont="1" applyFill="1" applyBorder="1" applyAlignment="1" applyProtection="1">
      <alignment horizontal="left" vertical="top" wrapText="1" indent="5"/>
    </xf>
    <xf numFmtId="0" fontId="21" fillId="10" borderId="0" xfId="0" applyFont="1" applyFill="1" applyBorder="1" applyAlignment="1" applyProtection="1">
      <alignment horizontal="left" vertical="top"/>
    </xf>
  </cellXfs>
  <cellStyles count="3">
    <cellStyle name="Accent6" xfId="1" builtinId="49"/>
    <cellStyle name="Check Cell 2" xfId="2" xr:uid="{40CC7E88-401C-413F-9804-D49B81C627EB}"/>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12.emf"/><Relationship Id="rId18" Type="http://schemas.openxmlformats.org/officeDocument/2006/relationships/image" Target="../media/image7.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13.emf"/><Relationship Id="rId17" Type="http://schemas.openxmlformats.org/officeDocument/2006/relationships/image" Target="../media/image8.emf"/><Relationship Id="rId2" Type="http://schemas.openxmlformats.org/officeDocument/2006/relationships/image" Target="../media/image18.emf"/><Relationship Id="rId16" Type="http://schemas.openxmlformats.org/officeDocument/2006/relationships/image" Target="../media/image9.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14.emf"/><Relationship Id="rId5" Type="http://schemas.openxmlformats.org/officeDocument/2006/relationships/image" Target="../media/image21.emf"/><Relationship Id="rId15" Type="http://schemas.openxmlformats.org/officeDocument/2006/relationships/image" Target="../media/image10.emf"/><Relationship Id="rId10" Type="http://schemas.openxmlformats.org/officeDocument/2006/relationships/image" Target="../media/image15.emf"/><Relationship Id="rId19" Type="http://schemas.openxmlformats.org/officeDocument/2006/relationships/image" Target="../media/image6.emf"/><Relationship Id="rId4" Type="http://schemas.openxmlformats.org/officeDocument/2006/relationships/image" Target="../media/image20.emf"/><Relationship Id="rId9" Type="http://schemas.openxmlformats.org/officeDocument/2006/relationships/image" Target="../media/image16.emf"/><Relationship Id="rId1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1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1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1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1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1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1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1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1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1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1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1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1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1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1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1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1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1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1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1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1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1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1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1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1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1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789214</xdr:colOff>
          <xdr:row>2</xdr:row>
          <xdr:rowOff>114300</xdr:rowOff>
        </xdr:from>
        <xdr:to>
          <xdr:col>9</xdr:col>
          <xdr:colOff>1208314</xdr:colOff>
          <xdr:row>2</xdr:row>
          <xdr:rowOff>571500</xdr:rowOff>
        </xdr:to>
        <xdr:sp macro="" textlink="">
          <xdr:nvSpPr>
            <xdr:cNvPr id="3574" name="SaveData" hidden="1">
              <a:extLst>
                <a:ext uri="{63B3BB69-23CF-44E3-9099-C40C66FF867C}">
                  <a14:compatExt spid="_x0000_s3574"/>
                </a:ext>
                <a:ext uri="{FF2B5EF4-FFF2-40B4-BE49-F238E27FC236}">
                  <a16:creationId xmlns:a16="http://schemas.microsoft.com/office/drawing/2014/main" id="{00000000-0008-0000-02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3.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2.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7" Type="http://schemas.openxmlformats.org/officeDocument/2006/relationships/image" Target="../media/image5.png"/><Relationship Id="rId2" Type="http://schemas.openxmlformats.org/officeDocument/2006/relationships/customProperty" Target="../customProperty4.bin"/><Relationship Id="rId16" Type="http://schemas.openxmlformats.org/officeDocument/2006/relationships/control" Target="../activeX/activeX9.xml"/><Relationship Id="rId29" Type="http://schemas.openxmlformats.org/officeDocument/2006/relationships/image" Target="../media/image16.emf"/><Relationship Id="rId1" Type="http://schemas.openxmlformats.org/officeDocument/2006/relationships/printerSettings" Target="../printerSettings/printerSettings3.bin"/><Relationship Id="rId6" Type="http://schemas.openxmlformats.org/officeDocument/2006/relationships/vmlDrawing" Target="../drawings/vmlDrawing2.vml"/><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45" Type="http://schemas.openxmlformats.org/officeDocument/2006/relationships/image" Target="../media/image24.emf"/><Relationship Id="rId5" Type="http://schemas.openxmlformats.org/officeDocument/2006/relationships/drawing" Target="../drawings/drawing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3.xml"/><Relationship Id="rId4" Type="http://schemas.openxmlformats.org/officeDocument/2006/relationships/customProperty" Target="../customProperty6.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8" Type="http://schemas.openxmlformats.org/officeDocument/2006/relationships/control" Target="../activeX/activeX5.xml"/><Relationship Id="rId3" Type="http://schemas.openxmlformats.org/officeDocument/2006/relationships/customProperty" Target="../customProperty5.bin"/><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 Id="rId46" Type="http://schemas.openxmlformats.org/officeDocument/2006/relationships/comments" Target="../comments2.xml"/><Relationship Id="rId20" Type="http://schemas.openxmlformats.org/officeDocument/2006/relationships/control" Target="../activeX/activeX11.xml"/><Relationship Id="rId41" Type="http://schemas.openxmlformats.org/officeDocument/2006/relationships/image" Target="../media/image2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12"/>
  <sheetViews>
    <sheetView workbookViewId="0">
      <selection activeCell="B6" sqref="B6"/>
    </sheetView>
  </sheetViews>
  <sheetFormatPr defaultRowHeight="14.6" x14ac:dyDescent="0.4"/>
  <sheetData>
    <row r="1" spans="1:14" x14ac:dyDescent="0.4">
      <c r="A1" t="s">
        <v>42</v>
      </c>
    </row>
    <row r="2" spans="1:14" ht="378.9" x14ac:dyDescent="0.4">
      <c r="A2" t="s">
        <v>43</v>
      </c>
      <c r="B2" s="41" t="s">
        <v>40</v>
      </c>
    </row>
    <row r="3" spans="1:14" x14ac:dyDescent="0.4">
      <c r="A3" t="s">
        <v>24</v>
      </c>
      <c r="B3" s="42" t="s">
        <v>41</v>
      </c>
    </row>
    <row r="4" spans="1:14" x14ac:dyDescent="0.4">
      <c r="A4" t="s">
        <v>25</v>
      </c>
      <c r="C4" t="s">
        <v>26</v>
      </c>
      <c r="D4" t="s">
        <v>27</v>
      </c>
      <c r="E4" t="s">
        <v>28</v>
      </c>
      <c r="F4" t="s">
        <v>29</v>
      </c>
      <c r="G4" t="s">
        <v>30</v>
      </c>
      <c r="H4" t="s">
        <v>31</v>
      </c>
      <c r="I4" t="s">
        <v>32</v>
      </c>
      <c r="J4" t="s">
        <v>33</v>
      </c>
      <c r="K4" t="s">
        <v>34</v>
      </c>
      <c r="L4" t="s">
        <v>35</v>
      </c>
      <c r="M4" t="s">
        <v>36</v>
      </c>
      <c r="N4" t="s">
        <v>37</v>
      </c>
    </row>
    <row r="5" spans="1:14" x14ac:dyDescent="0.4">
      <c r="A5" t="s">
        <v>25</v>
      </c>
      <c r="B5" t="s">
        <v>38</v>
      </c>
      <c r="C5">
        <v>0</v>
      </c>
      <c r="D5">
        <v>0</v>
      </c>
      <c r="E5">
        <v>0</v>
      </c>
      <c r="F5">
        <v>0</v>
      </c>
      <c r="G5">
        <v>0</v>
      </c>
      <c r="H5">
        <v>0</v>
      </c>
      <c r="I5">
        <v>0</v>
      </c>
      <c r="J5">
        <v>0</v>
      </c>
      <c r="K5">
        <v>0</v>
      </c>
      <c r="L5">
        <v>0</v>
      </c>
      <c r="M5">
        <v>0</v>
      </c>
      <c r="N5">
        <v>0</v>
      </c>
    </row>
    <row r="6" spans="1:14" x14ac:dyDescent="0.4">
      <c r="A6" t="s">
        <v>25</v>
      </c>
      <c r="B6" t="s">
        <v>39</v>
      </c>
      <c r="C6">
        <v>0</v>
      </c>
      <c r="D6">
        <v>0</v>
      </c>
      <c r="E6">
        <v>0</v>
      </c>
      <c r="F6">
        <v>0</v>
      </c>
      <c r="G6">
        <v>0</v>
      </c>
      <c r="H6">
        <v>0</v>
      </c>
      <c r="I6">
        <v>0</v>
      </c>
      <c r="J6">
        <v>0</v>
      </c>
      <c r="K6">
        <v>0</v>
      </c>
      <c r="L6">
        <v>0</v>
      </c>
      <c r="M6">
        <v>0</v>
      </c>
      <c r="N6">
        <v>0</v>
      </c>
    </row>
    <row r="7" spans="1:14" ht="409.6" x14ac:dyDescent="0.4">
      <c r="A7" t="s">
        <v>45</v>
      </c>
      <c r="B7" s="41" t="s">
        <v>46</v>
      </c>
    </row>
    <row r="8" spans="1:14" x14ac:dyDescent="0.4">
      <c r="A8" t="s">
        <v>24</v>
      </c>
    </row>
    <row r="9" spans="1:14" x14ac:dyDescent="0.4">
      <c r="A9" t="s">
        <v>25</v>
      </c>
      <c r="C9" t="s">
        <v>50</v>
      </c>
      <c r="D9" t="s">
        <v>51</v>
      </c>
      <c r="E9" t="s">
        <v>52</v>
      </c>
      <c r="F9" t="s">
        <v>53</v>
      </c>
      <c r="G9" t="s">
        <v>54</v>
      </c>
      <c r="H9" t="s">
        <v>55</v>
      </c>
      <c r="I9" t="s">
        <v>56</v>
      </c>
      <c r="J9" t="s">
        <v>57</v>
      </c>
      <c r="K9" t="s">
        <v>58</v>
      </c>
      <c r="L9" t="s">
        <v>59</v>
      </c>
      <c r="M9" t="s">
        <v>60</v>
      </c>
      <c r="N9" t="s">
        <v>61</v>
      </c>
    </row>
    <row r="10" spans="1:14" x14ac:dyDescent="0.4">
      <c r="A10" t="s">
        <v>25</v>
      </c>
      <c r="B10" t="s">
        <v>47</v>
      </c>
      <c r="C10">
        <v>0</v>
      </c>
      <c r="D10">
        <v>0</v>
      </c>
      <c r="E10">
        <v>0</v>
      </c>
      <c r="F10">
        <v>0</v>
      </c>
      <c r="G10">
        <v>0</v>
      </c>
      <c r="H10">
        <v>0</v>
      </c>
      <c r="I10">
        <v>0</v>
      </c>
      <c r="J10">
        <v>0</v>
      </c>
      <c r="K10">
        <v>0</v>
      </c>
      <c r="L10">
        <v>0</v>
      </c>
      <c r="M10">
        <v>0</v>
      </c>
      <c r="N10">
        <v>0</v>
      </c>
    </row>
    <row r="11" spans="1:14" x14ac:dyDescent="0.4">
      <c r="A11" t="s">
        <v>25</v>
      </c>
      <c r="B11" t="s">
        <v>48</v>
      </c>
      <c r="C11">
        <v>33152.5</v>
      </c>
      <c r="D11">
        <v>17674</v>
      </c>
      <c r="E11">
        <v>24458.5</v>
      </c>
      <c r="F11">
        <v>64236.5</v>
      </c>
      <c r="G11">
        <v>97627</v>
      </c>
      <c r="H11">
        <v>26897</v>
      </c>
      <c r="I11">
        <v>20398</v>
      </c>
      <c r="J11">
        <v>20019</v>
      </c>
      <c r="K11">
        <v>20378.5</v>
      </c>
      <c r="L11">
        <v>24693.5</v>
      </c>
      <c r="M11">
        <v>20976</v>
      </c>
      <c r="N11">
        <v>20252</v>
      </c>
    </row>
    <row r="12" spans="1:14" x14ac:dyDescent="0.4">
      <c r="A12" t="s">
        <v>25</v>
      </c>
      <c r="B12" t="s">
        <v>49</v>
      </c>
      <c r="C12">
        <v>0</v>
      </c>
      <c r="D12">
        <v>0</v>
      </c>
      <c r="E12">
        <v>0</v>
      </c>
      <c r="F12">
        <v>0</v>
      </c>
      <c r="G12">
        <v>0</v>
      </c>
      <c r="H12">
        <v>0</v>
      </c>
      <c r="I12">
        <v>0</v>
      </c>
      <c r="J12">
        <v>0</v>
      </c>
      <c r="K12">
        <v>0</v>
      </c>
      <c r="L12">
        <v>0</v>
      </c>
      <c r="M12">
        <v>0</v>
      </c>
      <c r="N12">
        <v>0</v>
      </c>
    </row>
  </sheetData>
  <dataConsolidate/>
  <pageMargins left="0.7" right="0.7" top="0.75" bottom="0.75" header="0.3" footer="0.3"/>
  <pageSetup paperSize="9" orientation="portrait" horizontalDpi="300" verticalDpi="0" r:id="rId1"/>
  <customProperties>
    <customPr name="FPMExcelClientCellBasedFunctionStatus" r:id="rId2"/>
    <customPr name="IbpWorksheetKeyString_GUID" r:id="rId3"/>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86" t="s">
        <v>44</v>
      </c>
      <c r="C1" s="86"/>
      <c r="D1" s="86"/>
      <c r="E1" s="86"/>
      <c r="F1" s="86"/>
      <c r="G1" s="86"/>
      <c r="H1" s="86"/>
      <c r="I1" s="86"/>
      <c r="J1" s="86"/>
      <c r="K1" s="86"/>
      <c r="L1" s="86"/>
    </row>
    <row r="2" spans="1:17" ht="15.75" customHeight="1" x14ac:dyDescent="0.35">
      <c r="A2" s="39"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87" t="s">
        <v>62</v>
      </c>
      <c r="C5" s="88"/>
      <c r="D5" s="88"/>
      <c r="E5" s="88"/>
      <c r="F5" s="88"/>
      <c r="G5" s="88"/>
      <c r="H5" s="88"/>
      <c r="I5" s="88"/>
      <c r="J5" s="88"/>
      <c r="K5" s="88"/>
      <c r="L5" s="89"/>
      <c r="Q5" s="23" t="s">
        <v>16</v>
      </c>
    </row>
    <row r="6" spans="1:17" ht="28.4" customHeight="1" thickBot="1" x14ac:dyDescent="0.4">
      <c r="A6" s="2"/>
      <c r="B6" s="90"/>
      <c r="C6" s="91"/>
      <c r="D6" s="91"/>
      <c r="E6" s="91"/>
      <c r="F6" s="91"/>
      <c r="G6" s="91"/>
      <c r="H6" s="91"/>
      <c r="I6" s="91"/>
      <c r="J6" s="91"/>
      <c r="K6" s="91"/>
      <c r="L6" s="92"/>
      <c r="Q6" s="24" t="s">
        <v>17</v>
      </c>
    </row>
    <row r="7" spans="1:17" ht="22" customHeight="1" x14ac:dyDescent="0.35">
      <c r="A7" s="2"/>
      <c r="B7" s="93" t="s">
        <v>8</v>
      </c>
      <c r="C7" s="19"/>
      <c r="D7" s="19"/>
      <c r="E7" s="19"/>
      <c r="F7" s="19"/>
      <c r="G7" s="19"/>
      <c r="H7" s="19"/>
      <c r="I7" s="19"/>
      <c r="J7" s="19"/>
      <c r="K7" s="19"/>
      <c r="L7" s="20"/>
      <c r="Q7" s="85" t="s">
        <v>18</v>
      </c>
    </row>
    <row r="8" spans="1:17" ht="18" customHeight="1" x14ac:dyDescent="0.35">
      <c r="A8" s="2"/>
      <c r="B8" s="69"/>
      <c r="C8" s="10"/>
      <c r="D8" s="10"/>
      <c r="E8" s="10"/>
      <c r="F8" s="10"/>
      <c r="G8" s="10"/>
      <c r="H8" s="10"/>
      <c r="I8" s="10"/>
      <c r="J8" s="10"/>
      <c r="K8" s="10"/>
      <c r="L8" s="11"/>
      <c r="Q8" s="85"/>
    </row>
    <row r="9" spans="1:17" ht="17.149999999999999" customHeight="1" x14ac:dyDescent="0.35">
      <c r="A9" s="2"/>
      <c r="B9" s="69"/>
      <c r="C9" s="5"/>
      <c r="D9" s="6"/>
      <c r="E9" s="71" t="s">
        <v>1</v>
      </c>
      <c r="F9" s="72"/>
      <c r="G9" s="73"/>
      <c r="H9" s="4" t="s">
        <v>2</v>
      </c>
      <c r="I9" s="71" t="s">
        <v>3</v>
      </c>
      <c r="J9" s="72"/>
      <c r="K9" s="73"/>
      <c r="L9" s="12" t="s">
        <v>2</v>
      </c>
      <c r="Q9" s="85"/>
    </row>
    <row r="10" spans="1:17" ht="5.15" customHeight="1" x14ac:dyDescent="0.35">
      <c r="A10" s="2"/>
      <c r="B10" s="69"/>
      <c r="C10" s="74"/>
      <c r="D10" s="10"/>
      <c r="E10" s="13"/>
      <c r="F10" s="13"/>
      <c r="G10" s="13"/>
      <c r="H10" s="8"/>
      <c r="I10" s="13"/>
      <c r="J10" s="13"/>
      <c r="K10" s="13"/>
      <c r="L10" s="11"/>
      <c r="Q10" s="85"/>
    </row>
    <row r="11" spans="1:17" ht="16" customHeight="1" x14ac:dyDescent="0.35">
      <c r="A11" s="2"/>
      <c r="B11" s="69"/>
      <c r="C11" s="75"/>
      <c r="D11" s="44" t="s">
        <v>5</v>
      </c>
      <c r="E11" s="13"/>
      <c r="F11" s="35">
        <v>10000</v>
      </c>
      <c r="G11" s="13"/>
      <c r="H11" s="47" t="s">
        <v>6</v>
      </c>
      <c r="I11" s="13"/>
      <c r="J11" s="38" t="s">
        <v>7</v>
      </c>
      <c r="K11" s="13"/>
      <c r="L11" s="16" t="s">
        <v>6</v>
      </c>
      <c r="Q11" s="85"/>
    </row>
    <row r="12" spans="1:17" ht="5.15" customHeight="1" thickBot="1" x14ac:dyDescent="0.4">
      <c r="A12" s="2"/>
      <c r="B12" s="70"/>
      <c r="C12" s="77"/>
      <c r="D12" s="17"/>
      <c r="E12" s="22"/>
      <c r="F12" s="22"/>
      <c r="G12" s="22"/>
      <c r="H12" s="21"/>
      <c r="I12" s="22"/>
      <c r="J12" s="22"/>
      <c r="K12" s="22"/>
      <c r="L12" s="18"/>
      <c r="Q12" s="85"/>
    </row>
    <row r="13" spans="1:17" ht="22" customHeight="1" x14ac:dyDescent="0.35">
      <c r="A13" s="2"/>
      <c r="B13" s="69" t="s">
        <v>4</v>
      </c>
      <c r="C13" s="10"/>
      <c r="D13" s="10"/>
      <c r="E13" s="10"/>
      <c r="F13" s="10"/>
      <c r="G13" s="10"/>
      <c r="H13" s="10"/>
      <c r="I13" s="10"/>
      <c r="J13" s="10"/>
      <c r="K13" s="10"/>
      <c r="L13" s="11"/>
      <c r="Q13" s="85"/>
    </row>
    <row r="14" spans="1:17" ht="18" customHeight="1" x14ac:dyDescent="0.35">
      <c r="A14" s="2"/>
      <c r="B14" s="69"/>
      <c r="C14" s="10"/>
      <c r="D14" s="10"/>
      <c r="E14" s="10"/>
      <c r="F14" s="10"/>
      <c r="G14" s="10"/>
      <c r="H14" s="10"/>
      <c r="I14" s="10"/>
      <c r="J14" s="10"/>
      <c r="K14" s="10"/>
      <c r="L14" s="11"/>
      <c r="Q14" s="85"/>
    </row>
    <row r="15" spans="1:17" ht="17.149999999999999" customHeight="1" x14ac:dyDescent="0.35">
      <c r="A15" s="2"/>
      <c r="B15" s="69"/>
      <c r="C15" s="5"/>
      <c r="D15" s="6"/>
      <c r="E15" s="71" t="s">
        <v>1</v>
      </c>
      <c r="F15" s="72"/>
      <c r="G15" s="73"/>
      <c r="H15" s="4" t="s">
        <v>2</v>
      </c>
      <c r="I15" s="71" t="s">
        <v>3</v>
      </c>
      <c r="J15" s="72"/>
      <c r="K15" s="73"/>
      <c r="L15" s="12" t="s">
        <v>2</v>
      </c>
      <c r="Q15" s="85"/>
    </row>
    <row r="16" spans="1:17" ht="5.15" customHeight="1" x14ac:dyDescent="0.35">
      <c r="A16" s="2"/>
      <c r="B16" s="69"/>
      <c r="C16" s="74"/>
      <c r="D16" s="10"/>
      <c r="E16" s="13"/>
      <c r="F16" s="13"/>
      <c r="G16" s="13"/>
      <c r="H16" s="8"/>
      <c r="I16" s="13"/>
      <c r="J16" s="13"/>
      <c r="K16" s="13"/>
      <c r="L16" s="11"/>
      <c r="Q16" s="85"/>
    </row>
    <row r="17" spans="1:17" ht="16" customHeight="1" x14ac:dyDescent="0.35">
      <c r="A17" s="2"/>
      <c r="B17" s="69"/>
      <c r="C17" s="75"/>
      <c r="D17" s="44" t="s">
        <v>5</v>
      </c>
      <c r="E17" s="13"/>
      <c r="F17" s="35">
        <v>10000</v>
      </c>
      <c r="G17" s="13"/>
      <c r="H17" s="47" t="s">
        <v>6</v>
      </c>
      <c r="I17" s="13"/>
      <c r="J17" s="29" t="s">
        <v>7</v>
      </c>
      <c r="K17" s="13"/>
      <c r="L17" s="16" t="s">
        <v>6</v>
      </c>
      <c r="Q17" s="85"/>
    </row>
    <row r="18" spans="1:17" ht="5.15" customHeight="1" thickBot="1" x14ac:dyDescent="0.4">
      <c r="A18" s="2"/>
      <c r="B18" s="94"/>
      <c r="C18" s="95"/>
      <c r="D18" s="51"/>
      <c r="E18" s="52"/>
      <c r="F18" s="52"/>
      <c r="G18" s="52"/>
      <c r="H18" s="53"/>
      <c r="I18" s="52"/>
      <c r="J18" s="52"/>
      <c r="K18" s="52"/>
      <c r="L18" s="54"/>
      <c r="Q18" s="85"/>
    </row>
    <row r="19" spans="1:17" ht="9" customHeight="1" x14ac:dyDescent="0.35">
      <c r="A19" s="2"/>
      <c r="B19" s="2"/>
      <c r="C19" s="2"/>
      <c r="D19" s="2"/>
      <c r="E19" s="2"/>
      <c r="F19" s="2"/>
      <c r="G19" s="2"/>
      <c r="H19" s="2"/>
      <c r="I19" s="2"/>
      <c r="J19" s="2"/>
      <c r="K19" s="2"/>
      <c r="L19" s="2"/>
      <c r="Q19" s="85"/>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78" t="s">
        <v>9</v>
      </c>
      <c r="C22" s="79"/>
      <c r="D22" s="79"/>
      <c r="E22" s="79"/>
      <c r="F22" s="79"/>
      <c r="G22" s="79"/>
      <c r="H22" s="79"/>
      <c r="I22" s="79"/>
      <c r="J22" s="79"/>
      <c r="K22" s="79"/>
      <c r="L22" s="80"/>
      <c r="Q22" s="85" t="s">
        <v>65</v>
      </c>
    </row>
    <row r="23" spans="1:17" ht="28.4" customHeight="1" thickBot="1" x14ac:dyDescent="0.4">
      <c r="A23" s="2"/>
      <c r="B23" s="81"/>
      <c r="C23" s="82"/>
      <c r="D23" s="82"/>
      <c r="E23" s="82"/>
      <c r="F23" s="82"/>
      <c r="G23" s="82"/>
      <c r="H23" s="82"/>
      <c r="I23" s="82"/>
      <c r="J23" s="82"/>
      <c r="K23" s="82"/>
      <c r="L23" s="83"/>
      <c r="Q23" s="85"/>
    </row>
    <row r="24" spans="1:17" ht="16" customHeight="1" x14ac:dyDescent="0.35">
      <c r="A24" s="2"/>
      <c r="B24" s="93" t="s">
        <v>8</v>
      </c>
      <c r="C24" s="19"/>
      <c r="D24" s="19"/>
      <c r="E24" s="19"/>
      <c r="F24" s="19"/>
      <c r="G24" s="19"/>
      <c r="H24" s="19"/>
      <c r="I24" s="19"/>
      <c r="J24" s="19"/>
      <c r="K24" s="19"/>
      <c r="L24" s="20"/>
      <c r="Q24" s="85"/>
    </row>
    <row r="25" spans="1:17" ht="18" customHeight="1" x14ac:dyDescent="0.35">
      <c r="A25" s="2"/>
      <c r="B25" s="69"/>
      <c r="C25" s="5"/>
      <c r="D25" s="6"/>
      <c r="E25" s="71" t="s">
        <v>1</v>
      </c>
      <c r="F25" s="72"/>
      <c r="G25" s="73"/>
      <c r="H25" s="4" t="s">
        <v>2</v>
      </c>
      <c r="I25" s="71" t="s">
        <v>3</v>
      </c>
      <c r="J25" s="72"/>
      <c r="K25" s="73"/>
      <c r="L25" s="12" t="s">
        <v>2</v>
      </c>
      <c r="Q25" s="85"/>
    </row>
    <row r="26" spans="1:17" ht="5.15" customHeight="1" x14ac:dyDescent="0.35">
      <c r="A26" s="2"/>
      <c r="B26" s="69"/>
      <c r="C26" s="75"/>
      <c r="D26" s="10"/>
      <c r="E26" s="13"/>
      <c r="F26" s="13"/>
      <c r="G26" s="13"/>
      <c r="H26" s="9"/>
      <c r="I26" s="13"/>
      <c r="J26" s="13"/>
      <c r="K26" s="13"/>
      <c r="L26" s="11"/>
      <c r="Q26" s="85"/>
    </row>
    <row r="27" spans="1:17" ht="16" customHeight="1" x14ac:dyDescent="0.35">
      <c r="A27" s="2"/>
      <c r="B27" s="69"/>
      <c r="C27" s="75"/>
      <c r="D27" s="44" t="s">
        <v>63</v>
      </c>
      <c r="E27" s="13"/>
      <c r="F27" s="14">
        <v>10000</v>
      </c>
      <c r="G27" s="13"/>
      <c r="H27" s="47" t="s">
        <v>6</v>
      </c>
      <c r="I27" s="13"/>
      <c r="J27" s="15" t="s">
        <v>7</v>
      </c>
      <c r="K27" s="13"/>
      <c r="L27" s="16" t="s">
        <v>6</v>
      </c>
      <c r="Q27" s="85"/>
    </row>
    <row r="28" spans="1:17" ht="5.15" customHeight="1" x14ac:dyDescent="0.35">
      <c r="A28" s="2"/>
      <c r="B28" s="69"/>
      <c r="C28" s="76"/>
      <c r="D28" s="45"/>
      <c r="E28" s="7"/>
      <c r="F28" s="7"/>
      <c r="G28" s="7"/>
      <c r="H28" s="6"/>
      <c r="I28" s="7"/>
      <c r="J28" s="7"/>
      <c r="K28" s="7"/>
      <c r="L28" s="46"/>
      <c r="Q28" s="85"/>
    </row>
    <row r="29" spans="1:17" ht="5.15" customHeight="1" x14ac:dyDescent="0.35">
      <c r="A29" s="2"/>
      <c r="B29" s="69"/>
      <c r="C29" s="75"/>
      <c r="D29" s="10"/>
      <c r="E29" s="13"/>
      <c r="F29" s="13"/>
      <c r="G29" s="13"/>
      <c r="H29" s="9"/>
      <c r="I29" s="13"/>
      <c r="J29" s="13"/>
      <c r="K29" s="13"/>
      <c r="L29" s="11"/>
      <c r="Q29" s="85"/>
    </row>
    <row r="30" spans="1:17" ht="16" customHeight="1" x14ac:dyDescent="0.4">
      <c r="A30" s="2"/>
      <c r="B30" s="69"/>
      <c r="C30" s="75"/>
      <c r="D30" s="44" t="s">
        <v>64</v>
      </c>
      <c r="E30" s="13"/>
      <c r="F30" s="14">
        <v>10000</v>
      </c>
      <c r="G30" s="13"/>
      <c r="H30" s="47" t="s">
        <v>6</v>
      </c>
      <c r="I30" s="13"/>
      <c r="J30" s="15" t="s">
        <v>7</v>
      </c>
      <c r="K30" s="13"/>
      <c r="L30" s="16" t="s">
        <v>6</v>
      </c>
      <c r="Q30" s="27"/>
    </row>
    <row r="31" spans="1:17" ht="5.15" customHeight="1" x14ac:dyDescent="0.35">
      <c r="A31" s="2"/>
      <c r="B31" s="69"/>
      <c r="C31" s="76"/>
      <c r="D31" s="45"/>
      <c r="E31" s="7"/>
      <c r="F31" s="7"/>
      <c r="G31" s="7"/>
      <c r="H31" s="6"/>
      <c r="I31" s="7"/>
      <c r="J31" s="7"/>
      <c r="K31" s="7"/>
      <c r="L31" s="46"/>
    </row>
    <row r="32" spans="1:17" ht="5.15" customHeight="1" x14ac:dyDescent="0.35">
      <c r="A32" s="2"/>
      <c r="B32" s="69"/>
      <c r="C32" s="75"/>
      <c r="D32" s="10"/>
      <c r="E32" s="13"/>
      <c r="F32" s="13"/>
      <c r="G32" s="13"/>
      <c r="H32" s="9"/>
      <c r="I32" s="13"/>
      <c r="J32" s="13"/>
      <c r="K32" s="13"/>
      <c r="L32" s="11"/>
    </row>
    <row r="33" spans="1:12" ht="16" customHeight="1" x14ac:dyDescent="0.35">
      <c r="A33" s="2"/>
      <c r="B33" s="69"/>
      <c r="C33" s="75"/>
      <c r="D33" s="44" t="s">
        <v>10</v>
      </c>
      <c r="E33" s="13"/>
      <c r="F33" s="14">
        <v>10000</v>
      </c>
      <c r="G33" s="13"/>
      <c r="H33" s="47" t="s">
        <v>6</v>
      </c>
      <c r="I33" s="13"/>
      <c r="J33" s="15" t="s">
        <v>7</v>
      </c>
      <c r="K33" s="13"/>
      <c r="L33" s="16" t="s">
        <v>6</v>
      </c>
    </row>
    <row r="34" spans="1:12" ht="5.15" customHeight="1" x14ac:dyDescent="0.35">
      <c r="A34" s="2"/>
      <c r="B34" s="69"/>
      <c r="C34" s="76"/>
      <c r="D34" s="45"/>
      <c r="E34" s="7"/>
      <c r="F34" s="7"/>
      <c r="G34" s="7"/>
      <c r="H34" s="6"/>
      <c r="I34" s="7"/>
      <c r="J34" s="7"/>
      <c r="K34" s="7"/>
      <c r="L34" s="46"/>
    </row>
    <row r="35" spans="1:12" ht="5.15" customHeight="1" x14ac:dyDescent="0.35">
      <c r="A35" s="2"/>
      <c r="B35" s="69"/>
      <c r="C35" s="75"/>
      <c r="D35" s="10"/>
      <c r="E35" s="13"/>
      <c r="F35" s="13"/>
      <c r="G35" s="13"/>
      <c r="H35" s="9"/>
      <c r="I35" s="13"/>
      <c r="J35" s="13"/>
      <c r="K35" s="13"/>
      <c r="L35" s="11"/>
    </row>
    <row r="36" spans="1:12" ht="16" customHeight="1" x14ac:dyDescent="0.35">
      <c r="A36" s="2"/>
      <c r="B36" s="69"/>
      <c r="C36" s="75"/>
      <c r="D36" s="44" t="s">
        <v>11</v>
      </c>
      <c r="E36" s="13"/>
      <c r="F36" s="14">
        <v>10000</v>
      </c>
      <c r="G36" s="13"/>
      <c r="H36" s="47" t="s">
        <v>6</v>
      </c>
      <c r="I36" s="13"/>
      <c r="J36" s="15" t="s">
        <v>7</v>
      </c>
      <c r="K36" s="13"/>
      <c r="L36" s="16" t="s">
        <v>6</v>
      </c>
    </row>
    <row r="37" spans="1:12" ht="5.15" customHeight="1" x14ac:dyDescent="0.35">
      <c r="A37" s="2"/>
      <c r="B37" s="69"/>
      <c r="C37" s="76"/>
      <c r="D37" s="45"/>
      <c r="E37" s="7"/>
      <c r="F37" s="7"/>
      <c r="G37" s="7"/>
      <c r="H37" s="6"/>
      <c r="I37" s="7"/>
      <c r="J37" s="7"/>
      <c r="K37" s="7"/>
      <c r="L37" s="46"/>
    </row>
    <row r="38" spans="1:12" ht="5.15" customHeight="1" x14ac:dyDescent="0.35">
      <c r="A38" s="2"/>
      <c r="B38" s="69"/>
      <c r="C38" s="75"/>
      <c r="D38" s="10"/>
      <c r="E38" s="13"/>
      <c r="F38" s="13"/>
      <c r="G38" s="13"/>
      <c r="H38" s="9"/>
      <c r="I38" s="13"/>
      <c r="J38" s="13"/>
      <c r="K38" s="13"/>
      <c r="L38" s="11"/>
    </row>
    <row r="39" spans="1:12" ht="16" customHeight="1" x14ac:dyDescent="0.35">
      <c r="A39" s="2"/>
      <c r="B39" s="69"/>
      <c r="C39" s="75"/>
      <c r="D39" s="44" t="s">
        <v>12</v>
      </c>
      <c r="E39" s="13"/>
      <c r="F39" s="13"/>
      <c r="G39" s="13"/>
      <c r="H39" s="9"/>
      <c r="I39" s="13"/>
      <c r="J39" s="13"/>
      <c r="K39" s="13"/>
      <c r="L39" s="11"/>
    </row>
    <row r="40" spans="1:12" ht="22" customHeight="1" x14ac:dyDescent="0.35">
      <c r="A40" s="2"/>
      <c r="B40" s="69"/>
      <c r="C40" s="43"/>
      <c r="D40" s="10"/>
      <c r="E40" s="10"/>
      <c r="F40" s="10"/>
      <c r="G40" s="10"/>
      <c r="H40" s="9"/>
      <c r="I40" s="10"/>
      <c r="J40" s="10"/>
      <c r="K40" s="10"/>
      <c r="L40" s="11"/>
    </row>
    <row r="41" spans="1:12" ht="5.15" customHeight="1" thickBot="1" x14ac:dyDescent="0.4">
      <c r="A41" s="2"/>
      <c r="B41" s="70"/>
      <c r="C41" s="48"/>
      <c r="D41" s="17"/>
      <c r="E41" s="17"/>
      <c r="F41" s="17"/>
      <c r="G41" s="17"/>
      <c r="H41" s="21"/>
      <c r="I41" s="17"/>
      <c r="J41" s="17"/>
      <c r="K41" s="17"/>
      <c r="L41" s="18"/>
    </row>
    <row r="42" spans="1:12" ht="18" customHeight="1" x14ac:dyDescent="0.35">
      <c r="A42" s="2"/>
      <c r="B42" s="68" t="s">
        <v>4</v>
      </c>
      <c r="C42" s="10"/>
      <c r="D42" s="10"/>
      <c r="E42" s="10"/>
      <c r="F42" s="10"/>
      <c r="G42" s="10"/>
      <c r="H42" s="10"/>
      <c r="I42" s="10"/>
      <c r="J42" s="10"/>
      <c r="K42" s="10"/>
      <c r="L42" s="11"/>
    </row>
    <row r="43" spans="1:12" ht="17.149999999999999" customHeight="1" x14ac:dyDescent="0.35">
      <c r="A43" s="2"/>
      <c r="B43" s="69"/>
      <c r="C43" s="5"/>
      <c r="D43" s="6"/>
      <c r="E43" s="71" t="s">
        <v>1</v>
      </c>
      <c r="F43" s="72"/>
      <c r="G43" s="73"/>
      <c r="H43" s="4" t="s">
        <v>2</v>
      </c>
      <c r="I43" s="71" t="s">
        <v>3</v>
      </c>
      <c r="J43" s="72"/>
      <c r="K43" s="73"/>
      <c r="L43" s="12" t="s">
        <v>2</v>
      </c>
    </row>
    <row r="44" spans="1:12" ht="5.15" customHeight="1" x14ac:dyDescent="0.35">
      <c r="A44" s="2"/>
      <c r="B44" s="69"/>
      <c r="C44" s="75"/>
      <c r="D44" s="10"/>
      <c r="E44" s="13"/>
      <c r="F44" s="13"/>
      <c r="G44" s="13"/>
      <c r="H44" s="9"/>
      <c r="I44" s="13"/>
      <c r="J44" s="13"/>
      <c r="K44" s="13"/>
      <c r="L44" s="11"/>
    </row>
    <row r="45" spans="1:12" ht="16" customHeight="1" x14ac:dyDescent="0.35">
      <c r="A45" s="2"/>
      <c r="B45" s="69"/>
      <c r="C45" s="75"/>
      <c r="D45" s="44" t="s">
        <v>63</v>
      </c>
      <c r="E45" s="13"/>
      <c r="F45" s="14">
        <v>10000</v>
      </c>
      <c r="G45" s="13"/>
      <c r="H45" s="47" t="s">
        <v>6</v>
      </c>
      <c r="I45" s="13"/>
      <c r="J45" s="15" t="s">
        <v>7</v>
      </c>
      <c r="K45" s="13"/>
      <c r="L45" s="16" t="s">
        <v>6</v>
      </c>
    </row>
    <row r="46" spans="1:12" ht="5.15" customHeight="1" x14ac:dyDescent="0.35">
      <c r="A46" s="2"/>
      <c r="B46" s="69"/>
      <c r="C46" s="76"/>
      <c r="D46" s="45"/>
      <c r="E46" s="7"/>
      <c r="F46" s="7"/>
      <c r="G46" s="7"/>
      <c r="H46" s="6"/>
      <c r="I46" s="7"/>
      <c r="J46" s="7"/>
      <c r="K46" s="7"/>
      <c r="L46" s="46"/>
    </row>
    <row r="47" spans="1:12" ht="5.15" customHeight="1" x14ac:dyDescent="0.35">
      <c r="A47" s="2"/>
      <c r="B47" s="69"/>
      <c r="C47" s="75"/>
      <c r="D47" s="10"/>
      <c r="E47" s="13"/>
      <c r="F47" s="13"/>
      <c r="G47" s="13"/>
      <c r="H47" s="9"/>
      <c r="I47" s="13"/>
      <c r="J47" s="13"/>
      <c r="K47" s="13"/>
      <c r="L47" s="11"/>
    </row>
    <row r="48" spans="1:12" ht="16" customHeight="1" x14ac:dyDescent="0.35">
      <c r="A48" s="2"/>
      <c r="B48" s="69"/>
      <c r="C48" s="75"/>
      <c r="D48" s="44" t="s">
        <v>64</v>
      </c>
      <c r="E48" s="13"/>
      <c r="F48" s="34">
        <v>10000</v>
      </c>
      <c r="G48" s="13"/>
      <c r="H48" s="47" t="s">
        <v>22</v>
      </c>
      <c r="I48" s="13"/>
      <c r="J48" s="28" t="s">
        <v>7</v>
      </c>
      <c r="K48" s="13"/>
      <c r="L48" s="16" t="s">
        <v>20</v>
      </c>
    </row>
    <row r="49" spans="1:12" ht="5.15" customHeight="1" x14ac:dyDescent="0.35">
      <c r="A49" s="2"/>
      <c r="B49" s="69"/>
      <c r="C49" s="76"/>
      <c r="D49" s="45"/>
      <c r="E49" s="7"/>
      <c r="F49" s="7"/>
      <c r="G49" s="7"/>
      <c r="H49" s="6"/>
      <c r="I49" s="7"/>
      <c r="J49" s="7"/>
      <c r="K49" s="7"/>
      <c r="L49" s="46"/>
    </row>
    <row r="50" spans="1:12" ht="5.15" customHeight="1" x14ac:dyDescent="0.35">
      <c r="A50" s="2"/>
      <c r="B50" s="69"/>
      <c r="C50" s="75"/>
      <c r="D50" s="10"/>
      <c r="E50" s="13"/>
      <c r="F50" s="13"/>
      <c r="G50" s="13"/>
      <c r="H50" s="9"/>
      <c r="I50" s="13"/>
      <c r="J50" s="13"/>
      <c r="K50" s="13"/>
      <c r="L50" s="11"/>
    </row>
    <row r="51" spans="1:12" ht="16" customHeight="1" x14ac:dyDescent="0.35">
      <c r="A51" s="2"/>
      <c r="B51" s="69"/>
      <c r="C51" s="75"/>
      <c r="D51" s="44" t="s">
        <v>10</v>
      </c>
      <c r="E51" s="13"/>
      <c r="F51" s="14">
        <v>10000</v>
      </c>
      <c r="G51" s="13"/>
      <c r="H51" s="47" t="s">
        <v>6</v>
      </c>
      <c r="I51" s="13"/>
      <c r="J51" s="15" t="s">
        <v>7</v>
      </c>
      <c r="K51" s="13"/>
      <c r="L51" s="16" t="s">
        <v>6</v>
      </c>
    </row>
    <row r="52" spans="1:12" ht="5.15" customHeight="1" x14ac:dyDescent="0.35">
      <c r="A52" s="2"/>
      <c r="B52" s="69"/>
      <c r="C52" s="76"/>
      <c r="D52" s="45"/>
      <c r="E52" s="7"/>
      <c r="F52" s="7"/>
      <c r="G52" s="7"/>
      <c r="H52" s="6"/>
      <c r="I52" s="7"/>
      <c r="J52" s="7"/>
      <c r="K52" s="7"/>
      <c r="L52" s="46"/>
    </row>
    <row r="53" spans="1:12" ht="5.15" customHeight="1" x14ac:dyDescent="0.35">
      <c r="A53" s="2"/>
      <c r="B53" s="69"/>
      <c r="C53" s="75"/>
      <c r="D53" s="10"/>
      <c r="E53" s="13"/>
      <c r="F53" s="13"/>
      <c r="G53" s="13"/>
      <c r="H53" s="9"/>
      <c r="I53" s="13"/>
      <c r="J53" s="13"/>
      <c r="K53" s="13"/>
      <c r="L53" s="11"/>
    </row>
    <row r="54" spans="1:12" ht="16" customHeight="1" x14ac:dyDescent="0.35">
      <c r="A54" s="2"/>
      <c r="B54" s="69"/>
      <c r="C54" s="75"/>
      <c r="D54" s="44" t="s">
        <v>11</v>
      </c>
      <c r="E54" s="13"/>
      <c r="F54" s="30">
        <v>10000</v>
      </c>
      <c r="G54" s="13"/>
      <c r="H54" s="47" t="s">
        <v>21</v>
      </c>
      <c r="I54" s="13"/>
      <c r="J54" s="15" t="s">
        <v>7</v>
      </c>
      <c r="K54" s="13"/>
      <c r="L54" s="16" t="s">
        <v>20</v>
      </c>
    </row>
    <row r="55" spans="1:12" ht="5.15" customHeight="1" x14ac:dyDescent="0.35">
      <c r="A55" s="2"/>
      <c r="B55" s="69"/>
      <c r="C55" s="76"/>
      <c r="D55" s="45"/>
      <c r="E55" s="7"/>
      <c r="F55" s="7"/>
      <c r="G55" s="7"/>
      <c r="H55" s="6"/>
      <c r="I55" s="7"/>
      <c r="J55" s="7"/>
      <c r="K55" s="7"/>
      <c r="L55" s="46"/>
    </row>
    <row r="56" spans="1:12" ht="5.15" customHeight="1" x14ac:dyDescent="0.35">
      <c r="A56" s="2"/>
      <c r="B56" s="69"/>
      <c r="C56" s="75"/>
      <c r="D56" s="10"/>
      <c r="E56" s="13"/>
      <c r="F56" s="13"/>
      <c r="G56" s="13"/>
      <c r="H56" s="9"/>
      <c r="I56" s="13"/>
      <c r="J56" s="13"/>
      <c r="K56" s="13"/>
      <c r="L56" s="11"/>
    </row>
    <row r="57" spans="1:12" ht="16" customHeight="1" x14ac:dyDescent="0.35">
      <c r="A57" s="2"/>
      <c r="B57" s="69"/>
      <c r="C57" s="75"/>
      <c r="D57" s="44" t="s">
        <v>12</v>
      </c>
      <c r="E57" s="13"/>
      <c r="F57" s="13"/>
      <c r="G57" s="13"/>
      <c r="H57" s="9"/>
      <c r="I57" s="13"/>
      <c r="J57" s="13"/>
      <c r="K57" s="13"/>
      <c r="L57" s="11"/>
    </row>
    <row r="58" spans="1:12" ht="4.95" customHeight="1" x14ac:dyDescent="0.35">
      <c r="A58" s="2"/>
      <c r="B58" s="69"/>
      <c r="C58" s="49"/>
      <c r="D58" s="44"/>
      <c r="E58" s="13"/>
      <c r="F58" s="13"/>
      <c r="G58" s="13"/>
      <c r="H58" s="9"/>
      <c r="I58" s="13"/>
      <c r="J58" s="13"/>
      <c r="K58" s="13"/>
      <c r="L58" s="11"/>
    </row>
    <row r="59" spans="1:12" x14ac:dyDescent="0.35">
      <c r="A59" s="2"/>
      <c r="B59" s="69"/>
      <c r="C59" s="49"/>
      <c r="D59" s="37" t="s">
        <v>66</v>
      </c>
      <c r="E59" s="13"/>
      <c r="F59" s="55">
        <v>10000</v>
      </c>
      <c r="G59" s="13"/>
      <c r="H59" s="47" t="s">
        <v>67</v>
      </c>
      <c r="I59" s="13"/>
      <c r="J59" s="56" t="s">
        <v>7</v>
      </c>
      <c r="K59" s="13"/>
      <c r="L59" s="16" t="s">
        <v>67</v>
      </c>
    </row>
    <row r="60" spans="1:12" ht="4.95" customHeight="1" x14ac:dyDescent="0.35">
      <c r="A60" s="2"/>
      <c r="B60" s="69"/>
      <c r="C60" s="49"/>
      <c r="D60" s="36"/>
      <c r="E60" s="7"/>
      <c r="F60" s="7"/>
      <c r="G60" s="7"/>
      <c r="H60" s="6"/>
      <c r="I60" s="7"/>
      <c r="J60" s="7"/>
      <c r="K60" s="7"/>
      <c r="L60" s="50"/>
    </row>
    <row r="61" spans="1:12" ht="22" customHeight="1" x14ac:dyDescent="0.35">
      <c r="A61" s="2"/>
      <c r="B61" s="69"/>
      <c r="C61" s="43"/>
      <c r="D61" s="10"/>
      <c r="E61" s="10"/>
      <c r="F61" s="10"/>
      <c r="G61" s="10"/>
      <c r="H61" s="9"/>
      <c r="I61" s="10"/>
      <c r="J61" s="10"/>
      <c r="K61" s="10"/>
      <c r="L61" s="11"/>
    </row>
    <row r="62" spans="1:12" ht="5.15" customHeight="1" thickBot="1" x14ac:dyDescent="0.4">
      <c r="A62" s="2"/>
      <c r="B62" s="70"/>
      <c r="C62" s="48"/>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78" t="s">
        <v>13</v>
      </c>
      <c r="C65" s="79"/>
      <c r="D65" s="79"/>
      <c r="E65" s="79"/>
      <c r="F65" s="79"/>
      <c r="G65" s="79"/>
      <c r="H65" s="79"/>
      <c r="I65" s="79"/>
      <c r="J65" s="79"/>
      <c r="K65" s="79"/>
      <c r="L65" s="80"/>
    </row>
    <row r="66" spans="1:12" ht="28.4" customHeight="1" x14ac:dyDescent="0.35">
      <c r="A66" s="2"/>
      <c r="B66" s="81"/>
      <c r="C66" s="82"/>
      <c r="D66" s="82"/>
      <c r="E66" s="82"/>
      <c r="F66" s="82"/>
      <c r="G66" s="82"/>
      <c r="H66" s="82"/>
      <c r="I66" s="82"/>
      <c r="J66" s="82"/>
      <c r="K66" s="82"/>
      <c r="L66" s="83"/>
    </row>
    <row r="67" spans="1:12" ht="21.75" customHeight="1" x14ac:dyDescent="0.35">
      <c r="A67" s="2"/>
      <c r="B67" s="68" t="s">
        <v>4</v>
      </c>
      <c r="C67" s="10"/>
      <c r="D67" s="10"/>
      <c r="E67" s="10"/>
      <c r="F67" s="10"/>
      <c r="G67" s="10"/>
      <c r="H67" s="10"/>
      <c r="I67" s="10"/>
      <c r="J67" s="10"/>
      <c r="K67" s="10"/>
      <c r="L67" s="11"/>
    </row>
    <row r="68" spans="1:12" ht="18" customHeight="1" x14ac:dyDescent="0.35">
      <c r="A68" s="2"/>
      <c r="B68" s="69"/>
      <c r="C68" s="5"/>
      <c r="D68" s="6"/>
      <c r="E68" s="71" t="s">
        <v>1</v>
      </c>
      <c r="F68" s="72"/>
      <c r="G68" s="73"/>
      <c r="H68" s="4" t="s">
        <v>2</v>
      </c>
      <c r="I68" s="71" t="s">
        <v>3</v>
      </c>
      <c r="J68" s="72"/>
      <c r="K68" s="73"/>
      <c r="L68" s="12" t="s">
        <v>2</v>
      </c>
    </row>
    <row r="69" spans="1:12" ht="5.15" customHeight="1" x14ac:dyDescent="0.35">
      <c r="A69" s="2"/>
      <c r="B69" s="69"/>
      <c r="C69" s="74"/>
      <c r="D69" s="10"/>
      <c r="E69" s="13"/>
      <c r="F69" s="13"/>
      <c r="G69" s="13"/>
      <c r="H69" s="8"/>
      <c r="I69" s="13"/>
      <c r="J69" s="13"/>
      <c r="K69" s="13"/>
      <c r="L69" s="11"/>
    </row>
    <row r="70" spans="1:12" ht="15.75" customHeight="1" x14ac:dyDescent="0.35">
      <c r="A70" s="2"/>
      <c r="B70" s="69"/>
      <c r="C70" s="75"/>
      <c r="D70" s="44" t="s">
        <v>14</v>
      </c>
      <c r="E70" s="13"/>
      <c r="F70" s="14">
        <v>10000</v>
      </c>
      <c r="G70" s="13"/>
      <c r="H70" s="47" t="s">
        <v>6</v>
      </c>
      <c r="I70" s="13"/>
      <c r="J70" s="15" t="s">
        <v>7</v>
      </c>
      <c r="K70" s="13"/>
      <c r="L70" s="16" t="s">
        <v>6</v>
      </c>
    </row>
    <row r="71" spans="1:12" ht="5.15" customHeight="1" x14ac:dyDescent="0.35">
      <c r="A71" s="2"/>
      <c r="B71" s="69"/>
      <c r="C71" s="76"/>
      <c r="D71" s="45"/>
      <c r="E71" s="7"/>
      <c r="F71" s="7"/>
      <c r="G71" s="7"/>
      <c r="H71" s="6"/>
      <c r="I71" s="7"/>
      <c r="J71" s="7"/>
      <c r="K71" s="7"/>
      <c r="L71" s="46"/>
    </row>
    <row r="72" spans="1:12" ht="5.15" customHeight="1" x14ac:dyDescent="0.35">
      <c r="A72" s="2"/>
      <c r="B72" s="69"/>
      <c r="C72" s="75"/>
      <c r="D72" s="10"/>
      <c r="E72" s="13"/>
      <c r="F72" s="13"/>
      <c r="G72" s="13"/>
      <c r="H72" s="9"/>
      <c r="I72" s="13"/>
      <c r="J72" s="13"/>
      <c r="K72" s="13"/>
      <c r="L72" s="11"/>
    </row>
    <row r="73" spans="1:12" ht="15.75" customHeight="1" x14ac:dyDescent="0.35">
      <c r="A73" s="2"/>
      <c r="B73" s="69"/>
      <c r="C73" s="75"/>
      <c r="D73" s="44" t="s">
        <v>15</v>
      </c>
      <c r="E73" s="13"/>
      <c r="F73" s="14">
        <v>10000</v>
      </c>
      <c r="G73" s="13"/>
      <c r="H73" s="47" t="s">
        <v>6</v>
      </c>
      <c r="I73" s="13"/>
      <c r="J73" s="15" t="s">
        <v>7</v>
      </c>
      <c r="K73" s="13"/>
      <c r="L73" s="16" t="s">
        <v>6</v>
      </c>
    </row>
    <row r="74" spans="1:12" ht="5.15" customHeight="1" x14ac:dyDescent="0.35">
      <c r="A74" s="2"/>
      <c r="B74" s="84"/>
      <c r="C74" s="76"/>
      <c r="D74" s="45"/>
      <c r="E74" s="7"/>
      <c r="F74" s="7"/>
      <c r="G74" s="7"/>
      <c r="H74" s="6"/>
      <c r="I74" s="7"/>
      <c r="J74" s="7"/>
      <c r="K74" s="7"/>
      <c r="L74" s="46"/>
    </row>
    <row r="75" spans="1:12" ht="21.75" customHeight="1" x14ac:dyDescent="0.35">
      <c r="A75" s="2"/>
      <c r="B75" s="68" t="s">
        <v>8</v>
      </c>
      <c r="C75" s="10"/>
      <c r="D75" s="10"/>
      <c r="E75" s="10"/>
      <c r="F75" s="10"/>
      <c r="G75" s="10"/>
      <c r="H75" s="10"/>
      <c r="I75" s="10"/>
      <c r="J75" s="10"/>
      <c r="K75" s="10"/>
      <c r="L75" s="11"/>
    </row>
    <row r="76" spans="1:12" ht="18" customHeight="1" x14ac:dyDescent="0.35">
      <c r="A76" s="2"/>
      <c r="B76" s="69"/>
      <c r="C76" s="5"/>
      <c r="D76" s="6"/>
      <c r="E76" s="71" t="s">
        <v>1</v>
      </c>
      <c r="F76" s="72"/>
      <c r="G76" s="73"/>
      <c r="H76" s="4" t="s">
        <v>2</v>
      </c>
      <c r="I76" s="71" t="s">
        <v>3</v>
      </c>
      <c r="J76" s="72"/>
      <c r="K76" s="73"/>
      <c r="L76" s="12" t="s">
        <v>2</v>
      </c>
    </row>
    <row r="77" spans="1:12" ht="5.15" customHeight="1" x14ac:dyDescent="0.35">
      <c r="A77" s="2"/>
      <c r="B77" s="69"/>
      <c r="C77" s="74"/>
      <c r="D77" s="10"/>
      <c r="E77" s="13"/>
      <c r="F77" s="13"/>
      <c r="G77" s="13"/>
      <c r="H77" s="8"/>
      <c r="I77" s="13"/>
      <c r="J77" s="13"/>
      <c r="K77" s="13"/>
      <c r="L77" s="11"/>
    </row>
    <row r="78" spans="1:12" ht="15.75" customHeight="1" x14ac:dyDescent="0.35">
      <c r="A78" s="2"/>
      <c r="B78" s="69"/>
      <c r="C78" s="75"/>
      <c r="D78" s="44" t="s">
        <v>14</v>
      </c>
      <c r="E78" s="13"/>
      <c r="F78" s="14">
        <v>10000</v>
      </c>
      <c r="G78" s="13"/>
      <c r="H78" s="47" t="s">
        <v>6</v>
      </c>
      <c r="I78" s="13"/>
      <c r="J78" s="15" t="s">
        <v>7</v>
      </c>
      <c r="K78" s="13"/>
      <c r="L78" s="16" t="s">
        <v>6</v>
      </c>
    </row>
    <row r="79" spans="1:12" ht="5.15" customHeight="1" x14ac:dyDescent="0.35">
      <c r="A79" s="2"/>
      <c r="B79" s="69"/>
      <c r="C79" s="76"/>
      <c r="D79" s="45"/>
      <c r="E79" s="7"/>
      <c r="F79" s="7"/>
      <c r="G79" s="7"/>
      <c r="H79" s="6"/>
      <c r="I79" s="7"/>
      <c r="J79" s="7"/>
      <c r="K79" s="7"/>
      <c r="L79" s="46"/>
    </row>
    <row r="80" spans="1:12" ht="5.15" customHeight="1" x14ac:dyDescent="0.35">
      <c r="A80" s="2"/>
      <c r="B80" s="69"/>
      <c r="C80" s="75"/>
      <c r="D80" s="10"/>
      <c r="E80" s="13"/>
      <c r="F80" s="13"/>
      <c r="G80" s="13"/>
      <c r="H80" s="9"/>
      <c r="I80" s="13"/>
      <c r="J80" s="13"/>
      <c r="K80" s="13"/>
      <c r="L80" s="11"/>
    </row>
    <row r="81" spans="1:12" ht="15.75" customHeight="1" x14ac:dyDescent="0.35">
      <c r="A81" s="2"/>
      <c r="B81" s="69"/>
      <c r="C81" s="75"/>
      <c r="D81" s="44" t="s">
        <v>15</v>
      </c>
      <c r="E81" s="13"/>
      <c r="F81" s="14">
        <v>10000</v>
      </c>
      <c r="G81" s="13"/>
      <c r="H81" s="47" t="s">
        <v>6</v>
      </c>
      <c r="I81" s="13"/>
      <c r="J81" s="15" t="s">
        <v>7</v>
      </c>
      <c r="K81" s="13"/>
      <c r="L81" s="16" t="s">
        <v>6</v>
      </c>
    </row>
    <row r="82" spans="1:12" ht="5.15" customHeight="1" thickBot="1" x14ac:dyDescent="0.4">
      <c r="A82" s="2"/>
      <c r="B82" s="70"/>
      <c r="C82" s="77"/>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 ref="E25:G25"/>
    <mergeCell ref="I25:K25"/>
    <mergeCell ref="C26:C28"/>
    <mergeCell ref="C29:C31"/>
    <mergeCell ref="C32:C34"/>
    <mergeCell ref="C35:C37"/>
    <mergeCell ref="C38:C39"/>
    <mergeCell ref="B42:B62"/>
    <mergeCell ref="E43:G43"/>
    <mergeCell ref="I43:K43"/>
    <mergeCell ref="C44:C46"/>
    <mergeCell ref="C47:C49"/>
    <mergeCell ref="C50:C52"/>
    <mergeCell ref="C53:C55"/>
    <mergeCell ref="C56:C57"/>
    <mergeCell ref="B65:L65"/>
    <mergeCell ref="B66:L66"/>
    <mergeCell ref="B67:B74"/>
    <mergeCell ref="E68:G68"/>
    <mergeCell ref="I68:K68"/>
    <mergeCell ref="C69:C71"/>
    <mergeCell ref="C72:C74"/>
    <mergeCell ref="B75:B82"/>
    <mergeCell ref="E76:G76"/>
    <mergeCell ref="I76:K76"/>
    <mergeCell ref="C77:C79"/>
    <mergeCell ref="C80:C82"/>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097" r:id="rId5" name="cbApplyLevelFormatting">
          <controlPr defaultSize="0" autoFill="0" autoLine="0" r:id="rId6">
            <anchor moveWithCells="1">
              <from>
                <xdr:col>7</xdr:col>
                <xdr:colOff>1485900</xdr:colOff>
                <xdr:row>4</xdr:row>
                <xdr:rowOff>65314</xdr:rowOff>
              </from>
              <to>
                <xdr:col>7</xdr:col>
                <xdr:colOff>1611086</xdr:colOff>
                <xdr:row>4</xdr:row>
                <xdr:rowOff>353786</xdr:rowOff>
              </to>
            </anchor>
          </controlPr>
        </control>
      </mc:Choice>
      <mc:Fallback>
        <control shapeId="4097" r:id="rId5" name="cbApplyLevelFormatting"/>
      </mc:Fallback>
    </mc:AlternateContent>
    <mc:AlternateContent xmlns:mc="http://schemas.openxmlformats.org/markup-compatibility/2006">
      <mc:Choice Requires="x14">
        <control shapeId="4123" r:id="rId7" name="cbApplyMemberFormatting">
          <controlPr defaultSize="0" autoFill="0" autoLine="0" r:id="rId8">
            <anchor moveWithCells="1">
              <from>
                <xdr:col>9</xdr:col>
                <xdr:colOff>478971</xdr:colOff>
                <xdr:row>21</xdr:row>
                <xdr:rowOff>65314</xdr:rowOff>
              </from>
              <to>
                <xdr:col>9</xdr:col>
                <xdr:colOff>604157</xdr:colOff>
                <xdr:row>21</xdr:row>
                <xdr:rowOff>353786</xdr:rowOff>
              </to>
            </anchor>
          </controlPr>
        </control>
      </mc:Choice>
      <mc:Fallback>
        <control shapeId="4123" r:id="rId7" name="cbApplyMemberFormatting"/>
      </mc:Fallback>
    </mc:AlternateContent>
    <mc:AlternateContent xmlns:mc="http://schemas.openxmlformats.org/markup-compatibility/2006">
      <mc:Choice Requires="x14">
        <control shapeId="4141" r:id="rId9" name="cbApplyOddEvenFormatting">
          <controlPr defaultSize="0" autoFill="0" autoLine="0" r:id="rId10">
            <anchor moveWithCells="1">
              <from>
                <xdr:col>7</xdr:col>
                <xdr:colOff>1676400</xdr:colOff>
                <xdr:row>64</xdr:row>
                <xdr:rowOff>65314</xdr:rowOff>
              </from>
              <to>
                <xdr:col>7</xdr:col>
                <xdr:colOff>1801586</xdr:colOff>
                <xdr:row>64</xdr:row>
                <xdr:rowOff>353786</xdr:rowOff>
              </to>
            </anchor>
          </controlPr>
        </control>
      </mc:Choice>
      <mc:Fallback>
        <control shapeId="4141" r:id="rId9" name="cbApplyOddEvenFormatting"/>
      </mc:Fallback>
    </mc:AlternateContent>
    <mc:AlternateContent xmlns:mc="http://schemas.openxmlformats.org/markup-compatibility/2006">
      <mc:Choice Requires="x14">
        <control shapeId="4149" r:id="rId11" name="cbApplyPageHeaderFormatting">
          <controlPr defaultSize="0" autoFill="0" autoLine="0" r:id="rId12">
            <anchor moveWithCells="1">
              <from>
                <xdr:col>7</xdr:col>
                <xdr:colOff>1524000</xdr:colOff>
                <xdr:row>83</xdr:row>
                <xdr:rowOff>0</xdr:rowOff>
              </from>
              <to>
                <xdr:col>7</xdr:col>
                <xdr:colOff>1649186</xdr:colOff>
                <xdr:row>84</xdr:row>
                <xdr:rowOff>108857</xdr:rowOff>
              </to>
            </anchor>
          </controlPr>
        </control>
      </mc:Choice>
      <mc:Fallback>
        <control shapeId="4149" r:id="rId11" name="cbApplyPageHeader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8"/>
  <sheetViews>
    <sheetView showGridLines="0" tabSelected="1" zoomScaleNormal="100" workbookViewId="0">
      <pane xSplit="10" ySplit="6" topLeftCell="K7" activePane="bottomRight" state="frozen"/>
      <selection activeCell="Y9" sqref="Y9"/>
      <selection pane="topRight" activeCell="Y9" sqref="Y9"/>
      <selection pane="bottomLeft" activeCell="Y9" sqref="Y9"/>
      <selection pane="bottomRight" activeCell="K7" sqref="K7"/>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2" customFormat="1" ht="28.3" x14ac:dyDescent="0.4">
      <c r="A1" s="97" t="s">
        <v>68</v>
      </c>
      <c r="B1" s="98"/>
      <c r="C1" s="98"/>
      <c r="D1" s="98"/>
      <c r="E1" s="98"/>
      <c r="F1" s="98"/>
      <c r="G1" s="98"/>
      <c r="H1" s="98"/>
      <c r="I1" s="98"/>
      <c r="J1" s="98"/>
      <c r="K1" s="99" t="str">
        <f>" "&amp;IFERROR(IF(SOP_Favorite_Name&lt;&gt;" ",SOP_Favorite_Name,IF(SOP_Template_Name&lt;&gt;" ",SOP_Template_Name,"Ad Hoc Planning View")),"Offline")</f>
        <v xml:space="preserve"> Save Data</v>
      </c>
      <c r="L1" s="99"/>
      <c r="M1" s="99"/>
      <c r="N1" s="99"/>
      <c r="O1" s="99"/>
      <c r="P1" s="99"/>
      <c r="Q1" s="100" t="str">
        <f>"User: "&amp;_xll.EPMUser()&amp;"   |    Planning Area: "&amp;IFERROR(SOP_Planning_Area,"Offline")&amp;"
"&amp;"Template: "&amp;IFERROR(SOP_Template_Name,"none")</f>
        <v>User: #Error, no current connection.   |    Planning Area: SAP6
Template: template name</v>
      </c>
      <c r="R1" s="100"/>
      <c r="S1" s="100"/>
      <c r="T1" s="100"/>
      <c r="U1" s="100"/>
      <c r="V1" s="100"/>
      <c r="W1" s="59"/>
      <c r="X1" s="60"/>
      <c r="Y1" s="60"/>
      <c r="Z1" s="60"/>
      <c r="AA1" s="60"/>
      <c r="AB1" s="60"/>
      <c r="AC1" s="60"/>
      <c r="AD1" s="60"/>
      <c r="AE1" s="61"/>
      <c r="AF1" s="61"/>
      <c r="AG1" s="61"/>
      <c r="AH1" s="61"/>
      <c r="AI1" s="61"/>
      <c r="AJ1" s="61"/>
      <c r="AK1" s="61"/>
      <c r="AL1" s="62"/>
      <c r="AM1" s="62"/>
      <c r="AN1" s="62"/>
      <c r="AO1" s="62"/>
      <c r="AP1" s="62"/>
      <c r="AQ1" s="62"/>
      <c r="AR1" s="62"/>
      <c r="AS1" s="62"/>
      <c r="AT1" s="62"/>
      <c r="AU1" s="62"/>
      <c r="AV1" s="62"/>
      <c r="AW1" s="62"/>
      <c r="AX1" s="62"/>
      <c r="AY1" s="62"/>
      <c r="AZ1" s="62"/>
      <c r="BA1" s="62"/>
      <c r="BB1" s="62"/>
      <c r="BC1" s="62"/>
      <c r="BD1" s="62"/>
      <c r="BE1" s="62"/>
      <c r="BF1" s="62"/>
      <c r="BG1" s="62"/>
      <c r="BH1" s="62"/>
      <c r="BI1" s="62"/>
      <c r="BJ1" s="62"/>
      <c r="BK1" s="62"/>
      <c r="BL1" s="62"/>
      <c r="BM1" s="62"/>
      <c r="BN1" s="62"/>
      <c r="BO1" s="62"/>
      <c r="BP1" s="62"/>
      <c r="BQ1" s="62"/>
      <c r="BR1" s="63"/>
      <c r="BS1" s="63"/>
      <c r="BT1" s="63"/>
      <c r="BU1" s="63"/>
      <c r="BV1" s="63"/>
      <c r="BW1" s="63"/>
      <c r="BX1" s="63"/>
      <c r="BY1" s="63"/>
      <c r="BZ1" s="63"/>
      <c r="CA1" s="63"/>
      <c r="CB1" s="63"/>
      <c r="CC1" s="63"/>
      <c r="CD1" s="63"/>
    </row>
    <row r="2" spans="1:82" s="32" customFormat="1" ht="60" customHeight="1" x14ac:dyDescent="0.4">
      <c r="A2" s="101"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HT_001
Location ID = HD_DC_CA_E
</v>
      </c>
      <c r="B2" s="101"/>
      <c r="C2" s="101"/>
      <c r="D2" s="101"/>
      <c r="E2" s="101"/>
      <c r="F2" s="101"/>
      <c r="G2" s="101"/>
      <c r="H2" s="101"/>
      <c r="I2" s="101"/>
      <c r="J2" s="101"/>
      <c r="K2" s="102" t="str">
        <f>"  Last Refresh: "&amp;IFERROR(YEAR(SOP_Refresh_Timestamp)&amp;"-"&amp;TEXT(SOP_Refresh_Timestamp,"MMM")&amp;"-"&amp;DAY(SOP_Refresh_Timestamp)&amp;"   "&amp;TEXT(SOP_Refresh_Timestamp,"HH:MM:SS"),"Offline")</f>
        <v xml:space="preserve">  Last Refresh: 2022-Feb-23   19:03:38</v>
      </c>
      <c r="L2" s="102"/>
      <c r="M2" s="102"/>
      <c r="N2" s="102"/>
      <c r="O2" s="102"/>
      <c r="P2" s="102"/>
      <c r="Q2" s="102"/>
      <c r="R2" s="102"/>
      <c r="S2" s="102"/>
      <c r="T2" s="102"/>
      <c r="U2" s="102"/>
      <c r="V2" s="102"/>
      <c r="W2" s="59"/>
      <c r="X2" s="60"/>
      <c r="Y2" s="60"/>
      <c r="Z2" s="60"/>
      <c r="AA2" s="60"/>
      <c r="AB2" s="60"/>
      <c r="AC2" s="60"/>
      <c r="AD2" s="60"/>
      <c r="AE2" s="61"/>
      <c r="AF2" s="61"/>
      <c r="AG2" s="61"/>
      <c r="AH2" s="61"/>
      <c r="AI2" s="61"/>
      <c r="AJ2" s="61"/>
      <c r="AK2" s="61"/>
      <c r="AL2" s="62"/>
      <c r="AM2" s="62"/>
      <c r="AN2" s="62"/>
      <c r="AO2" s="62"/>
      <c r="AP2" s="62"/>
      <c r="AQ2" s="62"/>
      <c r="AR2" s="62"/>
      <c r="AS2" s="62"/>
      <c r="AT2" s="62"/>
      <c r="AU2" s="62"/>
      <c r="AV2" s="62"/>
      <c r="AW2" s="62"/>
      <c r="AX2" s="62"/>
      <c r="AY2" s="62"/>
      <c r="AZ2" s="62"/>
      <c r="BA2" s="62"/>
      <c r="BB2" s="62"/>
      <c r="BC2" s="62"/>
      <c r="BD2" s="62"/>
      <c r="BE2" s="62"/>
      <c r="BF2" s="62"/>
      <c r="BG2" s="62"/>
      <c r="BH2" s="62"/>
      <c r="BI2" s="62"/>
      <c r="BJ2" s="62"/>
      <c r="BK2" s="62"/>
      <c r="BL2" s="62"/>
      <c r="BM2" s="62"/>
      <c r="BN2" s="62"/>
      <c r="BO2" s="62"/>
      <c r="BP2" s="62"/>
      <c r="BQ2" s="62"/>
      <c r="BR2" s="63"/>
      <c r="BS2" s="63"/>
      <c r="BT2" s="63"/>
      <c r="BU2" s="63"/>
      <c r="BV2" s="63"/>
      <c r="BW2" s="63"/>
      <c r="BX2" s="63"/>
      <c r="BY2" s="63"/>
      <c r="BZ2" s="63"/>
      <c r="CA2" s="63"/>
      <c r="CB2" s="63"/>
      <c r="CC2" s="63"/>
      <c r="CD2" s="63"/>
    </row>
    <row r="3" spans="1:82" s="31" customFormat="1" ht="60" customHeight="1" x14ac:dyDescent="0.4">
      <c r="A3" s="96"/>
      <c r="B3" s="96"/>
      <c r="C3" s="96"/>
      <c r="D3" s="96"/>
      <c r="E3" s="96"/>
      <c r="F3" s="96"/>
      <c r="G3" s="96"/>
      <c r="H3" s="96"/>
      <c r="I3" s="96"/>
      <c r="J3" s="96"/>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row>
    <row r="4" spans="1:82" s="31" customFormat="1" hidden="1" x14ac:dyDescent="0.4">
      <c r="A4" s="67"/>
      <c r="B4" s="67"/>
      <c r="C4" s="67"/>
      <c r="D4" s="67"/>
      <c r="E4" s="67"/>
      <c r="F4" s="67"/>
      <c r="G4" s="67"/>
      <c r="H4" s="67"/>
      <c r="I4" s="67"/>
      <c r="J4" s="67"/>
      <c r="K4" s="64"/>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row>
    <row r="5" spans="1:82" s="31" customFormat="1" hidden="1" x14ac:dyDescent="0.4">
      <c r="A5" s="67"/>
      <c r="B5" s="67"/>
      <c r="C5" s="67"/>
      <c r="D5" s="67"/>
      <c r="E5" s="67"/>
      <c r="F5" s="67"/>
      <c r="G5" s="67"/>
      <c r="H5" s="67"/>
      <c r="I5" s="67"/>
      <c r="J5" s="67"/>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c r="BE5" s="65"/>
      <c r="BF5" s="65"/>
      <c r="BG5" s="65"/>
      <c r="BH5" s="65"/>
      <c r="BI5" s="65"/>
      <c r="BJ5" s="65"/>
      <c r="BK5" s="65"/>
      <c r="BL5" s="65"/>
      <c r="BM5" s="65"/>
      <c r="BN5" s="65"/>
      <c r="BO5" s="65"/>
      <c r="BP5" s="65"/>
      <c r="BQ5" s="65"/>
      <c r="BR5" s="65"/>
      <c r="BS5" s="65"/>
      <c r="BT5" s="65"/>
      <c r="BU5" s="65"/>
      <c r="BV5" s="65"/>
      <c r="BW5" s="65"/>
      <c r="BX5" s="65"/>
      <c r="BY5" s="65"/>
      <c r="BZ5" s="65"/>
      <c r="CA5" s="65"/>
      <c r="CB5" s="65"/>
      <c r="CC5" s="65"/>
      <c r="CD5" s="65"/>
    </row>
    <row r="6" spans="1:82" s="33" customFormat="1" x14ac:dyDescent="0.4">
      <c r="A6" s="66" t="str">
        <f>SOP_Heading10</f>
        <v xml:space="preserve"> </v>
      </c>
      <c r="B6" s="66" t="str">
        <f>SOP_Heading9</f>
        <v xml:space="preserve"> </v>
      </c>
      <c r="C6" s="66" t="str">
        <f>SOP_Heading8</f>
        <v xml:space="preserve"> </v>
      </c>
      <c r="D6" s="66" t="str">
        <f>SOP_Heading7</f>
        <v xml:space="preserve"> </v>
      </c>
      <c r="E6" s="66" t="str">
        <f>SOP_Heading6</f>
        <v xml:space="preserve"> </v>
      </c>
      <c r="F6" s="66" t="str">
        <f>SOP_Heading5</f>
        <v xml:space="preserve"> </v>
      </c>
      <c r="G6" s="66" t="str">
        <f>SOP_Heading4</f>
        <v xml:space="preserve"> </v>
      </c>
      <c r="H6" s="66" t="str">
        <f>SOP_Heading3</f>
        <v>Product ID</v>
      </c>
      <c r="I6" s="66" t="str">
        <f>SOP_Heading2</f>
        <v>Location ID</v>
      </c>
      <c r="J6" s="66" t="str">
        <f>SOP_Heading1</f>
        <v>Key Figure</v>
      </c>
      <c r="K6" s="38" t="str">
        <f xml:space="preserve"> _xll.EPMOlapMemberO("[PERIODID3].[].[70613]","","JAN 2021","","000")</f>
        <v>JAN 2021</v>
      </c>
      <c r="L6" s="38" t="str">
        <f xml:space="preserve"> _xll.EPMOlapMemberO("[PERIODID3].[].[70614]","","FEB 2021","","000")</f>
        <v>FEB 2021</v>
      </c>
      <c r="M6" s="38" t="str">
        <f xml:space="preserve"> _xll.EPMOlapMemberO("[PERIODID3].[].[70615]","","MAR 2021","","000")</f>
        <v>MAR 2021</v>
      </c>
      <c r="N6" s="38" t="str">
        <f xml:space="preserve"> _xll.EPMOlapMemberO("[PERIODID3].[].[70616]","","APR 2021","","000")</f>
        <v>APR 2021</v>
      </c>
      <c r="O6" s="38" t="str">
        <f xml:space="preserve"> _xll.EPMOlapMemberO("[PERIODID3].[].[70617]","","MAY 2021","","000")</f>
        <v>MAY 2021</v>
      </c>
      <c r="P6" s="38" t="str">
        <f xml:space="preserve"> _xll.EPMOlapMemberO("[PERIODID3].[].[70618]","","JUN 2021","","000")</f>
        <v>JUN 2021</v>
      </c>
      <c r="Q6" s="38" t="str">
        <f xml:space="preserve"> _xll.EPMOlapMemberO("[PERIODID3].[].[70619]","","JUL 2021","","000")</f>
        <v>JUL 2021</v>
      </c>
      <c r="R6" s="38" t="str">
        <f xml:space="preserve"> _xll.EPMOlapMemberO("[PERIODID3].[].[70620]","","AUG 2021","","000")</f>
        <v>AUG 2021</v>
      </c>
      <c r="S6" s="38" t="str">
        <f xml:space="preserve"> _xll.EPMOlapMemberO("[PERIODID3].[].[70621]","","SEP 2021","","000")</f>
        <v>SEP 2021</v>
      </c>
      <c r="T6" s="38" t="str">
        <f xml:space="preserve"> _xll.EPMOlapMemberO("[PERIODID3].[].[70622]","","OCT 2021","","000")</f>
        <v>OCT 2021</v>
      </c>
      <c r="U6" s="38" t="str">
        <f xml:space="preserve"> _xll.EPMOlapMemberO("[PERIODID3].[].[70623]","","NOV 2021","","000")</f>
        <v>NOV 2021</v>
      </c>
      <c r="V6" s="38" t="str">
        <f xml:space="preserve"> _xll.EPMOlapMemberO("[PERIODID3].[].[70624]","","DEC 2021","","000")</f>
        <v>DEC 2021</v>
      </c>
      <c r="W6"/>
      <c r="X6"/>
      <c r="Y6"/>
      <c r="Z6"/>
      <c r="AA6"/>
      <c r="AB6"/>
      <c r="AC6"/>
      <c r="AD6"/>
      <c r="AE6"/>
      <c r="AF6"/>
      <c r="AG6"/>
      <c r="AH6"/>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5"/>
      <c r="CA6" s="65"/>
      <c r="CB6" s="65"/>
      <c r="CC6" s="65"/>
      <c r="CD6" s="65"/>
    </row>
    <row r="7" spans="1:82" x14ac:dyDescent="0.4">
      <c r="A7" s="65"/>
      <c r="B7" s="65"/>
      <c r="C7" s="65"/>
      <c r="D7" s="65"/>
      <c r="E7" s="65"/>
      <c r="F7" s="65"/>
      <c r="H7" s="29" t="str">
        <f xml:space="preserve"> _xll.EPMOlapMemberO("[PRDID].[].[HT_001]","","HT_001","","000")</f>
        <v>HT_001</v>
      </c>
      <c r="I7" s="29" t="str">
        <f xml:space="preserve"> _xll.EPMOlapMemberO("[LOCID].[].[HD_DC_CA_E]","","HD_DC_CA_E","","000")</f>
        <v>HD_DC_CA_E</v>
      </c>
      <c r="J7" s="29" t="str">
        <f xml:space="preserve"> _xll.EPMOlapMemberO("[KEY_FIGURES].[].[CONSENSUSDEMAND]","","Consensus Demand without Promotion","","000")</f>
        <v>Consensus Demand without Promotion</v>
      </c>
      <c r="K7" s="40">
        <v>100</v>
      </c>
      <c r="L7" s="58">
        <v>1651.5</v>
      </c>
      <c r="M7" s="40">
        <v>9000</v>
      </c>
      <c r="N7" s="40">
        <v>1000</v>
      </c>
      <c r="O7" s="57">
        <v>6944</v>
      </c>
      <c r="P7" s="57">
        <v>100</v>
      </c>
      <c r="Q7" s="57">
        <v>125</v>
      </c>
      <c r="R7" s="57">
        <v>100</v>
      </c>
      <c r="S7" s="58">
        <v>100</v>
      </c>
      <c r="T7" s="58">
        <v>100</v>
      </c>
      <c r="U7" s="58">
        <v>300</v>
      </c>
      <c r="V7" s="40">
        <v>5000</v>
      </c>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row>
    <row r="8" spans="1:82" x14ac:dyDescent="0.4">
      <c r="A8" s="65"/>
      <c r="B8" s="65"/>
      <c r="C8" s="65"/>
      <c r="D8" s="65"/>
      <c r="E8" s="65"/>
      <c r="F8" s="65"/>
      <c r="H8" s="29"/>
      <c r="I8" s="29"/>
      <c r="J8" s="29" t="str">
        <f xml:space="preserve"> _xll.EPMOlapMemberO("[KEY_FIGURES].[].[DEMANDPLANNINGQTY]","","Demand Planning Qty","","000")</f>
        <v>Demand Planning Qty</v>
      </c>
      <c r="K8" s="35">
        <v>0</v>
      </c>
      <c r="L8" s="35">
        <v>0</v>
      </c>
      <c r="M8" s="35">
        <v>343</v>
      </c>
      <c r="N8" s="35">
        <v>0</v>
      </c>
      <c r="O8" s="35">
        <v>0</v>
      </c>
      <c r="P8" s="35"/>
      <c r="Q8" s="35"/>
      <c r="R8" s="35"/>
      <c r="S8" s="35">
        <v>0</v>
      </c>
      <c r="T8" s="35">
        <v>0</v>
      </c>
      <c r="U8" s="35">
        <v>0</v>
      </c>
      <c r="V8" s="35">
        <v>13.5</v>
      </c>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row>
    <row r="9" spans="1:82" x14ac:dyDescent="0.4">
      <c r="A9" s="65"/>
      <c r="B9" s="65"/>
      <c r="C9" s="65"/>
      <c r="D9" s="65"/>
      <c r="E9" s="65"/>
      <c r="F9" s="65"/>
      <c r="H9" s="29"/>
      <c r="I9" s="29"/>
      <c r="J9" s="29" t="str">
        <f xml:space="preserve"> _xll.EPMOlapMemberO("[KEY_FIGURES].[].[FINALCONSENSUSDEMAND]","","Consensus Demand","","000")</f>
        <v>Consensus Demand</v>
      </c>
      <c r="K9" s="35">
        <v>100</v>
      </c>
      <c r="L9" s="35">
        <v>17316.5</v>
      </c>
      <c r="M9" s="35">
        <v>9000</v>
      </c>
      <c r="N9" s="35">
        <v>1000</v>
      </c>
      <c r="O9" s="35">
        <v>6944</v>
      </c>
      <c r="P9" s="35">
        <v>100</v>
      </c>
      <c r="Q9" s="35">
        <v>125</v>
      </c>
      <c r="R9" s="35">
        <v>100</v>
      </c>
      <c r="S9" s="35">
        <v>100</v>
      </c>
      <c r="T9" s="35">
        <v>100</v>
      </c>
      <c r="U9" s="35">
        <v>300</v>
      </c>
      <c r="V9" s="35">
        <v>5000</v>
      </c>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row>
    <row r="10" spans="1:82" x14ac:dyDescent="0.4">
      <c r="A10" s="65"/>
      <c r="B10" s="65"/>
      <c r="C10" s="65"/>
      <c r="D10" s="65"/>
      <c r="E10" s="65"/>
      <c r="F10" s="65"/>
      <c r="H10" s="29"/>
      <c r="I10" s="29"/>
      <c r="J10" s="29" t="str">
        <f xml:space="preserve"> _xll.EPMOlapMemberO("[KEY_FIGURES].[].[ADJDELIVQTY]","","Delivered Qty Adjusted","","000")</f>
        <v>Delivered Qty Adjusted</v>
      </c>
      <c r="K10" s="40">
        <v>2325</v>
      </c>
      <c r="L10" s="40">
        <v>2100</v>
      </c>
      <c r="M10" s="40">
        <v>2325</v>
      </c>
      <c r="N10" s="40">
        <v>1710</v>
      </c>
      <c r="O10" s="40">
        <v>1479</v>
      </c>
      <c r="P10" s="40">
        <v>1437</v>
      </c>
      <c r="Q10" s="40">
        <v>43242</v>
      </c>
      <c r="R10" s="40">
        <v>45</v>
      </c>
      <c r="S10" s="40">
        <v>0</v>
      </c>
      <c r="T10" s="40">
        <v>0</v>
      </c>
      <c r="U10" s="40">
        <v>100000</v>
      </c>
      <c r="V10" s="40">
        <v>0</v>
      </c>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row>
    <row r="11" spans="1:82" x14ac:dyDescent="0.4">
      <c r="A11" s="65"/>
      <c r="B11" s="65"/>
      <c r="C11" s="65"/>
      <c r="D11" s="65"/>
      <c r="E11" s="65"/>
      <c r="F11" s="65"/>
      <c r="H11" s="29"/>
      <c r="I11" s="29"/>
      <c r="J11" s="29" t="str">
        <f xml:space="preserve"> _xll.EPMOlapMemberO("[KEY_FIGURES].[].[ACTUALSREV]","","Actuals Revenue","","000")</f>
        <v>Actuals Revenue</v>
      </c>
      <c r="K11" s="40"/>
      <c r="L11" s="40"/>
      <c r="M11" s="40"/>
      <c r="N11" s="40"/>
      <c r="O11" s="40"/>
      <c r="P11" s="40"/>
      <c r="Q11" s="40"/>
      <c r="R11" s="40"/>
      <c r="S11" s="40"/>
      <c r="T11" s="40"/>
      <c r="U11" s="40"/>
      <c r="V11" s="40"/>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row>
    <row r="12" spans="1:82" x14ac:dyDescent="0.4">
      <c r="A12" s="65"/>
      <c r="B12" s="65"/>
      <c r="C12" s="65"/>
      <c r="D12" s="65"/>
      <c r="E12" s="65"/>
      <c r="F12" s="65"/>
      <c r="H12" s="29"/>
      <c r="I12" s="29"/>
      <c r="J12" s="29" t="str">
        <f xml:space="preserve"> _xll.EPMOlapMemberO("[KEY_FIGURES].[].[CONFQTY]","","Confirmed Qty","","000")</f>
        <v>Confirmed Qty</v>
      </c>
      <c r="K12" s="35"/>
      <c r="L12" s="35"/>
      <c r="M12" s="35"/>
      <c r="N12" s="35"/>
      <c r="O12" s="35"/>
      <c r="P12" s="35"/>
      <c r="Q12" s="35"/>
      <c r="R12" s="35"/>
      <c r="S12" s="35"/>
      <c r="T12" s="35"/>
      <c r="U12" s="35"/>
      <c r="V12" s="3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row>
    <row r="13" spans="1:82" x14ac:dyDescent="0.4">
      <c r="A13" s="65"/>
      <c r="B13" s="65"/>
      <c r="C13" s="65"/>
      <c r="D13" s="65"/>
      <c r="E13" s="65"/>
      <c r="F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row>
    <row r="14" spans="1:82" x14ac:dyDescent="0.4">
      <c r="A14" s="65"/>
      <c r="B14" s="65"/>
      <c r="C14" s="65"/>
      <c r="D14" s="65"/>
      <c r="E14" s="65"/>
      <c r="F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row>
    <row r="15" spans="1:82" x14ac:dyDescent="0.4">
      <c r="A15" s="65"/>
      <c r="B15" s="65"/>
      <c r="C15" s="65"/>
      <c r="D15" s="65"/>
      <c r="E15" s="65"/>
      <c r="F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row>
    <row r="16" spans="1:82" x14ac:dyDescent="0.4">
      <c r="A16" s="65"/>
      <c r="B16" s="65"/>
      <c r="C16" s="65"/>
      <c r="D16" s="65"/>
      <c r="E16" s="65"/>
      <c r="F16" s="65"/>
      <c r="AI16" s="65"/>
      <c r="AJ16" s="65"/>
      <c r="AK16" s="65"/>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row>
    <row r="17" spans="1:82" x14ac:dyDescent="0.4">
      <c r="A17" s="65"/>
      <c r="B17" s="65"/>
      <c r="C17" s="65"/>
      <c r="D17" s="65"/>
      <c r="E17" s="65"/>
      <c r="F17" s="65"/>
      <c r="AI17" s="65"/>
      <c r="AJ17" s="65"/>
      <c r="AK17" s="65"/>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row>
    <row r="18" spans="1:82" x14ac:dyDescent="0.4">
      <c r="A18" s="65"/>
      <c r="B18" s="65"/>
      <c r="C18" s="65"/>
      <c r="D18" s="65"/>
      <c r="E18" s="65"/>
      <c r="F18" s="65"/>
      <c r="AI18" s="65"/>
      <c r="AJ18" s="65"/>
      <c r="AK18" s="65"/>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row>
    <row r="19" spans="1:82" x14ac:dyDescent="0.4">
      <c r="A19" s="65"/>
      <c r="B19" s="65"/>
      <c r="C19" s="65"/>
      <c r="D19" s="65"/>
      <c r="E19" s="65"/>
      <c r="F19" s="65"/>
      <c r="AI19" s="65"/>
      <c r="AJ19" s="65"/>
      <c r="AK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row>
    <row r="20" spans="1:82" x14ac:dyDescent="0.4">
      <c r="A20" s="65"/>
      <c r="B20" s="65"/>
      <c r="C20" s="65"/>
      <c r="D20" s="65"/>
      <c r="E20" s="65"/>
      <c r="F20" s="65"/>
      <c r="AI20" s="65"/>
      <c r="AJ20" s="65"/>
      <c r="AK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row>
    <row r="21" spans="1:82" x14ac:dyDescent="0.4">
      <c r="A21" s="65"/>
      <c r="B21" s="65"/>
      <c r="C21" s="65"/>
      <c r="D21" s="65"/>
      <c r="E21" s="65"/>
      <c r="F21" s="65"/>
      <c r="AI21" s="65"/>
      <c r="AJ21" s="65"/>
      <c r="AK21" s="65"/>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row>
    <row r="22" spans="1:82" x14ac:dyDescent="0.4">
      <c r="A22" s="65"/>
      <c r="B22" s="65"/>
      <c r="C22" s="65"/>
      <c r="D22" s="65"/>
      <c r="E22" s="65"/>
      <c r="F22" s="65"/>
      <c r="AI22" s="65"/>
      <c r="AJ22" s="65"/>
      <c r="AK22" s="65"/>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row>
    <row r="23" spans="1:82" x14ac:dyDescent="0.4">
      <c r="A23" s="65"/>
      <c r="B23" s="65"/>
      <c r="C23" s="65"/>
      <c r="D23" s="65"/>
      <c r="E23" s="65"/>
      <c r="F23" s="65"/>
      <c r="AI23" s="65"/>
      <c r="AJ23" s="65"/>
      <c r="AK23" s="65"/>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row>
    <row r="24" spans="1:82" x14ac:dyDescent="0.4">
      <c r="A24" s="65"/>
      <c r="B24" s="65"/>
      <c r="C24" s="65"/>
      <c r="D24" s="65"/>
      <c r="E24" s="65"/>
      <c r="F24" s="65"/>
      <c r="AI24" s="65"/>
      <c r="AJ24" s="65"/>
      <c r="AK24" s="65"/>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row>
    <row r="25" spans="1:82" x14ac:dyDescent="0.4">
      <c r="A25" s="65"/>
      <c r="B25" s="65"/>
      <c r="C25" s="65"/>
      <c r="D25" s="65"/>
      <c r="E25" s="65"/>
      <c r="F25" s="65"/>
      <c r="AI25" s="65"/>
      <c r="AJ25" s="65"/>
      <c r="AK25" s="65"/>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row>
    <row r="26" spans="1:82" x14ac:dyDescent="0.4">
      <c r="A26" s="65"/>
      <c r="B26" s="65"/>
      <c r="C26" s="65"/>
      <c r="D26" s="65"/>
      <c r="E26" s="65"/>
      <c r="F26" s="65"/>
      <c r="AI26" s="65"/>
      <c r="AJ26" s="65"/>
      <c r="AK26" s="65"/>
      <c r="AL26" s="65"/>
      <c r="AM26" s="65"/>
      <c r="AN26" s="65"/>
      <c r="AO26" s="65"/>
      <c r="AP26" s="65"/>
      <c r="AQ26" s="65"/>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row>
    <row r="27" spans="1:82" x14ac:dyDescent="0.4">
      <c r="A27" s="65"/>
      <c r="B27" s="65"/>
      <c r="C27" s="65"/>
      <c r="D27" s="65"/>
      <c r="E27" s="65"/>
      <c r="F27" s="65"/>
      <c r="AI27" s="65"/>
      <c r="AJ27" s="65"/>
      <c r="AK27" s="65"/>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row>
    <row r="28" spans="1:82" x14ac:dyDescent="0.4">
      <c r="A28" s="65"/>
      <c r="B28" s="65"/>
      <c r="C28" s="65"/>
      <c r="D28" s="65"/>
      <c r="E28" s="65"/>
      <c r="F28" s="65"/>
      <c r="AI28" s="65"/>
      <c r="AJ28" s="65"/>
      <c r="AK28" s="65"/>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row>
    <row r="29" spans="1:82" x14ac:dyDescent="0.4">
      <c r="A29" s="65"/>
      <c r="B29" s="65"/>
      <c r="C29" s="65"/>
      <c r="D29" s="65"/>
      <c r="E29" s="65"/>
      <c r="F29" s="65"/>
      <c r="AI29" s="65"/>
      <c r="AJ29" s="65"/>
      <c r="AK29" s="65"/>
      <c r="AL29" s="65"/>
      <c r="AM29" s="65"/>
      <c r="AN29" s="65"/>
      <c r="AO29" s="65"/>
      <c r="AP29" s="65"/>
      <c r="AQ29" s="65"/>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row>
    <row r="30" spans="1:82" x14ac:dyDescent="0.4">
      <c r="A30" s="65"/>
      <c r="B30" s="65"/>
      <c r="C30" s="65"/>
      <c r="D30" s="65"/>
      <c r="E30" s="65"/>
      <c r="F30" s="65"/>
      <c r="AI30" s="65"/>
      <c r="AJ30" s="65"/>
      <c r="AK30" s="65"/>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row>
    <row r="31" spans="1:82" x14ac:dyDescent="0.4">
      <c r="A31" s="65"/>
      <c r="B31" s="65"/>
      <c r="C31" s="65"/>
      <c r="D31" s="65"/>
      <c r="E31" s="65"/>
      <c r="F31" s="65"/>
      <c r="AI31" s="65"/>
      <c r="AJ31" s="65"/>
      <c r="AK31" s="65"/>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row>
    <row r="32" spans="1:82" x14ac:dyDescent="0.4">
      <c r="A32" s="65"/>
      <c r="B32" s="65"/>
      <c r="C32" s="65"/>
      <c r="D32" s="65"/>
      <c r="E32" s="65"/>
      <c r="F32" s="65"/>
      <c r="AI32" s="65"/>
      <c r="AJ32" s="65"/>
      <c r="AK32" s="65"/>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row>
    <row r="33" spans="1:82" x14ac:dyDescent="0.4">
      <c r="A33" s="65"/>
      <c r="B33" s="65"/>
      <c r="C33" s="65"/>
      <c r="D33" s="65"/>
      <c r="E33" s="65"/>
      <c r="F33" s="65"/>
      <c r="AI33" s="65"/>
      <c r="AJ33" s="65"/>
      <c r="AK33" s="65"/>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c r="BT33" s="65"/>
      <c r="BU33" s="65"/>
      <c r="BV33" s="65"/>
      <c r="BW33" s="65"/>
      <c r="BX33" s="65"/>
      <c r="BY33" s="65"/>
      <c r="BZ33" s="65"/>
      <c r="CA33" s="65"/>
      <c r="CB33" s="65"/>
      <c r="CC33" s="65"/>
      <c r="CD33" s="65"/>
    </row>
    <row r="34" spans="1:82" x14ac:dyDescent="0.4">
      <c r="A34" s="65"/>
      <c r="B34" s="65"/>
      <c r="C34" s="65"/>
      <c r="D34" s="65"/>
      <c r="E34" s="65"/>
      <c r="F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row>
    <row r="35" spans="1:82" x14ac:dyDescent="0.4">
      <c r="A35" s="65"/>
      <c r="B35" s="65"/>
      <c r="C35" s="65"/>
      <c r="D35" s="65"/>
      <c r="E35" s="65"/>
      <c r="F35" s="65"/>
      <c r="AI35" s="65"/>
      <c r="AJ35" s="65"/>
      <c r="AK35" s="65"/>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c r="BT35" s="65"/>
      <c r="BU35" s="65"/>
      <c r="BV35" s="65"/>
      <c r="BW35" s="65"/>
      <c r="BX35" s="65"/>
      <c r="BY35" s="65"/>
      <c r="BZ35" s="65"/>
      <c r="CA35" s="65"/>
      <c r="CB35" s="65"/>
      <c r="CC35" s="65"/>
      <c r="CD35" s="65"/>
    </row>
    <row r="36" spans="1:82" x14ac:dyDescent="0.4">
      <c r="A36" s="65"/>
      <c r="B36" s="65"/>
      <c r="C36" s="65"/>
      <c r="D36" s="65"/>
      <c r="E36" s="65"/>
      <c r="F36" s="65"/>
      <c r="AI36" s="65"/>
      <c r="AJ36" s="65"/>
      <c r="AK36" s="65"/>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c r="BT36" s="65"/>
      <c r="BU36" s="65"/>
      <c r="BV36" s="65"/>
      <c r="BW36" s="65"/>
      <c r="BX36" s="65"/>
      <c r="BY36" s="65"/>
      <c r="BZ36" s="65"/>
      <c r="CA36" s="65"/>
      <c r="CB36" s="65"/>
      <c r="CC36" s="65"/>
      <c r="CD36" s="65"/>
    </row>
    <row r="37" spans="1:82" x14ac:dyDescent="0.4">
      <c r="A37" s="65"/>
      <c r="B37" s="65"/>
      <c r="C37" s="65"/>
      <c r="D37" s="65"/>
      <c r="E37" s="65"/>
      <c r="F37" s="65"/>
      <c r="AI37" s="65"/>
      <c r="AJ37" s="65"/>
      <c r="AK37" s="65"/>
      <c r="AL37" s="65"/>
      <c r="AM37" s="65"/>
      <c r="AN37" s="65"/>
      <c r="AO37" s="65"/>
      <c r="AP37" s="65"/>
      <c r="AQ37" s="65"/>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5"/>
      <c r="CA37" s="65"/>
      <c r="CB37" s="65"/>
      <c r="CC37" s="65"/>
      <c r="CD37" s="65"/>
    </row>
    <row r="38" spans="1:82" x14ac:dyDescent="0.4">
      <c r="A38" s="65"/>
      <c r="B38" s="65"/>
      <c r="C38" s="65"/>
      <c r="D38" s="65"/>
      <c r="E38" s="65"/>
      <c r="F38" s="65"/>
      <c r="AI38" s="65"/>
      <c r="AJ38" s="65"/>
      <c r="AK38" s="65"/>
      <c r="AL38" s="65"/>
      <c r="AM38" s="65"/>
      <c r="AN38" s="65"/>
      <c r="AO38" s="65"/>
      <c r="AP38" s="65"/>
      <c r="AQ38" s="65"/>
      <c r="AR38" s="65"/>
      <c r="AS38" s="65"/>
      <c r="AT38" s="65"/>
      <c r="AU38" s="65"/>
      <c r="AV38" s="65"/>
      <c r="AW38" s="65"/>
      <c r="AX38" s="65"/>
      <c r="AY38" s="65"/>
      <c r="AZ38" s="65"/>
      <c r="BA38" s="65"/>
      <c r="BB38" s="65"/>
      <c r="BC38" s="65"/>
      <c r="BD38" s="65"/>
      <c r="BE38" s="65"/>
      <c r="BF38" s="65"/>
      <c r="BG38" s="65"/>
      <c r="BH38" s="65"/>
      <c r="BI38" s="65"/>
      <c r="BJ38" s="65"/>
      <c r="BK38" s="65"/>
      <c r="BL38" s="65"/>
      <c r="BM38" s="65"/>
      <c r="BN38" s="65"/>
      <c r="BO38" s="65"/>
      <c r="BP38" s="65"/>
      <c r="BQ38" s="65"/>
      <c r="BR38" s="65"/>
      <c r="BS38" s="65"/>
      <c r="BT38" s="65"/>
      <c r="BU38" s="65"/>
      <c r="BV38" s="65"/>
      <c r="BW38" s="65"/>
      <c r="BX38" s="65"/>
      <c r="BY38" s="65"/>
      <c r="BZ38" s="65"/>
      <c r="CA38" s="65"/>
      <c r="CB38" s="65"/>
      <c r="CC38" s="65"/>
      <c r="CD38" s="65"/>
    </row>
  </sheetData>
  <sheetProtection autoFilter="0"/>
  <autoFilter ref="H6:V6" xr:uid="{A5DF8368-E06E-4DEE-BD48-61FF9E8E4959}"/>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574" r:id="rId8" name="SaveData">
          <controlPr defaultSize="0" autoLine="0" r:id="rId9">
            <anchor moveWithCells="1">
              <from>
                <xdr:col>8</xdr:col>
                <xdr:colOff>789214</xdr:colOff>
                <xdr:row>2</xdr:row>
                <xdr:rowOff>114300</xdr:rowOff>
              </from>
              <to>
                <xdr:col>9</xdr:col>
                <xdr:colOff>1208314</xdr:colOff>
                <xdr:row>2</xdr:row>
                <xdr:rowOff>571500</xdr:rowOff>
              </to>
            </anchor>
          </controlPr>
        </control>
      </mc:Choice>
      <mc:Fallback>
        <control shapeId="3574" r:id="rId8" name="SaveData"/>
      </mc:Fallback>
    </mc:AlternateContent>
    <mc:AlternateContent xmlns:mc="http://schemas.openxmlformats.org/markup-compatibility/2006">
      <mc:Choice Requires="x14">
        <control shapeId="3147" r:id="rId10" name="AnalyzerDynReportDC000tb1">
          <controlPr defaultSize="0" autoLine="0" r:id="rId11">
            <anchor moveWithCells="1">
              <from>
                <xdr:col>10</xdr:col>
                <xdr:colOff>0</xdr:colOff>
                <xdr:row>6</xdr:row>
                <xdr:rowOff>0</xdr:rowOff>
              </from>
              <to>
                <xdr:col>11</xdr:col>
                <xdr:colOff>310243</xdr:colOff>
                <xdr:row>6</xdr:row>
                <xdr:rowOff>5443</xdr:rowOff>
              </to>
            </anchor>
          </controlPr>
        </control>
      </mc:Choice>
      <mc:Fallback>
        <control shapeId="3147" r:id="rId10" name="AnalyzerDynReportDC000tb1"/>
      </mc:Fallback>
    </mc:AlternateContent>
    <mc:AlternateContent xmlns:mc="http://schemas.openxmlformats.org/markup-compatibility/2006">
      <mc:Choice Requires="x14">
        <control shapeId="3146" r:id="rId12" name="AnalyzerDynReportHC000tb1">
          <controlPr defaultSize="0" autoLine="0" r:id="rId13">
            <anchor moveWithCells="1">
              <from>
                <xdr:col>10</xdr:col>
                <xdr:colOff>0</xdr:colOff>
                <xdr:row>6</xdr:row>
                <xdr:rowOff>0</xdr:rowOff>
              </from>
              <to>
                <xdr:col>11</xdr:col>
                <xdr:colOff>310243</xdr:colOff>
                <xdr:row>6</xdr:row>
                <xdr:rowOff>5443</xdr:rowOff>
              </to>
            </anchor>
          </controlPr>
        </control>
      </mc:Choice>
      <mc:Fallback>
        <control shapeId="3146" r:id="rId12" name="AnalyzerDynReportHC000tb1"/>
      </mc:Fallback>
    </mc:AlternateContent>
    <mc:AlternateContent xmlns:mc="http://schemas.openxmlformats.org/markup-compatibility/2006">
      <mc:Choice Requires="x14">
        <control shapeId="3142" r:id="rId14" name="ReportSubmitControl_1DCtb1">
          <controlPr defaultSize="0" autoLine="0" r:id="rId15">
            <anchor moveWithCells="1">
              <from>
                <xdr:col>10</xdr:col>
                <xdr:colOff>0</xdr:colOff>
                <xdr:row>6</xdr:row>
                <xdr:rowOff>0</xdr:rowOff>
              </from>
              <to>
                <xdr:col>11</xdr:col>
                <xdr:colOff>310243</xdr:colOff>
                <xdr:row>6</xdr:row>
                <xdr:rowOff>5443</xdr:rowOff>
              </to>
            </anchor>
          </controlPr>
        </control>
      </mc:Choice>
      <mc:Fallback>
        <control shapeId="3142" r:id="rId14" name="ReportSubmitControl_1DCtb1"/>
      </mc:Fallback>
    </mc:AlternateContent>
    <mc:AlternateContent xmlns:mc="http://schemas.openxmlformats.org/markup-compatibility/2006">
      <mc:Choice Requires="x14">
        <control shapeId="3141" r:id="rId16" name="ReportSubmitControl_1HCtb1">
          <controlPr defaultSize="0" autoLine="0" r:id="rId17">
            <anchor moveWithCells="1">
              <from>
                <xdr:col>10</xdr:col>
                <xdr:colOff>0</xdr:colOff>
                <xdr:row>6</xdr:row>
                <xdr:rowOff>0</xdr:rowOff>
              </from>
              <to>
                <xdr:col>11</xdr:col>
                <xdr:colOff>310243</xdr:colOff>
                <xdr:row>6</xdr:row>
                <xdr:rowOff>5443</xdr:rowOff>
              </to>
            </anchor>
          </controlPr>
        </control>
      </mc:Choice>
      <mc:Fallback>
        <control shapeId="3141" r:id="rId16" name="ReportSubmitControl_1HCtb1"/>
      </mc:Fallback>
    </mc:AlternateContent>
    <mc:AlternateContent xmlns:mc="http://schemas.openxmlformats.org/markup-compatibility/2006">
      <mc:Choice Requires="x14">
        <control shapeId="3140" r:id="rId18" name="ReportSubmitManagerControlDCtb1">
          <controlPr defaultSize="0" autoLine="0" r:id="rId19">
            <anchor moveWithCells="1">
              <from>
                <xdr:col>10</xdr:col>
                <xdr:colOff>0</xdr:colOff>
                <xdr:row>6</xdr:row>
                <xdr:rowOff>0</xdr:rowOff>
              </from>
              <to>
                <xdr:col>11</xdr:col>
                <xdr:colOff>310243</xdr:colOff>
                <xdr:row>6</xdr:row>
                <xdr:rowOff>5443</xdr:rowOff>
              </to>
            </anchor>
          </controlPr>
        </control>
      </mc:Choice>
      <mc:Fallback>
        <control shapeId="3140" r:id="rId18" name="ReportSubmitManagerControlDCtb1"/>
      </mc:Fallback>
    </mc:AlternateContent>
    <mc:AlternateContent xmlns:mc="http://schemas.openxmlformats.org/markup-compatibility/2006">
      <mc:Choice Requires="x14">
        <control shapeId="3139" r:id="rId20" name="ReportSubmitManagerControlHCtb1">
          <controlPr defaultSize="0" autoLine="0" r:id="rId21">
            <anchor moveWithCells="1">
              <from>
                <xdr:col>10</xdr:col>
                <xdr:colOff>0</xdr:colOff>
                <xdr:row>6</xdr:row>
                <xdr:rowOff>0</xdr:rowOff>
              </from>
              <to>
                <xdr:col>11</xdr:col>
                <xdr:colOff>310243</xdr:colOff>
                <xdr:row>6</xdr:row>
                <xdr:rowOff>5443</xdr:rowOff>
              </to>
            </anchor>
          </controlPr>
        </control>
      </mc:Choice>
      <mc:Fallback>
        <control shapeId="3139" r:id="rId20" name="ReportSubmitManagerControlHCtb1"/>
      </mc:Fallback>
    </mc:AlternateContent>
    <mc:AlternateContent xmlns:mc="http://schemas.openxmlformats.org/markup-compatibility/2006">
      <mc:Choice Requires="x14">
        <control shapeId="3138" r:id="rId22" name="MultipleReportManagerInfoDCtb1">
          <controlPr defaultSize="0" autoLine="0" r:id="rId23">
            <anchor moveWithCells="1">
              <from>
                <xdr:col>10</xdr:col>
                <xdr:colOff>0</xdr:colOff>
                <xdr:row>6</xdr:row>
                <xdr:rowOff>0</xdr:rowOff>
              </from>
              <to>
                <xdr:col>11</xdr:col>
                <xdr:colOff>310243</xdr:colOff>
                <xdr:row>6</xdr:row>
                <xdr:rowOff>5443</xdr:rowOff>
              </to>
            </anchor>
          </controlPr>
        </control>
      </mc:Choice>
      <mc:Fallback>
        <control shapeId="3138" r:id="rId22" name="MultipleReportManagerInfoDCtb1"/>
      </mc:Fallback>
    </mc:AlternateContent>
    <mc:AlternateContent xmlns:mc="http://schemas.openxmlformats.org/markup-compatibility/2006">
      <mc:Choice Requires="x14">
        <control shapeId="3137" r:id="rId24" name="MultipleReportManagerInfoHCtb1">
          <controlPr defaultSize="0" autoLine="0" r:id="rId25">
            <anchor moveWithCells="1">
              <from>
                <xdr:col>10</xdr:col>
                <xdr:colOff>0</xdr:colOff>
                <xdr:row>6</xdr:row>
                <xdr:rowOff>0</xdr:rowOff>
              </from>
              <to>
                <xdr:col>11</xdr:col>
                <xdr:colOff>310243</xdr:colOff>
                <xdr:row>6</xdr:row>
                <xdr:rowOff>5443</xdr:rowOff>
              </to>
            </anchor>
          </controlPr>
        </control>
      </mc:Choice>
      <mc:Fallback>
        <control shapeId="3137" r:id="rId24" name="MultipleReportManager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6</xdr:row>
                <xdr:rowOff>0</xdr:rowOff>
              </from>
              <to>
                <xdr:col>11</xdr:col>
                <xdr:colOff>310243</xdr:colOff>
                <xdr:row>6</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5" r:id="rId28" name="ConnectionDescriptorsInfoHCtb1">
          <controlPr defaultSize="0" autoLine="0" r:id="rId29">
            <anchor moveWithCells="1">
              <from>
                <xdr:col>10</xdr:col>
                <xdr:colOff>0</xdr:colOff>
                <xdr:row>6</xdr:row>
                <xdr:rowOff>0</xdr:rowOff>
              </from>
              <to>
                <xdr:col>11</xdr:col>
                <xdr:colOff>310243</xdr:colOff>
                <xdr:row>6</xdr:row>
                <xdr:rowOff>5443</xdr:rowOff>
              </to>
            </anchor>
          </controlPr>
        </control>
      </mc:Choice>
      <mc:Fallback>
        <control shapeId="3135" r:id="rId28" name="ConnectionDescriptorsInfoHCtb1"/>
      </mc:Fallback>
    </mc:AlternateContent>
    <mc:AlternateContent xmlns:mc="http://schemas.openxmlformats.org/markup-compatibility/2006">
      <mc:Choice Requires="x14">
        <control shapeId="3093" r:id="rId30" name="FPMExcelClientSheetOptionstb1">
          <controlPr defaultSize="0" autoLine="0" r:id="rId31">
            <anchor moveWithCells="1" sizeWithCells="1">
              <from>
                <xdr:col>0</xdr:col>
                <xdr:colOff>0</xdr:colOff>
                <xdr:row>0</xdr:row>
                <xdr:rowOff>0</xdr:rowOff>
              </from>
              <to>
                <xdr:col>0</xdr:col>
                <xdr:colOff>0</xdr:colOff>
                <xdr:row>0</xdr:row>
                <xdr:rowOff>0</xdr:rowOff>
              </to>
            </anchor>
          </controlPr>
        </control>
      </mc:Choice>
      <mc:Fallback>
        <control shapeId="3093" r:id="rId30" name="FPMExcelClientSheetOptionstb1"/>
      </mc:Fallback>
    </mc:AlternateContent>
    <mc:AlternateContent xmlns:mc="http://schemas.openxmlformats.org/markup-compatibility/2006">
      <mc:Choice Requires="x14">
        <control shapeId="3115" r:id="rId32" name="TextBox1">
          <controlPr defaultSize="0" disabled="1" autoLine="0" r:id="rId33">
            <anchor>
              <from>
                <xdr:col>0</xdr:col>
                <xdr:colOff>38100</xdr:colOff>
                <xdr:row>2</xdr:row>
                <xdr:rowOff>152400</xdr:rowOff>
              </from>
              <to>
                <xdr:col>0</xdr:col>
                <xdr:colOff>43543</xdr:colOff>
                <xdr:row>2</xdr:row>
                <xdr:rowOff>157843</xdr:rowOff>
              </to>
            </anchor>
          </controlPr>
        </control>
      </mc:Choice>
      <mc:Fallback>
        <control shapeId="3115" r:id="rId32" name="TextBox1"/>
      </mc:Fallback>
    </mc:AlternateContent>
    <mc:AlternateContent xmlns:mc="http://schemas.openxmlformats.org/markup-compatibility/2006">
      <mc:Choice Requires="x14">
        <control shapeId="3119" r:id="rId34" name="TextBox2">
          <controlPr defaultSize="0" disabled="1" autoLine="0" r:id="rId35">
            <anchor>
              <from>
                <xdr:col>8</xdr:col>
                <xdr:colOff>631371</xdr:colOff>
                <xdr:row>2</xdr:row>
                <xdr:rowOff>152400</xdr:rowOff>
              </from>
              <to>
                <xdr:col>8</xdr:col>
                <xdr:colOff>636814</xdr:colOff>
                <xdr:row>2</xdr:row>
                <xdr:rowOff>157843</xdr:rowOff>
              </to>
            </anchor>
          </controlPr>
        </control>
      </mc:Choice>
      <mc:Fallback>
        <control shapeId="3119" r:id="rId34" name="TextBox2"/>
      </mc:Fallback>
    </mc:AlternateContent>
    <mc:AlternateContent xmlns:mc="http://schemas.openxmlformats.org/markup-compatibility/2006">
      <mc:Choice Requires="x14">
        <control shapeId="3130" r:id="rId36" name="AnalyzerDynReport000tb1">
          <controlPr defaultSize="0" autoLine="0" autoPict="0" r:id="rId37">
            <anchor moveWithCells="1" sizeWithCells="1">
              <from>
                <xdr:col>0</xdr:col>
                <xdr:colOff>0</xdr:colOff>
                <xdr:row>0</xdr:row>
                <xdr:rowOff>0</xdr:rowOff>
              </from>
              <to>
                <xdr:col>6</xdr:col>
                <xdr:colOff>97971</xdr:colOff>
                <xdr:row>0</xdr:row>
                <xdr:rowOff>0</xdr:rowOff>
              </to>
            </anchor>
          </controlPr>
        </control>
      </mc:Choice>
      <mc:Fallback>
        <control shapeId="3130" r:id="rId36" name="AnalyzerDynReport000tb1"/>
      </mc:Fallback>
    </mc:AlternateContent>
    <mc:AlternateContent xmlns:mc="http://schemas.openxmlformats.org/markup-compatibility/2006">
      <mc:Choice Requires="x14">
        <control shapeId="3131" r:id="rId38" name="ConnectionDescriptorsInfotb1">
          <controlPr defaultSize="0" autoLine="0" autoPict="0" r:id="rId39">
            <anchor moveWithCells="1" sizeWithCells="1">
              <from>
                <xdr:col>0</xdr:col>
                <xdr:colOff>0</xdr:colOff>
                <xdr:row>0</xdr:row>
                <xdr:rowOff>0</xdr:rowOff>
              </from>
              <to>
                <xdr:col>6</xdr:col>
                <xdr:colOff>97971</xdr:colOff>
                <xdr:row>0</xdr:row>
                <xdr:rowOff>0</xdr:rowOff>
              </to>
            </anchor>
          </controlPr>
        </control>
      </mc:Choice>
      <mc:Fallback>
        <control shapeId="3131" r:id="rId38" name="ConnectionDescriptorsInfotb1"/>
      </mc:Fallback>
    </mc:AlternateContent>
    <mc:AlternateContent xmlns:mc="http://schemas.openxmlformats.org/markup-compatibility/2006">
      <mc:Choice Requires="x14">
        <control shapeId="3132" r:id="rId40" name="MultipleReportManagerInfotb1">
          <controlPr defaultSize="0" autoLine="0" autoPict="0" r:id="rId41">
            <anchor moveWithCells="1" sizeWithCells="1">
              <from>
                <xdr:col>0</xdr:col>
                <xdr:colOff>0</xdr:colOff>
                <xdr:row>0</xdr:row>
                <xdr:rowOff>0</xdr:rowOff>
              </from>
              <to>
                <xdr:col>6</xdr:col>
                <xdr:colOff>97971</xdr:colOff>
                <xdr:row>0</xdr:row>
                <xdr:rowOff>0</xdr:rowOff>
              </to>
            </anchor>
          </controlPr>
        </control>
      </mc:Choice>
      <mc:Fallback>
        <control shapeId="3132" r:id="rId40" name="MultipleReportManagerInfotb1"/>
      </mc:Fallback>
    </mc:AlternateContent>
    <mc:AlternateContent xmlns:mc="http://schemas.openxmlformats.org/markup-compatibility/2006">
      <mc:Choice Requires="x14">
        <control shapeId="3133" r:id="rId42" name="ReportSubmitManagerControltb1">
          <controlPr defaultSize="0" autoLine="0" autoPict="0" r:id="rId43">
            <anchor moveWithCells="1" sizeWithCells="1">
              <from>
                <xdr:col>0</xdr:col>
                <xdr:colOff>0</xdr:colOff>
                <xdr:row>0</xdr:row>
                <xdr:rowOff>0</xdr:rowOff>
              </from>
              <to>
                <xdr:col>6</xdr:col>
                <xdr:colOff>97971</xdr:colOff>
                <xdr:row>0</xdr:row>
                <xdr:rowOff>0</xdr:rowOff>
              </to>
            </anchor>
          </controlPr>
        </control>
      </mc:Choice>
      <mc:Fallback>
        <control shapeId="3133" r:id="rId42" name="ReportSubmitManagerControltb1"/>
      </mc:Fallback>
    </mc:AlternateContent>
    <mc:AlternateContent xmlns:mc="http://schemas.openxmlformats.org/markup-compatibility/2006">
      <mc:Choice Requires="x14">
        <control shapeId="3134" r:id="rId44" name="ReportSubmitControl_1tb1">
          <controlPr defaultSize="0" autoLine="0" autoPict="0" r:id="rId45">
            <anchor moveWithCells="1" sizeWithCells="1">
              <from>
                <xdr:col>0</xdr:col>
                <xdr:colOff>0</xdr:colOff>
                <xdr:row>0</xdr:row>
                <xdr:rowOff>0</xdr:rowOff>
              </from>
              <to>
                <xdr:col>6</xdr:col>
                <xdr:colOff>97971</xdr:colOff>
                <xdr:row>0</xdr:row>
                <xdr:rowOff>0</xdr:rowOff>
              </to>
            </anchor>
          </controlPr>
        </control>
      </mc:Choice>
      <mc:Fallback>
        <control shapeId="3134" r:id="rId44" name="ReportSubmitControl_1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Save Data</favorite>
  <bookSettings xmlns="">
    <scenarios>
      <value>__BASELINE</value>
    </scenarios>
    <simulations>
      <value>__PLAN</value>
    </simulations>
    <planningUnits>
      <planningVersion>__BASELINE</planningVersion>
      <planningScenario>__PLAN</planningScenario>
      <timeRelativeFromDays>0</timeRelativeFromDays>
      <timeRelativeToDays>676</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E97E3841-21A0-425B-9B86-EB41EC260B47}">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SapIbpChartFeeder</vt: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2022-02-24T15:01:23Z</dcterms:modified>
</cp:coreProperties>
</file>