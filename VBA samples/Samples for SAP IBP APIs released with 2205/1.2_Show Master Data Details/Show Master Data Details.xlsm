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2_Show Master Data Details/"/>
    </mc:Choice>
  </mc:AlternateContent>
  <xr:revisionPtr revIDLastSave="4" documentId="8_{FC56A083-AB8A-41EB-B827-1DC4D493C61E}" xr6:coauthVersionLast="47" xr6:coauthVersionMax="47" xr10:uidLastSave="{B63F6F4C-B879-444D-8F86-D1C84C9A1DE7}"/>
  <bookViews>
    <workbookView xWindow="-103" yWindow="-103" windowWidth="22149" windowHeight="11949" tabRatio="374" firstSheet="1" activeTab="1" xr2:uid="{00000000-000D-0000-FFFF-FFFF00000000}"/>
  </bookViews>
  <sheets>
    <sheet name="IBPFormattingSheet" sheetId="8"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"pt6"</definedName>
    <definedName name="SOP_CurrencyToID" localSheetId="1">"EUR"</definedName>
    <definedName name="SOP_CURRTOID" localSheetId="1">"EUR"</definedName>
    <definedName name="SOP_Favorite_Name" localSheetId="0">" "</definedName>
    <definedName name="SOP_Favorite_Name">"Show Master Data Details"</definedName>
    <definedName name="SOP_Filter" localSheetId="0">{" "}</definedName>
    <definedName name="SOP_Filter" localSheetId="1">{"Product Family = FAMILY 400-SMARTPHONES"}</definedName>
    <definedName name="SOP_Filter">{" "}</definedName>
    <definedName name="SOP_Filter_Criteria_Count" localSheetId="1">1</definedName>
    <definedName name="SOP_Filter_Name" localSheetId="1">"(Ad Hoc Filter)"</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"Product ID"</definedName>
    <definedName name="SOP_Heading3" localSheetId="1">"Customer ID"</definedName>
    <definedName name="SOP_Heading4" localSheetId="1">"Location ID"</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 localSheetId="0">"SAP4PW"</definedName>
    <definedName name="SOP_Planning_Area">"ZJVSAPIBP1"</definedName>
    <definedName name="SOP_Planning_Scope" localSheetId="0">" "</definedName>
    <definedName name="SOP_Planning_Scope">"TW18 2022 - TW23 2024 | Baseline | Base Version | SPA"</definedName>
    <definedName name="SOP_Refresh_Timestamp" localSheetId="0">43129.8290046296</definedName>
    <definedName name="SOP_Refresh_Timestamp">44652.7112384259</definedName>
    <definedName name="SOP_TargetCurrency" localSheetId="1">"USD"</definedName>
    <definedName name="SOP_TargetUoM" localSheetId="1">"EA"</definedName>
    <definedName name="SOP_Template_Name" localSheetId="0">" "</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J11" i="5"/>
  <c r="J23" i="5"/>
  <c r="J5" i="5"/>
  <c r="H26" i="5"/>
  <c r="I26" i="5"/>
  <c r="J7" i="5"/>
  <c r="J16" i="5"/>
  <c r="J20" i="5"/>
  <c r="H4" i="5"/>
  <c r="AC3" i="5"/>
  <c r="J13" i="5"/>
  <c r="L3" i="5"/>
  <c r="G4" i="5"/>
  <c r="H20" i="5"/>
  <c r="J21" i="5"/>
  <c r="R3" i="5"/>
  <c r="O3" i="5"/>
  <c r="J27" i="5"/>
  <c r="I20" i="5"/>
  <c r="J6" i="5"/>
  <c r="J18" i="5"/>
  <c r="T3" i="5"/>
  <c r="J19" i="5"/>
  <c r="J26" i="5"/>
  <c r="Y3" i="5"/>
  <c r="J28" i="5"/>
  <c r="I4" i="5"/>
  <c r="W3" i="5"/>
  <c r="I6" i="5"/>
  <c r="J31" i="5"/>
  <c r="I7" i="5"/>
  <c r="I5" i="5"/>
  <c r="I14" i="5"/>
  <c r="J9" i="5"/>
  <c r="J29" i="5"/>
  <c r="S3" i="5"/>
  <c r="H6" i="5"/>
  <c r="H8" i="5"/>
  <c r="J15" i="5"/>
  <c r="AD3" i="5"/>
  <c r="K3" i="5"/>
  <c r="H5" i="5"/>
  <c r="I8" i="5"/>
  <c r="J10" i="5"/>
  <c r="J30" i="5"/>
  <c r="Z3" i="5"/>
  <c r="J8" i="5"/>
  <c r="J14" i="5"/>
  <c r="P3" i="5"/>
  <c r="X3" i="5"/>
  <c r="AA3" i="5"/>
  <c r="N3" i="5"/>
  <c r="M3" i="5"/>
  <c r="J4" i="5"/>
  <c r="U3" i="5"/>
  <c r="G8" i="5"/>
  <c r="AB3" i="5"/>
  <c r="V3" i="5"/>
  <c r="Q3" i="5"/>
  <c r="G20" i="5"/>
  <c r="H14" i="5"/>
  <c r="J17" i="5"/>
  <c r="J22" i="5"/>
  <c r="J24" i="5"/>
  <c r="J25" i="5"/>
  <c r="J12" i="5"/>
  <c r="H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87350403-4B69-4878-9555-60B822099094}">
      <text>
        <r>
          <rPr>
            <b/>
            <sz val="9"/>
            <color indexed="81"/>
            <rFont val="Tahoma"/>
            <family val="2"/>
          </rPr>
          <t>TotalMember</t>
        </r>
      </text>
    </comment>
    <comment ref="D44" authorId="0" shapeId="0" xr:uid="{ACC68D82-2ADD-4751-835C-6605FA5DD554}">
      <text>
        <r>
          <rPr>
            <b/>
            <sz val="9"/>
            <color indexed="81"/>
            <rFont val="Tahoma"/>
            <family val="2"/>
          </rPr>
          <t>Property#KEY_FIGURES#FIXING#Equals#Y</t>
        </r>
      </text>
    </comment>
    <comment ref="D65" authorId="0" shapeId="0" xr:uid="{8FF72918-06C0-4D60-8529-9A2906E6B47F}">
      <text>
        <r>
          <rPr>
            <b/>
            <sz val="9"/>
            <color indexed="81"/>
            <rFont val="Tahoma"/>
            <family val="2"/>
          </rPr>
          <t>Property#PERIODID#TIMELEVEL#Equals#TOTAL</t>
        </r>
      </text>
    </comment>
    <comment ref="D68" authorId="0" shapeId="0" xr:uid="{B0ABCACD-8F79-4D4E-B1E7-FEB2F4A97F8C}">
      <text>
        <r>
          <rPr>
            <b/>
            <sz val="9"/>
            <color indexed="81"/>
            <rFont val="Tahoma"/>
            <family val="2"/>
          </rPr>
          <t>Property#PERIODID#TIMELEVEL#Equals#PERIODID0</t>
        </r>
      </text>
    </comment>
    <comment ref="D71" authorId="0" shapeId="0" xr:uid="{32AF5369-ACA5-4D94-9679-E460C50A5E21}">
      <text>
        <r>
          <rPr>
            <b/>
            <sz val="9"/>
            <color indexed="81"/>
            <rFont val="Tahoma"/>
            <family val="2"/>
          </rPr>
          <t>Property#PERIODID#TIMELEVEL#Equals#PERIODID1</t>
        </r>
      </text>
    </comment>
    <comment ref="D74" authorId="0" shapeId="0" xr:uid="{770D10F8-2517-4449-BFC8-DFA8DC444ECB}">
      <text>
        <r>
          <rPr>
            <b/>
            <sz val="9"/>
            <color indexed="81"/>
            <rFont val="Tahoma"/>
            <family val="2"/>
          </rPr>
          <t>Property#PERIODID#TIMELEVEL#Equals#PERIODID2</t>
        </r>
      </text>
    </comment>
    <comment ref="D77" authorId="0" shapeId="0" xr:uid="{5C2560A6-D19E-4BE9-895B-3EFDB3B8F5B1}">
      <text>
        <r>
          <rPr>
            <b/>
            <sz val="9"/>
            <color indexed="81"/>
            <rFont val="Tahoma"/>
            <family val="2"/>
          </rPr>
          <t>Property#PERIODID#TIMELEVEL#Equals#PERIODID3</t>
        </r>
      </text>
    </comment>
    <comment ref="D80" authorId="0" shapeId="0" xr:uid="{54642C30-C0B2-4120-BEB6-F2B8D36A44AD}">
      <text>
        <r>
          <rPr>
            <b/>
            <sz val="9"/>
            <color indexed="81"/>
            <rFont val="Tahoma"/>
            <family val="2"/>
          </rPr>
          <t>Property#PERIODID#TIMELEVEL#Equals#PERIODID4</t>
        </r>
      </text>
    </comment>
    <comment ref="D83" authorId="0" shapeId="0" xr:uid="{0FF46750-E7EC-4C7E-89A3-049EB2EB1B2B}">
      <text>
        <r>
          <rPr>
            <b/>
            <sz val="9"/>
            <color indexed="81"/>
            <rFont val="Tahoma"/>
            <family val="2"/>
          </rPr>
          <t>Property#PERIODID#TIMELEVEL#Equals#PERIODID5</t>
        </r>
      </text>
    </comment>
  </commentList>
</comments>
</file>

<file path=xl/sharedStrings.xml><?xml version="1.0" encoding="utf-8"?>
<sst xmlns="http://schemas.openxmlformats.org/spreadsheetml/2006/main" count="136" uniqueCount="40">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</sst>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7" borderId="0" applyNumberFormat="0" applyBorder="0" applyAlignment="0" applyProtection="0"/>
  </cellStyleXfs>
  <cellXfs count="10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14" fillId="9" borderId="0" xfId="0" applyFont="1" applyFill="1" applyBorder="1"/>
    <xf numFmtId="0" fontId="0" fillId="10"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0" borderId="0" xfId="0" applyFont="1" applyFill="1" applyBorder="1" applyAlignment="1" applyProtection="1">
      <alignment horizontal="right" vertical="center"/>
      <protection locked="0"/>
    </xf>
    <xf numFmtId="0" fontId="16" fillId="0" borderId="0" xfId="0" applyFont="1" applyAlignment="1">
      <alignment horizontal="center"/>
    </xf>
    <xf numFmtId="3" fontId="21" fillId="11"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9" borderId="0" xfId="0" applyFont="1" applyFill="1" applyBorder="1" applyAlignment="1" applyProtection="1">
      <alignment horizontal="right" vertical="center"/>
    </xf>
    <xf numFmtId="0" fontId="11" fillId="9" borderId="0" xfId="0" applyFont="1" applyFill="1" applyBorder="1" applyAlignment="1" applyProtection="1">
      <alignment horizontal="left" vertical="center"/>
    </xf>
    <xf numFmtId="0" fontId="14" fillId="9" borderId="0" xfId="0" applyFont="1" applyFill="1" applyProtection="1"/>
    <xf numFmtId="0" fontId="14" fillId="9" borderId="0" xfId="0" applyFont="1" applyFill="1" applyBorder="1" applyProtection="1"/>
    <xf numFmtId="0" fontId="14" fillId="9" borderId="0" xfId="1" applyFont="1" applyFill="1" applyBorder="1" applyAlignment="1" applyProtection="1"/>
    <xf numFmtId="0" fontId="0" fillId="0" borderId="0" xfId="0" applyProtection="1"/>
    <xf numFmtId="0" fontId="11" fillId="10" borderId="0" xfId="0" applyFont="1" applyFill="1" applyProtection="1"/>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17" fillId="9" borderId="0" xfId="0" quotePrefix="1" applyFont="1" applyFill="1" applyBorder="1" applyAlignment="1" applyProtection="1">
      <alignment horizontal="left" vertical="top" wrapText="1" indent="5"/>
    </xf>
    <xf numFmtId="0" fontId="17" fillId="9" borderId="0" xfId="0" quotePrefix="1" applyFont="1" applyFill="1" applyBorder="1" applyAlignment="1" applyProtection="1">
      <alignment horizontal="left" vertical="top" indent="5"/>
    </xf>
    <xf numFmtId="0" fontId="18" fillId="9" borderId="0" xfId="0" applyFont="1" applyFill="1" applyBorder="1" applyAlignment="1" applyProtection="1">
      <alignment horizontal="left" vertical="center"/>
    </xf>
    <xf numFmtId="0" fontId="19" fillId="9" borderId="0" xfId="0" applyFont="1" applyFill="1" applyBorder="1" applyAlignment="1" applyProtection="1">
      <alignment horizontal="right" vertical="top" wrapText="1"/>
    </xf>
    <xf numFmtId="0" fontId="20" fillId="9" borderId="0" xfId="0" quotePrefix="1" applyFont="1" applyFill="1" applyBorder="1" applyAlignment="1" applyProtection="1">
      <alignment horizontal="left" vertical="top" wrapText="1" indent="5"/>
    </xf>
    <xf numFmtId="0" fontId="19" fillId="9"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0"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8"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4" fillId="8"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5" fillId="0" borderId="0" xfId="0" quotePrefix="1" applyFont="1" applyAlignment="1">
      <alignment horizontal="left" vertical="center"/>
    </xf>
    <xf numFmtId="3" fontId="26"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4"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E46226DD-3A97-46D1-88C0-A12B8A8C1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477CBFB0-134F-4E63-AAE5-B57CB36A29D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972C371E-8E71-46B0-B13C-E4465D4A7D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480AD8BA-6172-4B2B-A153-100B20653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CEAF05E3-2386-4332-8471-139F96EFAA9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09582670-EACB-44C8-A348-3D999D9279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6151" name="cbUseDefaultLevelFirst" hidden="1">
              <a:extLst>
                <a:ext uri="{63B3BB69-23CF-44E3-9099-C40C66FF867C}">
                  <a14:compatExt spid="_x0000_s6151"/>
                </a:ext>
                <a:ext uri="{FF2B5EF4-FFF2-40B4-BE49-F238E27FC236}">
                  <a16:creationId xmlns:a16="http://schemas.microsoft.com/office/drawing/2014/main" id="{765224A7-1AFB-4CD1-AFDF-0D5EA6E37B3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6152" name="Group Box 8" hidden="1">
              <a:extLst>
                <a:ext uri="{63B3BB69-23CF-44E3-9099-C40C66FF867C}">
                  <a14:compatExt spid="_x0000_s6152"/>
                </a:ext>
                <a:ext uri="{FF2B5EF4-FFF2-40B4-BE49-F238E27FC236}">
                  <a16:creationId xmlns:a16="http://schemas.microsoft.com/office/drawing/2014/main" id="{33F96C8D-1F70-4C84-B351-AEABAEE3F8E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6153" name="cbUseDefaultLevelSecond" hidden="1">
              <a:extLst>
                <a:ext uri="{63B3BB69-23CF-44E3-9099-C40C66FF867C}">
                  <a14:compatExt spid="_x0000_s6153"/>
                </a:ext>
                <a:ext uri="{FF2B5EF4-FFF2-40B4-BE49-F238E27FC236}">
                  <a16:creationId xmlns:a16="http://schemas.microsoft.com/office/drawing/2014/main" id="{86F2E8AC-5DD1-4DA4-959D-875612603FC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6154" name="cbApplyMemberFormatting" hidden="1">
              <a:extLst>
                <a:ext uri="{63B3BB69-23CF-44E3-9099-C40C66FF867C}">
                  <a14:compatExt spid="_x0000_s6154"/>
                </a:ext>
                <a:ext uri="{FF2B5EF4-FFF2-40B4-BE49-F238E27FC236}">
                  <a16:creationId xmlns:a16="http://schemas.microsoft.com/office/drawing/2014/main" id="{927076FD-63ED-4B21-BE28-2A3D132E6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6155" name="Group Box 11" hidden="1">
              <a:extLst>
                <a:ext uri="{63B3BB69-23CF-44E3-9099-C40C66FF867C}">
                  <a14:compatExt spid="_x0000_s6155"/>
                </a:ext>
                <a:ext uri="{FF2B5EF4-FFF2-40B4-BE49-F238E27FC236}">
                  <a16:creationId xmlns:a16="http://schemas.microsoft.com/office/drawing/2014/main" id="{70E48E68-EC03-4B85-95D0-C68A7534A94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6156" name="obMemberRowFirst" hidden="1">
              <a:extLst>
                <a:ext uri="{63B3BB69-23CF-44E3-9099-C40C66FF867C}">
                  <a14:compatExt spid="_x0000_s6156"/>
                </a:ext>
                <a:ext uri="{FF2B5EF4-FFF2-40B4-BE49-F238E27FC236}">
                  <a16:creationId xmlns:a16="http://schemas.microsoft.com/office/drawing/2014/main" id="{45667C6D-3562-497D-BC1C-01C3B9FE018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6157" name="obMemberColumnFirst" hidden="1">
              <a:extLst>
                <a:ext uri="{63B3BB69-23CF-44E3-9099-C40C66FF867C}">
                  <a14:compatExt spid="_x0000_s6157"/>
                </a:ext>
                <a:ext uri="{FF2B5EF4-FFF2-40B4-BE49-F238E27FC236}">
                  <a16:creationId xmlns:a16="http://schemas.microsoft.com/office/drawing/2014/main" id="{5B996F45-D882-4DF8-8698-53B892D0C4F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6158" name="cbApplyCalculatedMemberFirst" hidden="1">
              <a:extLst>
                <a:ext uri="{63B3BB69-23CF-44E3-9099-C40C66FF867C}">
                  <a14:compatExt spid="_x0000_s6158"/>
                </a:ext>
                <a:ext uri="{FF2B5EF4-FFF2-40B4-BE49-F238E27FC236}">
                  <a16:creationId xmlns:a16="http://schemas.microsoft.com/office/drawing/2014/main" id="{9A0FC473-232A-40A4-AC9A-557778CA7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6159" name="cbApplyImputableMemberFirst" hidden="1">
              <a:extLst>
                <a:ext uri="{63B3BB69-23CF-44E3-9099-C40C66FF867C}">
                  <a14:compatExt spid="_x0000_s6159"/>
                </a:ext>
                <a:ext uri="{FF2B5EF4-FFF2-40B4-BE49-F238E27FC236}">
                  <a16:creationId xmlns:a16="http://schemas.microsoft.com/office/drawing/2014/main" id="{0AB7C226-F917-41AD-91BB-250DCAEFED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6160" name="cbApplyLocalMemberFirst" hidden="1">
              <a:extLst>
                <a:ext uri="{63B3BB69-23CF-44E3-9099-C40C66FF867C}">
                  <a14:compatExt spid="_x0000_s6160"/>
                </a:ext>
                <a:ext uri="{FF2B5EF4-FFF2-40B4-BE49-F238E27FC236}">
                  <a16:creationId xmlns:a16="http://schemas.microsoft.com/office/drawing/2014/main" id="{F32BDA44-8B3D-4437-A067-A5D4812573B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6161" name="cbApplyChangedMemberFirst" hidden="1">
              <a:extLst>
                <a:ext uri="{63B3BB69-23CF-44E3-9099-C40C66FF867C}">
                  <a14:compatExt spid="_x0000_s6161"/>
                </a:ext>
                <a:ext uri="{FF2B5EF4-FFF2-40B4-BE49-F238E27FC236}">
                  <a16:creationId xmlns:a16="http://schemas.microsoft.com/office/drawing/2014/main" id="{F5B4CEC6-5D0A-486B-96AC-7AAF71E2D4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6162" name="cbApplySpecificMemberFirst" hidden="1">
              <a:extLst>
                <a:ext uri="{63B3BB69-23CF-44E3-9099-C40C66FF867C}">
                  <a14:compatExt spid="_x0000_s6162"/>
                </a:ext>
                <a:ext uri="{FF2B5EF4-FFF2-40B4-BE49-F238E27FC236}">
                  <a16:creationId xmlns:a16="http://schemas.microsoft.com/office/drawing/2014/main" id="{C6C505AE-54BC-4A5B-8E5E-EE8FA9DB61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6163" name="AddMemberFirst" hidden="1">
              <a:extLst>
                <a:ext uri="{63B3BB69-23CF-44E3-9099-C40C66FF867C}">
                  <a14:compatExt spid="_x0000_s6163"/>
                </a:ext>
                <a:ext uri="{FF2B5EF4-FFF2-40B4-BE49-F238E27FC236}">
                  <a16:creationId xmlns:a16="http://schemas.microsoft.com/office/drawing/2014/main" id="{7B9EBA5D-600D-4C86-941D-276EAF4CB94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6164" name="cbApplyCalculatedMemberSecond" hidden="1">
              <a:extLst>
                <a:ext uri="{63B3BB69-23CF-44E3-9099-C40C66FF867C}">
                  <a14:compatExt spid="_x0000_s6164"/>
                </a:ext>
                <a:ext uri="{FF2B5EF4-FFF2-40B4-BE49-F238E27FC236}">
                  <a16:creationId xmlns:a16="http://schemas.microsoft.com/office/drawing/2014/main" id="{6414C587-05D0-4284-A7C5-2123A53789B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6165" name="cbApplyImputableMemberSecond" hidden="1">
              <a:extLst>
                <a:ext uri="{63B3BB69-23CF-44E3-9099-C40C66FF867C}">
                  <a14:compatExt spid="_x0000_s6165"/>
                </a:ext>
                <a:ext uri="{FF2B5EF4-FFF2-40B4-BE49-F238E27FC236}">
                  <a16:creationId xmlns:a16="http://schemas.microsoft.com/office/drawing/2014/main" id="{FC60D407-3C8A-4085-922A-D295168F43A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6166" name="cbApplyLocalMemberSecond" hidden="1">
              <a:extLst>
                <a:ext uri="{63B3BB69-23CF-44E3-9099-C40C66FF867C}">
                  <a14:compatExt spid="_x0000_s6166"/>
                </a:ext>
                <a:ext uri="{FF2B5EF4-FFF2-40B4-BE49-F238E27FC236}">
                  <a16:creationId xmlns:a16="http://schemas.microsoft.com/office/drawing/2014/main" id="{F5C92A3F-0599-442E-BFE0-26F527C569A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6167" name="cbApplyChangedMemberSecond" hidden="1">
              <a:extLst>
                <a:ext uri="{63B3BB69-23CF-44E3-9099-C40C66FF867C}">
                  <a14:compatExt spid="_x0000_s6167"/>
                </a:ext>
                <a:ext uri="{FF2B5EF4-FFF2-40B4-BE49-F238E27FC236}">
                  <a16:creationId xmlns:a16="http://schemas.microsoft.com/office/drawing/2014/main" id="{F22A3218-37EC-426F-A42B-905F2C10E31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6168" name="cbApplySpecificMemberSecond" hidden="1">
              <a:extLst>
                <a:ext uri="{63B3BB69-23CF-44E3-9099-C40C66FF867C}">
                  <a14:compatExt spid="_x0000_s6168"/>
                </a:ext>
                <a:ext uri="{FF2B5EF4-FFF2-40B4-BE49-F238E27FC236}">
                  <a16:creationId xmlns:a16="http://schemas.microsoft.com/office/drawing/2014/main" id="{3B82FE74-B619-4ACE-A262-E1DA338882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6169" name="AddMemberSecond" hidden="1">
              <a:extLst>
                <a:ext uri="{63B3BB69-23CF-44E3-9099-C40C66FF867C}">
                  <a14:compatExt spid="_x0000_s6169"/>
                </a:ext>
                <a:ext uri="{FF2B5EF4-FFF2-40B4-BE49-F238E27FC236}">
                  <a16:creationId xmlns:a16="http://schemas.microsoft.com/office/drawing/2014/main" id="{F30F4544-E888-43BB-98D0-F8C6126336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6170" name="cbApplyOddEvenFormatting" hidden="1">
              <a:extLst>
                <a:ext uri="{63B3BB69-23CF-44E3-9099-C40C66FF867C}">
                  <a14:compatExt spid="_x0000_s6170"/>
                </a:ext>
                <a:ext uri="{FF2B5EF4-FFF2-40B4-BE49-F238E27FC236}">
                  <a16:creationId xmlns:a16="http://schemas.microsoft.com/office/drawing/2014/main" id="{FEE999A7-8E71-41E8-947C-D4A2AB8636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6171" name="Group Box 27" hidden="1">
              <a:extLst>
                <a:ext uri="{63B3BB69-23CF-44E3-9099-C40C66FF867C}">
                  <a14:compatExt spid="_x0000_s6171"/>
                </a:ext>
                <a:ext uri="{FF2B5EF4-FFF2-40B4-BE49-F238E27FC236}">
                  <a16:creationId xmlns:a16="http://schemas.microsoft.com/office/drawing/2014/main" id="{67FFD1DB-115D-40DE-A011-00C15104910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6172" name="obOddEvenRowFirst" hidden="1">
              <a:extLst>
                <a:ext uri="{63B3BB69-23CF-44E3-9099-C40C66FF867C}">
                  <a14:compatExt spid="_x0000_s6172"/>
                </a:ext>
                <a:ext uri="{FF2B5EF4-FFF2-40B4-BE49-F238E27FC236}">
                  <a16:creationId xmlns:a16="http://schemas.microsoft.com/office/drawing/2014/main" id="{BE5E91F8-716F-4CC5-8B1B-8BCC927F59F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6173" name="obOddEvenColumnFirst" hidden="1">
              <a:extLst>
                <a:ext uri="{63B3BB69-23CF-44E3-9099-C40C66FF867C}">
                  <a14:compatExt spid="_x0000_s6173"/>
                </a:ext>
                <a:ext uri="{FF2B5EF4-FFF2-40B4-BE49-F238E27FC236}">
                  <a16:creationId xmlns:a16="http://schemas.microsoft.com/office/drawing/2014/main" id="{8DA59415-853A-4EEC-B81A-CEEE3D26031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6174" name="cbUseOddFirst" hidden="1">
              <a:extLst>
                <a:ext uri="{63B3BB69-23CF-44E3-9099-C40C66FF867C}">
                  <a14:compatExt spid="_x0000_s6174"/>
                </a:ext>
                <a:ext uri="{FF2B5EF4-FFF2-40B4-BE49-F238E27FC236}">
                  <a16:creationId xmlns:a16="http://schemas.microsoft.com/office/drawing/2014/main" id="{F9033842-BA85-4CF2-B5EE-F51BEFFA416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6175" name="cbUseEvenFirst" hidden="1">
              <a:extLst>
                <a:ext uri="{63B3BB69-23CF-44E3-9099-C40C66FF867C}">
                  <a14:compatExt spid="_x0000_s6175"/>
                </a:ext>
                <a:ext uri="{FF2B5EF4-FFF2-40B4-BE49-F238E27FC236}">
                  <a16:creationId xmlns:a16="http://schemas.microsoft.com/office/drawing/2014/main" id="{A960C9EB-DF7E-4F65-AF64-2DE0D9BAF9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6176" name="cbUseOddSecond" hidden="1">
              <a:extLst>
                <a:ext uri="{63B3BB69-23CF-44E3-9099-C40C66FF867C}">
                  <a14:compatExt spid="_x0000_s6176"/>
                </a:ext>
                <a:ext uri="{FF2B5EF4-FFF2-40B4-BE49-F238E27FC236}">
                  <a16:creationId xmlns:a16="http://schemas.microsoft.com/office/drawing/2014/main" id="{189FB893-D3D8-4862-AE3A-EB67C81B7C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6177" name="cbUseEvenSecond" hidden="1">
              <a:extLst>
                <a:ext uri="{63B3BB69-23CF-44E3-9099-C40C66FF867C}">
                  <a14:compatExt spid="_x0000_s6177"/>
                </a:ext>
                <a:ext uri="{FF2B5EF4-FFF2-40B4-BE49-F238E27FC236}">
                  <a16:creationId xmlns:a16="http://schemas.microsoft.com/office/drawing/2014/main" id="{C099FB66-8375-418B-9F34-00C5EEFAA0D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6178" name="AddedMember2_1" hidden="1">
              <a:extLst>
                <a:ext uri="{63B3BB69-23CF-44E3-9099-C40C66FF867C}">
                  <a14:compatExt spid="_x0000_s6178"/>
                </a:ext>
                <a:ext uri="{FF2B5EF4-FFF2-40B4-BE49-F238E27FC236}">
                  <a16:creationId xmlns:a16="http://schemas.microsoft.com/office/drawing/2014/main" id="{6A06A9F8-4670-4BE8-9C2D-B50F272652A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6179" name="ChangeMember2_1" hidden="1">
              <a:extLst>
                <a:ext uri="{63B3BB69-23CF-44E3-9099-C40C66FF867C}">
                  <a14:compatExt spid="_x0000_s6179"/>
                </a:ext>
                <a:ext uri="{FF2B5EF4-FFF2-40B4-BE49-F238E27FC236}">
                  <a16:creationId xmlns:a16="http://schemas.microsoft.com/office/drawing/2014/main" id="{4006E079-001D-40D7-B67E-FF7BE3CA2FB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6180" name="UpMember2_1" hidden="1">
              <a:extLst>
                <a:ext uri="{63B3BB69-23CF-44E3-9099-C40C66FF867C}">
                  <a14:compatExt spid="_x0000_s6180"/>
                </a:ext>
                <a:ext uri="{FF2B5EF4-FFF2-40B4-BE49-F238E27FC236}">
                  <a16:creationId xmlns:a16="http://schemas.microsoft.com/office/drawing/2014/main" id="{2114B781-A739-4395-89E4-36D8F0194A6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6181" name="DownMember2_1" hidden="1">
              <a:extLst>
                <a:ext uri="{63B3BB69-23CF-44E3-9099-C40C66FF867C}">
                  <a14:compatExt spid="_x0000_s6181"/>
                </a:ext>
                <a:ext uri="{FF2B5EF4-FFF2-40B4-BE49-F238E27FC236}">
                  <a16:creationId xmlns:a16="http://schemas.microsoft.com/office/drawing/2014/main" id="{4BE6BC1F-43DD-43D0-BA92-459332A919E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6182" name="AddedMember2_2" hidden="1">
              <a:extLst>
                <a:ext uri="{63B3BB69-23CF-44E3-9099-C40C66FF867C}">
                  <a14:compatExt spid="_x0000_s6182"/>
                </a:ext>
                <a:ext uri="{FF2B5EF4-FFF2-40B4-BE49-F238E27FC236}">
                  <a16:creationId xmlns:a16="http://schemas.microsoft.com/office/drawing/2014/main" id="{7F5F329D-1A0E-43AC-9150-01AA1F7FEF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6183" name="ChangeMember2_2" hidden="1">
              <a:extLst>
                <a:ext uri="{63B3BB69-23CF-44E3-9099-C40C66FF867C}">
                  <a14:compatExt spid="_x0000_s6183"/>
                </a:ext>
                <a:ext uri="{FF2B5EF4-FFF2-40B4-BE49-F238E27FC236}">
                  <a16:creationId xmlns:a16="http://schemas.microsoft.com/office/drawing/2014/main" id="{1413F07C-A4DC-46F3-9EDA-827DDFDB7F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6184" name="UpMember2_2" hidden="1">
              <a:extLst>
                <a:ext uri="{63B3BB69-23CF-44E3-9099-C40C66FF867C}">
                  <a14:compatExt spid="_x0000_s6184"/>
                </a:ext>
                <a:ext uri="{FF2B5EF4-FFF2-40B4-BE49-F238E27FC236}">
                  <a16:creationId xmlns:a16="http://schemas.microsoft.com/office/drawing/2014/main" id="{1B2EA6BB-372F-4D55-B5EA-BD5EE3AFEDC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6185" name="DownMember2_2" hidden="1">
              <a:extLst>
                <a:ext uri="{63B3BB69-23CF-44E3-9099-C40C66FF867C}">
                  <a14:compatExt spid="_x0000_s6185"/>
                </a:ext>
                <a:ext uri="{FF2B5EF4-FFF2-40B4-BE49-F238E27FC236}">
                  <a16:creationId xmlns:a16="http://schemas.microsoft.com/office/drawing/2014/main" id="{71BC15F5-E793-428F-992C-16E8358A73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6186" name="AddedMember2_3" hidden="1">
              <a:extLst>
                <a:ext uri="{63B3BB69-23CF-44E3-9099-C40C66FF867C}">
                  <a14:compatExt spid="_x0000_s6186"/>
                </a:ext>
                <a:ext uri="{FF2B5EF4-FFF2-40B4-BE49-F238E27FC236}">
                  <a16:creationId xmlns:a16="http://schemas.microsoft.com/office/drawing/2014/main" id="{029918DA-DDB2-48EA-9530-89A2DDF5E38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6187" name="ChangeMember2_3" hidden="1">
              <a:extLst>
                <a:ext uri="{63B3BB69-23CF-44E3-9099-C40C66FF867C}">
                  <a14:compatExt spid="_x0000_s6187"/>
                </a:ext>
                <a:ext uri="{FF2B5EF4-FFF2-40B4-BE49-F238E27FC236}">
                  <a16:creationId xmlns:a16="http://schemas.microsoft.com/office/drawing/2014/main" id="{A5DFC36B-C834-46E3-A975-FCDE92A44B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6188" name="UpMember2_3" hidden="1">
              <a:extLst>
                <a:ext uri="{63B3BB69-23CF-44E3-9099-C40C66FF867C}">
                  <a14:compatExt spid="_x0000_s6188"/>
                </a:ext>
                <a:ext uri="{FF2B5EF4-FFF2-40B4-BE49-F238E27FC236}">
                  <a16:creationId xmlns:a16="http://schemas.microsoft.com/office/drawing/2014/main" id="{CAF1A793-E2E5-4D0D-8998-68DC256B5AB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6189" name="DownMember2_3" hidden="1">
              <a:extLst>
                <a:ext uri="{63B3BB69-23CF-44E3-9099-C40C66FF867C}">
                  <a14:compatExt spid="_x0000_s6189"/>
                </a:ext>
                <a:ext uri="{FF2B5EF4-FFF2-40B4-BE49-F238E27FC236}">
                  <a16:creationId xmlns:a16="http://schemas.microsoft.com/office/drawing/2014/main" id="{B1FCB3BC-3865-4FBA-82CD-4100398E16F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6190" name="AddedMember2_4" hidden="1">
              <a:extLst>
                <a:ext uri="{63B3BB69-23CF-44E3-9099-C40C66FF867C}">
                  <a14:compatExt spid="_x0000_s6190"/>
                </a:ext>
                <a:ext uri="{FF2B5EF4-FFF2-40B4-BE49-F238E27FC236}">
                  <a16:creationId xmlns:a16="http://schemas.microsoft.com/office/drawing/2014/main" id="{93B68846-5447-407E-AE97-DFB5171372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6191" name="ChangeMember2_4" hidden="1">
              <a:extLst>
                <a:ext uri="{63B3BB69-23CF-44E3-9099-C40C66FF867C}">
                  <a14:compatExt spid="_x0000_s6191"/>
                </a:ext>
                <a:ext uri="{FF2B5EF4-FFF2-40B4-BE49-F238E27FC236}">
                  <a16:creationId xmlns:a16="http://schemas.microsoft.com/office/drawing/2014/main" id="{0CF037A1-B14A-4979-AB1D-3D99812B1A2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6192" name="UpMember2_4" hidden="1">
              <a:extLst>
                <a:ext uri="{63B3BB69-23CF-44E3-9099-C40C66FF867C}">
                  <a14:compatExt spid="_x0000_s6192"/>
                </a:ext>
                <a:ext uri="{FF2B5EF4-FFF2-40B4-BE49-F238E27FC236}">
                  <a16:creationId xmlns:a16="http://schemas.microsoft.com/office/drawing/2014/main" id="{545C4DD3-57C2-479D-8C53-1FCBECFF32A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6193" name="DownMember2_4" hidden="1">
              <a:extLst>
                <a:ext uri="{63B3BB69-23CF-44E3-9099-C40C66FF867C}">
                  <a14:compatExt spid="_x0000_s6193"/>
                </a:ext>
                <a:ext uri="{FF2B5EF4-FFF2-40B4-BE49-F238E27FC236}">
                  <a16:creationId xmlns:a16="http://schemas.microsoft.com/office/drawing/2014/main" id="{65F9696B-FE5F-4513-9DCD-85DA01A53FD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6194" name="AddedMember2_5" hidden="1">
              <a:extLst>
                <a:ext uri="{63B3BB69-23CF-44E3-9099-C40C66FF867C}">
                  <a14:compatExt spid="_x0000_s6194"/>
                </a:ext>
                <a:ext uri="{FF2B5EF4-FFF2-40B4-BE49-F238E27FC236}">
                  <a16:creationId xmlns:a16="http://schemas.microsoft.com/office/drawing/2014/main" id="{DA15723B-CFB8-4B04-AA8E-4E8EA04491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6195" name="ChangeMember2_5" hidden="1">
              <a:extLst>
                <a:ext uri="{63B3BB69-23CF-44E3-9099-C40C66FF867C}">
                  <a14:compatExt spid="_x0000_s6195"/>
                </a:ext>
                <a:ext uri="{FF2B5EF4-FFF2-40B4-BE49-F238E27FC236}">
                  <a16:creationId xmlns:a16="http://schemas.microsoft.com/office/drawing/2014/main" id="{27726D0C-573F-4ECD-96F4-D64E7227EA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6196" name="UpMember2_5" hidden="1">
              <a:extLst>
                <a:ext uri="{63B3BB69-23CF-44E3-9099-C40C66FF867C}">
                  <a14:compatExt spid="_x0000_s6196"/>
                </a:ext>
                <a:ext uri="{FF2B5EF4-FFF2-40B4-BE49-F238E27FC236}">
                  <a16:creationId xmlns:a16="http://schemas.microsoft.com/office/drawing/2014/main" id="{35965BA8-E74D-44E0-AC6B-B1F218A1DBC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6197" name="DownMember2_5" hidden="1">
              <a:extLst>
                <a:ext uri="{63B3BB69-23CF-44E3-9099-C40C66FF867C}">
                  <a14:compatExt spid="_x0000_s6197"/>
                </a:ext>
                <a:ext uri="{FF2B5EF4-FFF2-40B4-BE49-F238E27FC236}">
                  <a16:creationId xmlns:a16="http://schemas.microsoft.com/office/drawing/2014/main" id="{68E03A32-982F-429F-90AA-8093BB5D571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6198" name="AddedMember2_6" hidden="1">
              <a:extLst>
                <a:ext uri="{63B3BB69-23CF-44E3-9099-C40C66FF867C}">
                  <a14:compatExt spid="_x0000_s6198"/>
                </a:ext>
                <a:ext uri="{FF2B5EF4-FFF2-40B4-BE49-F238E27FC236}">
                  <a16:creationId xmlns:a16="http://schemas.microsoft.com/office/drawing/2014/main" id="{D9474634-6C70-4CB1-9D1E-231ADA7519D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6199" name="ChangeMember2_6" hidden="1">
              <a:extLst>
                <a:ext uri="{63B3BB69-23CF-44E3-9099-C40C66FF867C}">
                  <a14:compatExt spid="_x0000_s6199"/>
                </a:ext>
                <a:ext uri="{FF2B5EF4-FFF2-40B4-BE49-F238E27FC236}">
                  <a16:creationId xmlns:a16="http://schemas.microsoft.com/office/drawing/2014/main" id="{0C2D973C-45AA-4F35-93F7-2922BE46B7B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6200" name="UpMember2_6" hidden="1">
              <a:extLst>
                <a:ext uri="{63B3BB69-23CF-44E3-9099-C40C66FF867C}">
                  <a14:compatExt spid="_x0000_s6200"/>
                </a:ext>
                <a:ext uri="{FF2B5EF4-FFF2-40B4-BE49-F238E27FC236}">
                  <a16:creationId xmlns:a16="http://schemas.microsoft.com/office/drawing/2014/main" id="{88E27413-0F9A-4D3B-AA0A-FB961B4699A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6201" name="DownMember2_6" hidden="1">
              <a:extLst>
                <a:ext uri="{63B3BB69-23CF-44E3-9099-C40C66FF867C}">
                  <a14:compatExt spid="_x0000_s6201"/>
                </a:ext>
                <a:ext uri="{FF2B5EF4-FFF2-40B4-BE49-F238E27FC236}">
                  <a16:creationId xmlns:a16="http://schemas.microsoft.com/office/drawing/2014/main" id="{655A796C-04EF-4C73-A87F-494CEDF47DF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6202" name="AddedMember2_7" hidden="1">
              <a:extLst>
                <a:ext uri="{63B3BB69-23CF-44E3-9099-C40C66FF867C}">
                  <a14:compatExt spid="_x0000_s6202"/>
                </a:ext>
                <a:ext uri="{FF2B5EF4-FFF2-40B4-BE49-F238E27FC236}">
                  <a16:creationId xmlns:a16="http://schemas.microsoft.com/office/drawing/2014/main" id="{5F218EF4-83E9-4046-844D-18F4B39155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6203" name="ChangeMember2_7" hidden="1">
              <a:extLst>
                <a:ext uri="{63B3BB69-23CF-44E3-9099-C40C66FF867C}">
                  <a14:compatExt spid="_x0000_s6203"/>
                </a:ext>
                <a:ext uri="{FF2B5EF4-FFF2-40B4-BE49-F238E27FC236}">
                  <a16:creationId xmlns:a16="http://schemas.microsoft.com/office/drawing/2014/main" id="{DC6C9C8F-B508-493E-9FC9-35D63EEC70D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6204" name="UpMember2_7" hidden="1">
              <a:extLst>
                <a:ext uri="{63B3BB69-23CF-44E3-9099-C40C66FF867C}">
                  <a14:compatExt spid="_x0000_s6204"/>
                </a:ext>
                <a:ext uri="{FF2B5EF4-FFF2-40B4-BE49-F238E27FC236}">
                  <a16:creationId xmlns:a16="http://schemas.microsoft.com/office/drawing/2014/main" id="{465BCB85-3D0D-4313-8822-962A64C0E6C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6205" name="DownMember2_7" hidden="1">
              <a:extLst>
                <a:ext uri="{63B3BB69-23CF-44E3-9099-C40C66FF867C}">
                  <a14:compatExt spid="_x0000_s6205"/>
                </a:ext>
                <a:ext uri="{FF2B5EF4-FFF2-40B4-BE49-F238E27FC236}">
                  <a16:creationId xmlns:a16="http://schemas.microsoft.com/office/drawing/2014/main" id="{B6B4A9D6-E853-4F3B-9C9A-050BAFE1EF6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6206" name="AddedMember1_1" hidden="1">
              <a:extLst>
                <a:ext uri="{63B3BB69-23CF-44E3-9099-C40C66FF867C}">
                  <a14:compatExt spid="_x0000_s6206"/>
                </a:ext>
                <a:ext uri="{FF2B5EF4-FFF2-40B4-BE49-F238E27FC236}">
                  <a16:creationId xmlns:a16="http://schemas.microsoft.com/office/drawing/2014/main" id="{D2FD0AD8-FEAA-4C19-9644-49DE1C6081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6207" name="ChangeMember1_1" hidden="1">
              <a:extLst>
                <a:ext uri="{63B3BB69-23CF-44E3-9099-C40C66FF867C}">
                  <a14:compatExt spid="_x0000_s6207"/>
                </a:ext>
                <a:ext uri="{FF2B5EF4-FFF2-40B4-BE49-F238E27FC236}">
                  <a16:creationId xmlns:a16="http://schemas.microsoft.com/office/drawing/2014/main" id="{A9CB368D-458C-473D-B0E7-3F89DF9706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6208" name="UpMember1_1" hidden="1">
              <a:extLst>
                <a:ext uri="{63B3BB69-23CF-44E3-9099-C40C66FF867C}">
                  <a14:compatExt spid="_x0000_s6208"/>
                </a:ext>
                <a:ext uri="{FF2B5EF4-FFF2-40B4-BE49-F238E27FC236}">
                  <a16:creationId xmlns:a16="http://schemas.microsoft.com/office/drawing/2014/main" id="{DA86990C-5663-4616-A7CF-6A3E784E58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6209" name="DownMember1_1" hidden="1">
              <a:extLst>
                <a:ext uri="{63B3BB69-23CF-44E3-9099-C40C66FF867C}">
                  <a14:compatExt spid="_x0000_s6209"/>
                </a:ext>
                <a:ext uri="{FF2B5EF4-FFF2-40B4-BE49-F238E27FC236}">
                  <a16:creationId xmlns:a16="http://schemas.microsoft.com/office/drawing/2014/main" id="{A3A2176E-07CC-410A-BDDE-A5D6C7661D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6210" name="AddedMember1_2" hidden="1">
              <a:extLst>
                <a:ext uri="{63B3BB69-23CF-44E3-9099-C40C66FF867C}">
                  <a14:compatExt spid="_x0000_s6210"/>
                </a:ext>
                <a:ext uri="{FF2B5EF4-FFF2-40B4-BE49-F238E27FC236}">
                  <a16:creationId xmlns:a16="http://schemas.microsoft.com/office/drawing/2014/main" id="{361FD2BC-519F-4712-AEA4-58A2E9B84C2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6211" name="ChangeMember1_2" hidden="1">
              <a:extLst>
                <a:ext uri="{63B3BB69-23CF-44E3-9099-C40C66FF867C}">
                  <a14:compatExt spid="_x0000_s6211"/>
                </a:ext>
                <a:ext uri="{FF2B5EF4-FFF2-40B4-BE49-F238E27FC236}">
                  <a16:creationId xmlns:a16="http://schemas.microsoft.com/office/drawing/2014/main" id="{443300C8-403B-4C99-B775-96615AC919A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6212" name="UpMember1_2" hidden="1">
              <a:extLst>
                <a:ext uri="{63B3BB69-23CF-44E3-9099-C40C66FF867C}">
                  <a14:compatExt spid="_x0000_s6212"/>
                </a:ext>
                <a:ext uri="{FF2B5EF4-FFF2-40B4-BE49-F238E27FC236}">
                  <a16:creationId xmlns:a16="http://schemas.microsoft.com/office/drawing/2014/main" id="{5B5EDA2C-EC08-412F-B2DE-28AB57FF54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6213" name="DownMember1_2" hidden="1">
              <a:extLst>
                <a:ext uri="{63B3BB69-23CF-44E3-9099-C40C66FF867C}">
                  <a14:compatExt spid="_x0000_s6213"/>
                </a:ext>
                <a:ext uri="{FF2B5EF4-FFF2-40B4-BE49-F238E27FC236}">
                  <a16:creationId xmlns:a16="http://schemas.microsoft.com/office/drawing/2014/main" id="{BB501402-42EA-448D-A4B4-A3C9F60641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96279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511629</xdr:colOff>
          <xdr:row>2</xdr:row>
          <xdr:rowOff>152400</xdr:rowOff>
        </xdr:from>
        <xdr:to>
          <xdr:col>7</xdr:col>
          <xdr:colOff>517071</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9.emf"/><Relationship Id="rId26" Type="http://schemas.openxmlformats.org/officeDocument/2006/relationships/image" Target="../media/image13.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7.emf"/><Relationship Id="rId42" Type="http://schemas.openxmlformats.org/officeDocument/2006/relationships/image" Target="../media/image21.emf"/><Relationship Id="rId7" Type="http://schemas.openxmlformats.org/officeDocument/2006/relationships/vmlDrawing" Target="../drawings/vmlDrawing2.vml"/><Relationship Id="rId2" Type="http://schemas.openxmlformats.org/officeDocument/2006/relationships/customProperty" Target="../customProperty2.bin"/><Relationship Id="rId16" Type="http://schemas.openxmlformats.org/officeDocument/2006/relationships/image" Target="../media/image8.emf"/><Relationship Id="rId20" Type="http://schemas.openxmlformats.org/officeDocument/2006/relationships/image" Target="../media/image10.emf"/><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drawing" Target="../drawings/drawing2.xml"/><Relationship Id="rId11" Type="http://schemas.openxmlformats.org/officeDocument/2006/relationships/control" Target="../activeX/activeX5.xml"/><Relationship Id="rId24" Type="http://schemas.openxmlformats.org/officeDocument/2006/relationships/image" Target="../media/image12.emf"/><Relationship Id="rId32" Type="http://schemas.openxmlformats.org/officeDocument/2006/relationships/image" Target="../media/image16.emf"/><Relationship Id="rId37" Type="http://schemas.openxmlformats.org/officeDocument/2006/relationships/control" Target="../activeX/activeX18.xml"/><Relationship Id="rId40" Type="http://schemas.openxmlformats.org/officeDocument/2006/relationships/image" Target="../media/image20.emf"/><Relationship Id="rId5" Type="http://schemas.openxmlformats.org/officeDocument/2006/relationships/customProperty" Target="../customProperty5.bin"/><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4.emf"/><Relationship Id="rId36" Type="http://schemas.openxmlformats.org/officeDocument/2006/relationships/image" Target="../media/image18.emf"/><Relationship Id="rId10" Type="http://schemas.openxmlformats.org/officeDocument/2006/relationships/image" Target="../media/image5.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image" Target="../media/image22.emf"/><Relationship Id="rId4" Type="http://schemas.openxmlformats.org/officeDocument/2006/relationships/customProperty" Target="../customProperty4.bin"/><Relationship Id="rId9" Type="http://schemas.openxmlformats.org/officeDocument/2006/relationships/control" Target="../activeX/activeX4.xml"/><Relationship Id="rId14" Type="http://schemas.openxmlformats.org/officeDocument/2006/relationships/image" Target="../media/image7.emf"/><Relationship Id="rId22" Type="http://schemas.openxmlformats.org/officeDocument/2006/relationships/image" Target="../media/image11.emf"/><Relationship Id="rId27" Type="http://schemas.openxmlformats.org/officeDocument/2006/relationships/control" Target="../activeX/activeX13.xml"/><Relationship Id="rId30" Type="http://schemas.openxmlformats.org/officeDocument/2006/relationships/image" Target="../media/image15.emf"/><Relationship Id="rId35" Type="http://schemas.openxmlformats.org/officeDocument/2006/relationships/control" Target="../activeX/activeX17.xml"/><Relationship Id="rId43" Type="http://schemas.openxmlformats.org/officeDocument/2006/relationships/control" Target="../activeX/activeX21.xml"/><Relationship Id="rId8" Type="http://schemas.openxmlformats.org/officeDocument/2006/relationships/image" Target="../media/image4.png"/><Relationship Id="rId3" Type="http://schemas.openxmlformats.org/officeDocument/2006/relationships/customProperty" Target="../customProperty3.bin"/><Relationship Id="rId12" Type="http://schemas.openxmlformats.org/officeDocument/2006/relationships/image" Target="../media/image6.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89726-080F-4474-A99F-5807D51E3C81}">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45" t="s">
        <v>29</v>
      </c>
      <c r="C1" s="45"/>
      <c r="D1" s="45"/>
      <c r="E1" s="45"/>
      <c r="F1" s="45"/>
      <c r="G1" s="45"/>
      <c r="H1" s="45"/>
      <c r="I1" s="45"/>
      <c r="J1" s="45"/>
      <c r="K1" s="45"/>
      <c r="L1" s="45"/>
    </row>
    <row r="2" spans="1:17" ht="15.75" customHeight="1" x14ac:dyDescent="0.4">
      <c r="A2" s="26" t="s">
        <v>21</v>
      </c>
      <c r="B2" s="2"/>
      <c r="C2" s="2"/>
      <c r="D2" s="2"/>
      <c r="E2" s="2"/>
      <c r="G2" s="2"/>
      <c r="H2" s="2"/>
      <c r="I2" s="2"/>
      <c r="J2" s="76"/>
      <c r="K2" s="2"/>
      <c r="L2" s="2"/>
    </row>
    <row r="3" spans="1:17" ht="15.75" customHeight="1" x14ac:dyDescent="0.4">
      <c r="A3" s="2"/>
      <c r="B3" s="3" t="s">
        <v>0</v>
      </c>
      <c r="C3" s="2"/>
      <c r="D3" s="2"/>
      <c r="E3" s="2"/>
      <c r="F3" s="76"/>
      <c r="G3" s="2"/>
      <c r="H3" s="2"/>
      <c r="I3" s="2"/>
      <c r="J3" s="76"/>
      <c r="K3" s="2"/>
      <c r="L3" s="2"/>
    </row>
    <row r="4" spans="1:17" ht="18" customHeight="1" thickBot="1" x14ac:dyDescent="0.45">
      <c r="A4" s="2"/>
      <c r="B4" s="2"/>
      <c r="C4" s="2"/>
      <c r="D4" s="2"/>
      <c r="E4" s="2"/>
      <c r="F4" s="76"/>
      <c r="G4" s="2"/>
      <c r="H4" s="2"/>
      <c r="I4" s="2"/>
      <c r="J4" s="76"/>
      <c r="K4" s="2"/>
      <c r="L4" s="2"/>
    </row>
    <row r="5" spans="1:17" ht="28.4" customHeight="1" x14ac:dyDescent="0.35">
      <c r="A5" s="2"/>
      <c r="B5" s="46" t="s">
        <v>22</v>
      </c>
      <c r="C5" s="47"/>
      <c r="D5" s="47"/>
      <c r="E5" s="47"/>
      <c r="F5" s="47"/>
      <c r="G5" s="47"/>
      <c r="H5" s="47"/>
      <c r="I5" s="47"/>
      <c r="J5" s="47"/>
      <c r="K5" s="47"/>
      <c r="L5" s="48"/>
      <c r="Q5" s="15" t="s">
        <v>16</v>
      </c>
    </row>
    <row r="6" spans="1:17" ht="28.4" customHeight="1" thickBot="1" x14ac:dyDescent="0.4">
      <c r="A6" s="2"/>
      <c r="B6" s="49"/>
      <c r="C6" s="50"/>
      <c r="D6" s="50"/>
      <c r="E6" s="50"/>
      <c r="F6" s="50"/>
      <c r="G6" s="50"/>
      <c r="H6" s="50"/>
      <c r="I6" s="50"/>
      <c r="J6" s="50"/>
      <c r="K6" s="50"/>
      <c r="L6" s="51"/>
      <c r="Q6" s="16" t="s">
        <v>17</v>
      </c>
    </row>
    <row r="7" spans="1:17" ht="21.9" customHeight="1" x14ac:dyDescent="0.4">
      <c r="A7" s="2"/>
      <c r="B7" s="52" t="s">
        <v>8</v>
      </c>
      <c r="C7" s="13"/>
      <c r="D7" s="13"/>
      <c r="E7" s="13"/>
      <c r="F7" s="77"/>
      <c r="G7" s="13"/>
      <c r="H7" s="13"/>
      <c r="I7" s="13"/>
      <c r="J7" s="77"/>
      <c r="K7" s="13"/>
      <c r="L7" s="14"/>
      <c r="Q7" s="44" t="s">
        <v>30</v>
      </c>
    </row>
    <row r="8" spans="1:17" ht="18" customHeight="1" x14ac:dyDescent="0.4">
      <c r="A8" s="2"/>
      <c r="B8" s="53"/>
      <c r="C8" s="2"/>
      <c r="D8" s="2"/>
      <c r="E8" s="2"/>
      <c r="F8" s="76"/>
      <c r="G8" s="2"/>
      <c r="H8" s="2"/>
      <c r="I8" s="2"/>
      <c r="J8" s="76"/>
      <c r="K8" s="2"/>
      <c r="L8" s="10"/>
      <c r="Q8" s="44"/>
    </row>
    <row r="9" spans="1:17" ht="17.149999999999999" customHeight="1" x14ac:dyDescent="0.35">
      <c r="A9" s="2"/>
      <c r="B9" s="53"/>
      <c r="C9" s="5"/>
      <c r="D9" s="6"/>
      <c r="E9" s="54" t="s">
        <v>1</v>
      </c>
      <c r="F9" s="55"/>
      <c r="G9" s="56"/>
      <c r="H9" s="4" t="s">
        <v>2</v>
      </c>
      <c r="I9" s="54" t="s">
        <v>3</v>
      </c>
      <c r="J9" s="55"/>
      <c r="K9" s="56"/>
      <c r="L9" s="11" t="s">
        <v>2</v>
      </c>
      <c r="Q9" s="44"/>
    </row>
    <row r="10" spans="1:17" ht="5.15" customHeight="1" x14ac:dyDescent="0.4">
      <c r="A10" s="2"/>
      <c r="B10" s="53"/>
      <c r="C10" s="57"/>
      <c r="D10" s="2"/>
      <c r="E10" s="78"/>
      <c r="F10" s="79"/>
      <c r="G10" s="78"/>
      <c r="H10" s="8"/>
      <c r="I10" s="78"/>
      <c r="J10" s="79"/>
      <c r="K10" s="78"/>
      <c r="L10" s="10"/>
      <c r="Q10" s="44"/>
    </row>
    <row r="11" spans="1:17" ht="15.9" customHeight="1" x14ac:dyDescent="0.35">
      <c r="A11" s="2"/>
      <c r="B11" s="53"/>
      <c r="C11" s="58"/>
      <c r="D11" s="80" t="s">
        <v>5</v>
      </c>
      <c r="E11" s="78"/>
      <c r="F11" s="81">
        <v>10000</v>
      </c>
      <c r="G11" s="78"/>
      <c r="H11" s="28" t="s">
        <v>19</v>
      </c>
      <c r="I11" s="78"/>
      <c r="J11" s="82" t="s">
        <v>7</v>
      </c>
      <c r="K11" s="78"/>
      <c r="L11" s="12" t="s">
        <v>6</v>
      </c>
      <c r="Q11" s="44"/>
    </row>
    <row r="12" spans="1:17" ht="5.15" customHeight="1" thickBot="1" x14ac:dyDescent="0.45">
      <c r="A12" s="2"/>
      <c r="B12" s="59"/>
      <c r="C12" s="60"/>
      <c r="D12" s="29"/>
      <c r="E12" s="30"/>
      <c r="F12" s="83"/>
      <c r="G12" s="30"/>
      <c r="H12" s="31"/>
      <c r="I12" s="30"/>
      <c r="J12" s="83"/>
      <c r="K12" s="30"/>
      <c r="L12" s="32"/>
      <c r="Q12" s="44"/>
    </row>
    <row r="13" spans="1:17" ht="21.9" customHeight="1" x14ac:dyDescent="0.4">
      <c r="A13" s="2"/>
      <c r="B13" s="53" t="s">
        <v>4</v>
      </c>
      <c r="C13" s="2"/>
      <c r="D13" s="2"/>
      <c r="E13" s="2"/>
      <c r="F13" s="76"/>
      <c r="G13" s="2"/>
      <c r="H13" s="2"/>
      <c r="I13" s="2"/>
      <c r="J13" s="76"/>
      <c r="K13" s="2"/>
      <c r="L13" s="10"/>
      <c r="Q13" s="44"/>
    </row>
    <row r="14" spans="1:17" ht="18" customHeight="1" x14ac:dyDescent="0.4">
      <c r="A14" s="2"/>
      <c r="B14" s="53"/>
      <c r="C14" s="2"/>
      <c r="D14" s="2"/>
      <c r="E14" s="2"/>
      <c r="F14" s="76"/>
      <c r="G14" s="2"/>
      <c r="H14" s="2"/>
      <c r="I14" s="2"/>
      <c r="J14" s="76"/>
      <c r="K14" s="2"/>
      <c r="L14" s="10"/>
      <c r="Q14" s="44"/>
    </row>
    <row r="15" spans="1:17" ht="17.149999999999999" customHeight="1" x14ac:dyDescent="0.35">
      <c r="A15" s="2"/>
      <c r="B15" s="53"/>
      <c r="C15" s="5"/>
      <c r="D15" s="6"/>
      <c r="E15" s="54" t="s">
        <v>1</v>
      </c>
      <c r="F15" s="55"/>
      <c r="G15" s="56"/>
      <c r="H15" s="4" t="s">
        <v>2</v>
      </c>
      <c r="I15" s="54" t="s">
        <v>3</v>
      </c>
      <c r="J15" s="55"/>
      <c r="K15" s="56"/>
      <c r="L15" s="11" t="s">
        <v>2</v>
      </c>
      <c r="Q15" s="44"/>
    </row>
    <row r="16" spans="1:17" ht="5.15" customHeight="1" x14ac:dyDescent="0.4">
      <c r="A16" s="2"/>
      <c r="B16" s="53"/>
      <c r="C16" s="57"/>
      <c r="D16" s="2"/>
      <c r="E16" s="78"/>
      <c r="F16" s="79"/>
      <c r="G16" s="78"/>
      <c r="H16" s="8"/>
      <c r="I16" s="78"/>
      <c r="J16" s="79"/>
      <c r="K16" s="78"/>
      <c r="L16" s="10"/>
      <c r="Q16" s="44"/>
    </row>
    <row r="17" spans="1:17" ht="15.9" customHeight="1" x14ac:dyDescent="0.35">
      <c r="A17" s="2"/>
      <c r="B17" s="53"/>
      <c r="C17" s="58"/>
      <c r="D17" s="80" t="s">
        <v>5</v>
      </c>
      <c r="E17" s="78"/>
      <c r="F17" s="81">
        <v>10000</v>
      </c>
      <c r="G17" s="78"/>
      <c r="H17" s="28" t="s">
        <v>6</v>
      </c>
      <c r="I17" s="78"/>
      <c r="J17" s="84" t="s">
        <v>7</v>
      </c>
      <c r="K17" s="78"/>
      <c r="L17" s="12" t="s">
        <v>6</v>
      </c>
      <c r="Q17" s="44"/>
    </row>
    <row r="18" spans="1:17" ht="5.15" customHeight="1" thickBot="1" x14ac:dyDescent="0.45">
      <c r="A18" s="2"/>
      <c r="B18" s="59"/>
      <c r="C18" s="60"/>
      <c r="D18" s="29"/>
      <c r="E18" s="30"/>
      <c r="F18" s="83"/>
      <c r="G18" s="30"/>
      <c r="H18" s="31"/>
      <c r="I18" s="30"/>
      <c r="J18" s="83"/>
      <c r="K18" s="30"/>
      <c r="L18" s="32"/>
      <c r="Q18" s="44"/>
    </row>
    <row r="19" spans="1:17" ht="9" customHeight="1" x14ac:dyDescent="0.4">
      <c r="A19" s="2"/>
      <c r="B19" s="2"/>
      <c r="C19" s="2"/>
      <c r="D19" s="2"/>
      <c r="E19" s="2"/>
      <c r="F19" s="76"/>
      <c r="G19" s="2"/>
      <c r="H19" s="2"/>
      <c r="I19" s="2"/>
      <c r="J19" s="76"/>
      <c r="K19" s="2"/>
      <c r="L19" s="2"/>
      <c r="Q19" s="44"/>
    </row>
    <row r="20" spans="1:17" ht="24.65" customHeight="1" x14ac:dyDescent="0.4">
      <c r="A20" s="2"/>
      <c r="B20" s="2"/>
      <c r="C20" s="2"/>
      <c r="D20" s="2"/>
      <c r="E20" s="2"/>
      <c r="F20" s="76"/>
      <c r="G20" s="2"/>
      <c r="H20" s="2"/>
      <c r="I20" s="2"/>
      <c r="J20" s="76"/>
      <c r="K20" s="2"/>
      <c r="L20" s="2"/>
      <c r="Q20" s="17"/>
    </row>
    <row r="21" spans="1:17" ht="15" customHeight="1" thickBot="1" x14ac:dyDescent="0.45">
      <c r="A21" s="2"/>
      <c r="B21" s="2"/>
      <c r="C21" s="2"/>
      <c r="D21" s="2"/>
      <c r="E21" s="2"/>
      <c r="F21" s="76"/>
      <c r="G21" s="2"/>
      <c r="H21" s="2"/>
      <c r="I21" s="2"/>
      <c r="J21" s="76"/>
      <c r="K21" s="2"/>
      <c r="L21" s="2"/>
      <c r="Q21" s="18" t="s">
        <v>18</v>
      </c>
    </row>
    <row r="22" spans="1:17" ht="28.4" customHeight="1" x14ac:dyDescent="0.35">
      <c r="A22" s="2"/>
      <c r="B22" s="61" t="s">
        <v>9</v>
      </c>
      <c r="C22" s="62"/>
      <c r="D22" s="62"/>
      <c r="E22" s="62"/>
      <c r="F22" s="62"/>
      <c r="G22" s="62"/>
      <c r="H22" s="62"/>
      <c r="I22" s="62"/>
      <c r="J22" s="62"/>
      <c r="K22" s="62"/>
      <c r="L22" s="63"/>
      <c r="Q22" s="44" t="s">
        <v>25</v>
      </c>
    </row>
    <row r="23" spans="1:17" ht="28.4" customHeight="1" x14ac:dyDescent="0.35">
      <c r="A23" s="2"/>
      <c r="B23" s="64"/>
      <c r="C23" s="65"/>
      <c r="D23" s="65"/>
      <c r="E23" s="65"/>
      <c r="F23" s="65"/>
      <c r="G23" s="65"/>
      <c r="H23" s="65"/>
      <c r="I23" s="65"/>
      <c r="J23" s="65"/>
      <c r="K23" s="65"/>
      <c r="L23" s="66"/>
      <c r="Q23" s="44"/>
    </row>
    <row r="24" spans="1:17" ht="18" customHeight="1" x14ac:dyDescent="0.4">
      <c r="A24" s="2"/>
      <c r="B24" s="68" t="s">
        <v>4</v>
      </c>
      <c r="C24" s="2"/>
      <c r="D24" s="2"/>
      <c r="E24" s="2"/>
      <c r="F24" s="76"/>
      <c r="G24" s="2"/>
      <c r="H24" s="2"/>
      <c r="I24" s="2"/>
      <c r="J24" s="76"/>
      <c r="K24" s="2"/>
      <c r="L24" s="10"/>
      <c r="Q24" s="44"/>
    </row>
    <row r="25" spans="1:17" ht="17.149999999999999" customHeight="1" x14ac:dyDescent="0.35">
      <c r="A25" s="2"/>
      <c r="B25" s="53"/>
      <c r="C25" s="5"/>
      <c r="D25" s="6"/>
      <c r="E25" s="54" t="s">
        <v>1</v>
      </c>
      <c r="F25" s="55"/>
      <c r="G25" s="56"/>
      <c r="H25" s="4" t="s">
        <v>2</v>
      </c>
      <c r="I25" s="54" t="s">
        <v>3</v>
      </c>
      <c r="J25" s="55"/>
      <c r="K25" s="56"/>
      <c r="L25" s="11" t="s">
        <v>2</v>
      </c>
      <c r="Q25" s="44"/>
    </row>
    <row r="26" spans="1:17" ht="5.15" customHeight="1" x14ac:dyDescent="0.4">
      <c r="A26" s="2"/>
      <c r="B26" s="53"/>
      <c r="C26" s="58"/>
      <c r="D26" s="2"/>
      <c r="E26" s="78"/>
      <c r="F26" s="79"/>
      <c r="G26" s="78"/>
      <c r="H26" s="9"/>
      <c r="I26" s="78"/>
      <c r="J26" s="79"/>
      <c r="K26" s="78"/>
      <c r="L26" s="10"/>
      <c r="Q26" s="44"/>
    </row>
    <row r="27" spans="1:17" ht="15.9" customHeight="1" x14ac:dyDescent="0.35">
      <c r="A27" s="2"/>
      <c r="B27" s="53"/>
      <c r="C27" s="58"/>
      <c r="D27" s="80" t="s">
        <v>23</v>
      </c>
      <c r="E27" s="78"/>
      <c r="F27" s="81">
        <v>10000</v>
      </c>
      <c r="G27" s="78"/>
      <c r="H27" s="28" t="s">
        <v>6</v>
      </c>
      <c r="I27" s="78"/>
      <c r="J27" s="85" t="s">
        <v>7</v>
      </c>
      <c r="K27" s="78"/>
      <c r="L27" s="12" t="s">
        <v>6</v>
      </c>
      <c r="Q27" s="44"/>
    </row>
    <row r="28" spans="1:17" ht="5.15" customHeight="1" x14ac:dyDescent="0.4">
      <c r="A28" s="2"/>
      <c r="B28" s="53"/>
      <c r="C28" s="67"/>
      <c r="D28" s="41"/>
      <c r="E28" s="7"/>
      <c r="F28" s="86"/>
      <c r="G28" s="7"/>
      <c r="H28" s="6"/>
      <c r="I28" s="7"/>
      <c r="J28" s="86"/>
      <c r="K28" s="7"/>
      <c r="L28" s="42"/>
      <c r="Q28" s="44"/>
    </row>
    <row r="29" spans="1:17" ht="5.15" customHeight="1" x14ac:dyDescent="0.4">
      <c r="A29" s="2"/>
      <c r="B29" s="53"/>
      <c r="C29" s="58"/>
      <c r="D29" s="2"/>
      <c r="E29" s="78"/>
      <c r="F29" s="79"/>
      <c r="G29" s="78"/>
      <c r="H29" s="9"/>
      <c r="I29" s="78"/>
      <c r="J29" s="79"/>
      <c r="K29" s="78"/>
      <c r="L29" s="10"/>
      <c r="Q29" s="44"/>
    </row>
    <row r="30" spans="1:17" ht="15.9" customHeight="1" x14ac:dyDescent="0.4">
      <c r="A30" s="2"/>
      <c r="B30" s="53"/>
      <c r="C30" s="58"/>
      <c r="D30" s="80" t="s">
        <v>24</v>
      </c>
      <c r="E30" s="78"/>
      <c r="F30" s="87">
        <v>10000</v>
      </c>
      <c r="G30" s="78"/>
      <c r="H30" s="28" t="s">
        <v>6</v>
      </c>
      <c r="I30" s="78"/>
      <c r="J30" s="85" t="s">
        <v>7</v>
      </c>
      <c r="K30" s="78"/>
      <c r="L30" s="12" t="s">
        <v>19</v>
      </c>
      <c r="Q30" s="19"/>
    </row>
    <row r="31" spans="1:17" ht="5.15" customHeight="1" x14ac:dyDescent="0.4">
      <c r="A31" s="2"/>
      <c r="B31" s="53"/>
      <c r="C31" s="67"/>
      <c r="D31" s="41"/>
      <c r="E31" s="7"/>
      <c r="F31" s="86"/>
      <c r="G31" s="7"/>
      <c r="H31" s="6"/>
      <c r="I31" s="7"/>
      <c r="J31" s="86"/>
      <c r="K31" s="7"/>
      <c r="L31" s="42"/>
    </row>
    <row r="32" spans="1:17" ht="5.15" customHeight="1" x14ac:dyDescent="0.4">
      <c r="A32" s="2"/>
      <c r="B32" s="53"/>
      <c r="C32" s="58"/>
      <c r="D32" s="2"/>
      <c r="E32" s="78"/>
      <c r="F32" s="79"/>
      <c r="G32" s="78"/>
      <c r="H32" s="9"/>
      <c r="I32" s="78"/>
      <c r="J32" s="79"/>
      <c r="K32" s="78"/>
      <c r="L32" s="10"/>
    </row>
    <row r="33" spans="1:12" ht="15.9" customHeight="1" x14ac:dyDescent="0.35">
      <c r="A33" s="2"/>
      <c r="B33" s="53"/>
      <c r="C33" s="58"/>
      <c r="D33" s="80" t="s">
        <v>10</v>
      </c>
      <c r="E33" s="78"/>
      <c r="F33" s="81">
        <v>10000</v>
      </c>
      <c r="G33" s="78"/>
      <c r="H33" s="28" t="s">
        <v>6</v>
      </c>
      <c r="I33" s="78"/>
      <c r="J33" s="85" t="s">
        <v>7</v>
      </c>
      <c r="K33" s="78"/>
      <c r="L33" s="12" t="s">
        <v>6</v>
      </c>
    </row>
    <row r="34" spans="1:12" ht="5.15" customHeight="1" x14ac:dyDescent="0.4">
      <c r="A34" s="2"/>
      <c r="B34" s="53"/>
      <c r="C34" s="67"/>
      <c r="D34" s="41"/>
      <c r="E34" s="7"/>
      <c r="F34" s="86"/>
      <c r="G34" s="7"/>
      <c r="H34" s="6"/>
      <c r="I34" s="7"/>
      <c r="J34" s="86"/>
      <c r="K34" s="7"/>
      <c r="L34" s="42"/>
    </row>
    <row r="35" spans="1:12" ht="5.15" customHeight="1" x14ac:dyDescent="0.4">
      <c r="A35" s="2"/>
      <c r="B35" s="53"/>
      <c r="C35" s="58"/>
      <c r="D35" s="2"/>
      <c r="E35" s="78"/>
      <c r="F35" s="79"/>
      <c r="G35" s="78"/>
      <c r="H35" s="9"/>
      <c r="I35" s="78"/>
      <c r="J35" s="79"/>
      <c r="K35" s="78"/>
      <c r="L35" s="10"/>
    </row>
    <row r="36" spans="1:12" ht="15.9" customHeight="1" x14ac:dyDescent="0.35">
      <c r="A36" s="2"/>
      <c r="B36" s="53"/>
      <c r="C36" s="58"/>
      <c r="D36" s="80" t="s">
        <v>11</v>
      </c>
      <c r="E36" s="78"/>
      <c r="F36" s="88">
        <v>10000</v>
      </c>
      <c r="G36" s="78"/>
      <c r="H36" s="28" t="s">
        <v>20</v>
      </c>
      <c r="I36" s="78"/>
      <c r="J36" s="85" t="s">
        <v>7</v>
      </c>
      <c r="K36" s="78"/>
      <c r="L36" s="12" t="s">
        <v>19</v>
      </c>
    </row>
    <row r="37" spans="1:12" ht="5.15" customHeight="1" x14ac:dyDescent="0.4">
      <c r="A37" s="2"/>
      <c r="B37" s="53"/>
      <c r="C37" s="67"/>
      <c r="D37" s="41"/>
      <c r="E37" s="7"/>
      <c r="F37" s="86"/>
      <c r="G37" s="7"/>
      <c r="H37" s="6"/>
      <c r="I37" s="7"/>
      <c r="J37" s="86"/>
      <c r="K37" s="7"/>
      <c r="L37" s="42"/>
    </row>
    <row r="38" spans="1:12" ht="5.15" customHeight="1" x14ac:dyDescent="0.4">
      <c r="A38" s="2"/>
      <c r="B38" s="53"/>
      <c r="C38" s="58"/>
      <c r="D38" s="2"/>
      <c r="E38" s="78"/>
      <c r="F38" s="79"/>
      <c r="G38" s="78"/>
      <c r="H38" s="9"/>
      <c r="I38" s="78"/>
      <c r="J38" s="79"/>
      <c r="K38" s="78"/>
      <c r="L38" s="10"/>
    </row>
    <row r="39" spans="1:12" ht="15.9" customHeight="1" x14ac:dyDescent="0.4">
      <c r="A39" s="2"/>
      <c r="B39" s="53"/>
      <c r="C39" s="58"/>
      <c r="D39" s="80" t="s">
        <v>12</v>
      </c>
      <c r="E39" s="78"/>
      <c r="F39" s="79"/>
      <c r="G39" s="78"/>
      <c r="H39" s="9"/>
      <c r="I39" s="78"/>
      <c r="J39" s="79"/>
      <c r="K39" s="78"/>
      <c r="L39" s="10"/>
    </row>
    <row r="40" spans="1:12" ht="5.15" customHeight="1" x14ac:dyDescent="0.4">
      <c r="A40" s="2"/>
      <c r="B40" s="53"/>
      <c r="C40" s="40"/>
      <c r="D40" s="80"/>
      <c r="E40" s="78"/>
      <c r="F40" s="79"/>
      <c r="G40" s="78"/>
      <c r="H40" s="9"/>
      <c r="I40" s="78"/>
      <c r="J40" s="79"/>
      <c r="K40" s="78"/>
      <c r="L40" s="10"/>
    </row>
    <row r="41" spans="1:12" ht="15.9" customHeight="1" x14ac:dyDescent="0.35">
      <c r="A41" s="2"/>
      <c r="B41" s="53"/>
      <c r="C41" s="40"/>
      <c r="D41" s="89" t="s">
        <v>26</v>
      </c>
      <c r="E41" s="78"/>
      <c r="F41" s="90">
        <v>10000</v>
      </c>
      <c r="G41" s="78"/>
      <c r="H41" s="28" t="s">
        <v>27</v>
      </c>
      <c r="I41" s="78"/>
      <c r="J41" s="91" t="s">
        <v>7</v>
      </c>
      <c r="K41" s="78"/>
      <c r="L41" s="12" t="s">
        <v>27</v>
      </c>
    </row>
    <row r="42" spans="1:12" ht="5.15" customHeight="1" x14ac:dyDescent="0.4">
      <c r="A42" s="2"/>
      <c r="B42" s="53"/>
      <c r="C42" s="40"/>
      <c r="D42" s="24"/>
      <c r="E42" s="7"/>
      <c r="F42" s="86"/>
      <c r="G42" s="7"/>
      <c r="H42" s="6"/>
      <c r="I42" s="7"/>
      <c r="J42" s="86"/>
      <c r="K42" s="7"/>
      <c r="L42" s="42"/>
    </row>
    <row r="43" spans="1:12" ht="5.15" customHeight="1" x14ac:dyDescent="0.4">
      <c r="A43" s="2"/>
      <c r="B43" s="53"/>
      <c r="C43" s="40"/>
      <c r="D43" s="80"/>
      <c r="E43" s="78"/>
      <c r="F43" s="79"/>
      <c r="G43" s="78"/>
      <c r="H43" s="9"/>
      <c r="I43" s="78"/>
      <c r="J43" s="79"/>
      <c r="K43" s="78"/>
      <c r="L43" s="10"/>
    </row>
    <row r="44" spans="1:12" ht="15.9" customHeight="1" x14ac:dyDescent="0.35">
      <c r="A44" s="2"/>
      <c r="B44" s="53"/>
      <c r="C44" s="40"/>
      <c r="D44" s="92" t="s">
        <v>31</v>
      </c>
      <c r="E44" s="78"/>
      <c r="F44" s="93">
        <v>10000</v>
      </c>
      <c r="G44" s="78"/>
      <c r="H44" s="28" t="s">
        <v>32</v>
      </c>
      <c r="I44" s="78"/>
      <c r="J44" s="85" t="s">
        <v>7</v>
      </c>
      <c r="K44" s="78"/>
      <c r="L44" s="12" t="s">
        <v>19</v>
      </c>
    </row>
    <row r="45" spans="1:12" ht="5.15" customHeight="1" x14ac:dyDescent="0.4">
      <c r="A45" s="2"/>
      <c r="B45" s="53"/>
      <c r="C45" s="40"/>
      <c r="D45" s="24"/>
      <c r="E45" s="7"/>
      <c r="F45" s="86"/>
      <c r="G45" s="7"/>
      <c r="H45" s="6"/>
      <c r="I45" s="7"/>
      <c r="J45" s="86"/>
      <c r="K45" s="7"/>
      <c r="L45" s="42"/>
    </row>
    <row r="46" spans="1:12" ht="21.9" customHeight="1" x14ac:dyDescent="0.4">
      <c r="A46" s="2"/>
      <c r="B46" s="53"/>
      <c r="C46" s="40"/>
      <c r="D46" s="2"/>
      <c r="E46" s="2"/>
      <c r="F46" s="76"/>
      <c r="G46" s="2"/>
      <c r="H46" s="9"/>
      <c r="I46" s="2"/>
      <c r="J46" s="76"/>
      <c r="K46" s="2"/>
      <c r="L46" s="10"/>
    </row>
    <row r="47" spans="1:12" ht="5.15" customHeight="1" thickBot="1" x14ac:dyDescent="0.45">
      <c r="A47" s="2"/>
      <c r="B47" s="59"/>
      <c r="C47" s="43"/>
      <c r="D47" s="29"/>
      <c r="E47" s="29"/>
      <c r="F47" s="94"/>
      <c r="G47" s="29"/>
      <c r="H47" s="31"/>
      <c r="I47" s="29"/>
      <c r="J47" s="94"/>
      <c r="K47" s="29"/>
      <c r="L47" s="32"/>
    </row>
    <row r="48" spans="1:12" ht="15.9" customHeight="1" x14ac:dyDescent="0.4">
      <c r="A48" s="2"/>
      <c r="B48" s="52" t="s">
        <v>8</v>
      </c>
      <c r="C48" s="13"/>
      <c r="D48" s="13"/>
      <c r="E48" s="13"/>
      <c r="F48" s="77"/>
      <c r="G48" s="13"/>
      <c r="H48" s="13"/>
      <c r="I48" s="13"/>
      <c r="J48" s="77"/>
      <c r="K48" s="13"/>
      <c r="L48" s="14"/>
    </row>
    <row r="49" spans="1:12" ht="18" customHeight="1" x14ac:dyDescent="0.35">
      <c r="A49" s="2"/>
      <c r="B49" s="53"/>
      <c r="C49" s="5"/>
      <c r="D49" s="6"/>
      <c r="E49" s="54" t="s">
        <v>1</v>
      </c>
      <c r="F49" s="55"/>
      <c r="G49" s="56"/>
      <c r="H49" s="4" t="s">
        <v>2</v>
      </c>
      <c r="I49" s="54" t="s">
        <v>3</v>
      </c>
      <c r="J49" s="55"/>
      <c r="K49" s="56"/>
      <c r="L49" s="11" t="s">
        <v>2</v>
      </c>
    </row>
    <row r="50" spans="1:12" ht="5.15" customHeight="1" x14ac:dyDescent="0.4">
      <c r="A50" s="2"/>
      <c r="B50" s="53"/>
      <c r="C50" s="58"/>
      <c r="D50" s="2"/>
      <c r="E50" s="78"/>
      <c r="F50" s="79"/>
      <c r="G50" s="78"/>
      <c r="H50" s="9"/>
      <c r="I50" s="78"/>
      <c r="J50" s="79"/>
      <c r="K50" s="78"/>
      <c r="L50" s="10"/>
    </row>
    <row r="51" spans="1:12" ht="15.9" customHeight="1" x14ac:dyDescent="0.35">
      <c r="A51" s="2"/>
      <c r="B51" s="53"/>
      <c r="C51" s="58"/>
      <c r="D51" s="80" t="s">
        <v>23</v>
      </c>
      <c r="E51" s="78"/>
      <c r="F51" s="81">
        <v>10000</v>
      </c>
      <c r="G51" s="78"/>
      <c r="H51" s="28" t="s">
        <v>6</v>
      </c>
      <c r="I51" s="78"/>
      <c r="J51" s="85" t="s">
        <v>7</v>
      </c>
      <c r="K51" s="78"/>
      <c r="L51" s="12" t="s">
        <v>6</v>
      </c>
    </row>
    <row r="52" spans="1:12" ht="5.15" customHeight="1" x14ac:dyDescent="0.4">
      <c r="A52" s="2"/>
      <c r="B52" s="53"/>
      <c r="C52" s="67"/>
      <c r="D52" s="41"/>
      <c r="E52" s="7"/>
      <c r="F52" s="86"/>
      <c r="G52" s="7"/>
      <c r="H52" s="6"/>
      <c r="I52" s="7"/>
      <c r="J52" s="86"/>
      <c r="K52" s="7"/>
      <c r="L52" s="42"/>
    </row>
    <row r="53" spans="1:12" ht="5.15" customHeight="1" x14ac:dyDescent="0.4">
      <c r="A53" s="2"/>
      <c r="B53" s="53"/>
      <c r="C53" s="58"/>
      <c r="D53" s="2"/>
      <c r="E53" s="78"/>
      <c r="F53" s="79"/>
      <c r="G53" s="78"/>
      <c r="H53" s="9"/>
      <c r="I53" s="78"/>
      <c r="J53" s="79"/>
      <c r="K53" s="78"/>
      <c r="L53" s="10"/>
    </row>
    <row r="54" spans="1:12" ht="15.9" customHeight="1" x14ac:dyDescent="0.35">
      <c r="A54" s="2"/>
      <c r="B54" s="53"/>
      <c r="C54" s="58"/>
      <c r="D54" s="80" t="s">
        <v>24</v>
      </c>
      <c r="E54" s="78"/>
      <c r="F54" s="87">
        <v>10000</v>
      </c>
      <c r="G54" s="78"/>
      <c r="H54" s="28" t="s">
        <v>20</v>
      </c>
      <c r="I54" s="78"/>
      <c r="J54" s="85" t="s">
        <v>7</v>
      </c>
      <c r="K54" s="78"/>
      <c r="L54" s="12" t="s">
        <v>19</v>
      </c>
    </row>
    <row r="55" spans="1:12" ht="5.15" customHeight="1" x14ac:dyDescent="0.4">
      <c r="A55" s="2"/>
      <c r="B55" s="53"/>
      <c r="C55" s="67"/>
      <c r="D55" s="41"/>
      <c r="E55" s="7"/>
      <c r="F55" s="86"/>
      <c r="G55" s="7"/>
      <c r="H55" s="6"/>
      <c r="I55" s="7"/>
      <c r="J55" s="86"/>
      <c r="K55" s="7"/>
      <c r="L55" s="42"/>
    </row>
    <row r="56" spans="1:12" ht="5.15" customHeight="1" x14ac:dyDescent="0.4">
      <c r="A56" s="2"/>
      <c r="B56" s="53"/>
      <c r="C56" s="58"/>
      <c r="D56" s="2"/>
      <c r="E56" s="78"/>
      <c r="F56" s="79"/>
      <c r="G56" s="78"/>
      <c r="H56" s="9"/>
      <c r="I56" s="78"/>
      <c r="J56" s="79"/>
      <c r="K56" s="78"/>
      <c r="L56" s="10"/>
    </row>
    <row r="57" spans="1:12" ht="15.9" customHeight="1" x14ac:dyDescent="0.35">
      <c r="A57" s="2"/>
      <c r="B57" s="53"/>
      <c r="C57" s="58"/>
      <c r="D57" s="80" t="s">
        <v>10</v>
      </c>
      <c r="E57" s="78"/>
      <c r="F57" s="87">
        <v>10000</v>
      </c>
      <c r="G57" s="78"/>
      <c r="H57" s="28" t="s">
        <v>6</v>
      </c>
      <c r="I57" s="78"/>
      <c r="J57" s="85" t="s">
        <v>7</v>
      </c>
      <c r="K57" s="78"/>
      <c r="L57" s="12" t="s">
        <v>6</v>
      </c>
    </row>
    <row r="58" spans="1:12" ht="5.15" customHeight="1" x14ac:dyDescent="0.4">
      <c r="A58" s="2"/>
      <c r="B58" s="53"/>
      <c r="C58" s="67"/>
      <c r="D58" s="41"/>
      <c r="E58" s="7"/>
      <c r="F58" s="86"/>
      <c r="G58" s="7"/>
      <c r="H58" s="6"/>
      <c r="I58" s="7"/>
      <c r="J58" s="86"/>
      <c r="K58" s="7"/>
      <c r="L58" s="42"/>
    </row>
    <row r="59" spans="1:12" ht="5.15" customHeight="1" x14ac:dyDescent="0.4">
      <c r="A59" s="2"/>
      <c r="B59" s="53"/>
      <c r="C59" s="58"/>
      <c r="D59" s="2"/>
      <c r="E59" s="78"/>
      <c r="F59" s="79"/>
      <c r="G59" s="78"/>
      <c r="H59" s="9"/>
      <c r="I59" s="78"/>
      <c r="J59" s="79"/>
      <c r="K59" s="78"/>
      <c r="L59" s="10"/>
    </row>
    <row r="60" spans="1:12" ht="15.9" customHeight="1" x14ac:dyDescent="0.35">
      <c r="A60" s="2"/>
      <c r="B60" s="53"/>
      <c r="C60" s="58"/>
      <c r="D60" s="80" t="s">
        <v>11</v>
      </c>
      <c r="E60" s="78"/>
      <c r="F60" s="87">
        <v>10000</v>
      </c>
      <c r="G60" s="78"/>
      <c r="H60" s="28" t="s">
        <v>6</v>
      </c>
      <c r="I60" s="78"/>
      <c r="J60" s="85" t="s">
        <v>7</v>
      </c>
      <c r="K60" s="78"/>
      <c r="L60" s="12" t="s">
        <v>6</v>
      </c>
    </row>
    <row r="61" spans="1:12" ht="5.15" customHeight="1" x14ac:dyDescent="0.4">
      <c r="A61" s="2"/>
      <c r="B61" s="53"/>
      <c r="C61" s="67"/>
      <c r="D61" s="41"/>
      <c r="E61" s="7"/>
      <c r="F61" s="86"/>
      <c r="G61" s="7"/>
      <c r="H61" s="6"/>
      <c r="I61" s="7"/>
      <c r="J61" s="86"/>
      <c r="K61" s="7"/>
      <c r="L61" s="42"/>
    </row>
    <row r="62" spans="1:12" ht="5.15" customHeight="1" x14ac:dyDescent="0.4">
      <c r="A62" s="2"/>
      <c r="B62" s="53"/>
      <c r="C62" s="58"/>
      <c r="D62" s="2"/>
      <c r="E62" s="78"/>
      <c r="F62" s="79"/>
      <c r="G62" s="78"/>
      <c r="H62" s="9"/>
      <c r="I62" s="78"/>
      <c r="J62" s="79"/>
      <c r="K62" s="78"/>
      <c r="L62" s="10"/>
    </row>
    <row r="63" spans="1:12" ht="15.9" customHeight="1" x14ac:dyDescent="0.4">
      <c r="A63" s="2"/>
      <c r="B63" s="53"/>
      <c r="C63" s="58"/>
      <c r="D63" s="80" t="s">
        <v>12</v>
      </c>
      <c r="E63" s="78"/>
      <c r="F63" s="79"/>
      <c r="G63" s="78"/>
      <c r="H63" s="9"/>
      <c r="I63" s="78"/>
      <c r="J63" s="79"/>
      <c r="K63" s="78"/>
      <c r="L63" s="10"/>
    </row>
    <row r="64" spans="1:12" ht="5.15" customHeight="1" x14ac:dyDescent="0.4">
      <c r="A64" s="2"/>
      <c r="B64" s="53"/>
      <c r="C64" s="40"/>
      <c r="D64" s="80"/>
      <c r="E64" s="78"/>
      <c r="F64" s="79"/>
      <c r="G64" s="78"/>
      <c r="H64" s="9"/>
      <c r="I64" s="78"/>
      <c r="J64" s="79"/>
      <c r="K64" s="78"/>
      <c r="L64" s="10"/>
    </row>
    <row r="65" spans="1:12" ht="15.9" customHeight="1" x14ac:dyDescent="0.35">
      <c r="A65" s="2"/>
      <c r="B65" s="53"/>
      <c r="C65" s="40"/>
      <c r="D65" s="89" t="s">
        <v>33</v>
      </c>
      <c r="E65" s="78"/>
      <c r="F65" s="95">
        <v>10000</v>
      </c>
      <c r="G65" s="78"/>
      <c r="H65" s="28" t="s">
        <v>27</v>
      </c>
      <c r="I65" s="78"/>
      <c r="J65" s="85" t="s">
        <v>7</v>
      </c>
      <c r="K65" s="78"/>
      <c r="L65" s="12" t="s">
        <v>19</v>
      </c>
    </row>
    <row r="66" spans="1:12" ht="5.15" customHeight="1" x14ac:dyDescent="0.4">
      <c r="A66" s="2"/>
      <c r="B66" s="53"/>
      <c r="C66" s="40"/>
      <c r="D66" s="24"/>
      <c r="E66" s="7"/>
      <c r="F66" s="86"/>
      <c r="G66" s="7"/>
      <c r="H66" s="6"/>
      <c r="I66" s="7"/>
      <c r="J66" s="86"/>
      <c r="K66" s="7"/>
      <c r="L66" s="42"/>
    </row>
    <row r="67" spans="1:12" ht="5.15" customHeight="1" x14ac:dyDescent="0.4">
      <c r="A67" s="2"/>
      <c r="B67" s="53"/>
      <c r="C67" s="40"/>
      <c r="D67" s="80"/>
      <c r="E67" s="78"/>
      <c r="F67" s="79"/>
      <c r="G67" s="78"/>
      <c r="H67" s="9"/>
      <c r="I67" s="78"/>
      <c r="J67" s="79"/>
      <c r="K67" s="78"/>
      <c r="L67" s="10"/>
    </row>
    <row r="68" spans="1:12" ht="15.9" customHeight="1" x14ac:dyDescent="0.35">
      <c r="A68" s="2"/>
      <c r="B68" s="53"/>
      <c r="C68" s="40"/>
      <c r="D68" s="89" t="s">
        <v>34</v>
      </c>
      <c r="E68" s="78"/>
      <c r="F68" s="81">
        <v>10000</v>
      </c>
      <c r="G68" s="78"/>
      <c r="H68" s="28" t="s">
        <v>19</v>
      </c>
      <c r="I68" s="78"/>
      <c r="J68" s="96" t="s">
        <v>7</v>
      </c>
      <c r="K68" s="78"/>
      <c r="L68" s="12" t="s">
        <v>20</v>
      </c>
    </row>
    <row r="69" spans="1:12" ht="5.15" customHeight="1" x14ac:dyDescent="0.4">
      <c r="A69" s="2"/>
      <c r="B69" s="53"/>
      <c r="C69" s="40"/>
      <c r="D69" s="24"/>
      <c r="E69" s="7"/>
      <c r="F69" s="86"/>
      <c r="G69" s="7"/>
      <c r="H69" s="6"/>
      <c r="I69" s="7"/>
      <c r="J69" s="86"/>
      <c r="K69" s="7"/>
      <c r="L69" s="42"/>
    </row>
    <row r="70" spans="1:12" ht="5.15" customHeight="1" x14ac:dyDescent="0.4">
      <c r="A70" s="2"/>
      <c r="B70" s="53"/>
      <c r="C70" s="40"/>
      <c r="D70" s="80"/>
      <c r="E70" s="78"/>
      <c r="F70" s="79"/>
      <c r="G70" s="78"/>
      <c r="H70" s="9"/>
      <c r="I70" s="78"/>
      <c r="J70" s="79"/>
      <c r="K70" s="78"/>
      <c r="L70" s="10"/>
    </row>
    <row r="71" spans="1:12" ht="15.9" customHeight="1" x14ac:dyDescent="0.35">
      <c r="A71" s="2"/>
      <c r="B71" s="53"/>
      <c r="C71" s="40"/>
      <c r="D71" s="89" t="s">
        <v>35</v>
      </c>
      <c r="E71" s="78"/>
      <c r="F71" s="81">
        <v>10000</v>
      </c>
      <c r="G71" s="78"/>
      <c r="H71" s="28" t="s">
        <v>19</v>
      </c>
      <c r="I71" s="78"/>
      <c r="J71" s="97" t="s">
        <v>7</v>
      </c>
      <c r="K71" s="78"/>
      <c r="L71" s="12" t="s">
        <v>20</v>
      </c>
    </row>
    <row r="72" spans="1:12" ht="5.15" customHeight="1" x14ac:dyDescent="0.4">
      <c r="A72" s="2"/>
      <c r="B72" s="53"/>
      <c r="C72" s="40"/>
      <c r="D72" s="24"/>
      <c r="E72" s="7"/>
      <c r="F72" s="86"/>
      <c r="G72" s="7"/>
      <c r="H72" s="6"/>
      <c r="I72" s="7"/>
      <c r="J72" s="86"/>
      <c r="K72" s="7"/>
      <c r="L72" s="42"/>
    </row>
    <row r="73" spans="1:12" ht="5.15" customHeight="1" x14ac:dyDescent="0.4">
      <c r="A73" s="2"/>
      <c r="B73" s="53"/>
      <c r="C73" s="40"/>
      <c r="D73" s="80"/>
      <c r="E73" s="78"/>
      <c r="F73" s="79"/>
      <c r="G73" s="78"/>
      <c r="H73" s="9"/>
      <c r="I73" s="78"/>
      <c r="J73" s="79"/>
      <c r="K73" s="78"/>
      <c r="L73" s="10"/>
    </row>
    <row r="74" spans="1:12" ht="15.9" customHeight="1" x14ac:dyDescent="0.35">
      <c r="A74" s="2"/>
      <c r="B74" s="53"/>
      <c r="C74" s="40"/>
      <c r="D74" s="89" t="s">
        <v>36</v>
      </c>
      <c r="E74" s="78"/>
      <c r="F74" s="81">
        <v>10000</v>
      </c>
      <c r="G74" s="78"/>
      <c r="H74" s="28" t="s">
        <v>19</v>
      </c>
      <c r="I74" s="78"/>
      <c r="J74" s="98" t="s">
        <v>7</v>
      </c>
      <c r="K74" s="78"/>
      <c r="L74" s="12" t="s">
        <v>20</v>
      </c>
    </row>
    <row r="75" spans="1:12" ht="5.15" customHeight="1" x14ac:dyDescent="0.4">
      <c r="A75" s="2"/>
      <c r="B75" s="53"/>
      <c r="C75" s="40"/>
      <c r="D75" s="24"/>
      <c r="E75" s="7"/>
      <c r="F75" s="86"/>
      <c r="G75" s="7"/>
      <c r="H75" s="6"/>
      <c r="I75" s="7"/>
      <c r="J75" s="86"/>
      <c r="K75" s="7"/>
      <c r="L75" s="42"/>
    </row>
    <row r="76" spans="1:12" ht="5.15" customHeight="1" x14ac:dyDescent="0.4">
      <c r="A76" s="2"/>
      <c r="B76" s="53"/>
      <c r="C76" s="40"/>
      <c r="D76" s="80"/>
      <c r="E76" s="78"/>
      <c r="F76" s="79"/>
      <c r="G76" s="78"/>
      <c r="H76" s="9"/>
      <c r="I76" s="78"/>
      <c r="J76" s="79"/>
      <c r="K76" s="78"/>
      <c r="L76" s="10"/>
    </row>
    <row r="77" spans="1:12" ht="15.9" customHeight="1" x14ac:dyDescent="0.35">
      <c r="A77" s="2"/>
      <c r="B77" s="53"/>
      <c r="C77" s="40"/>
      <c r="D77" s="89" t="s">
        <v>37</v>
      </c>
      <c r="E77" s="78"/>
      <c r="F77" s="81">
        <v>10000</v>
      </c>
      <c r="G77" s="78"/>
      <c r="H77" s="28" t="s">
        <v>19</v>
      </c>
      <c r="I77" s="78"/>
      <c r="J77" s="99" t="s">
        <v>7</v>
      </c>
      <c r="K77" s="78"/>
      <c r="L77" s="12" t="s">
        <v>20</v>
      </c>
    </row>
    <row r="78" spans="1:12" ht="5.15" customHeight="1" x14ac:dyDescent="0.4">
      <c r="A78" s="2"/>
      <c r="B78" s="53"/>
      <c r="C78" s="40"/>
      <c r="D78" s="24"/>
      <c r="E78" s="7"/>
      <c r="F78" s="86"/>
      <c r="G78" s="7"/>
      <c r="H78" s="6"/>
      <c r="I78" s="7"/>
      <c r="J78" s="86"/>
      <c r="K78" s="7"/>
      <c r="L78" s="42"/>
    </row>
    <row r="79" spans="1:12" ht="5.15" customHeight="1" x14ac:dyDescent="0.4">
      <c r="A79" s="2"/>
      <c r="B79" s="53"/>
      <c r="C79" s="40"/>
      <c r="D79" s="80"/>
      <c r="E79" s="78"/>
      <c r="F79" s="79"/>
      <c r="G79" s="78"/>
      <c r="H79" s="9"/>
      <c r="I79" s="78"/>
      <c r="J79" s="79"/>
      <c r="K79" s="78"/>
      <c r="L79" s="10"/>
    </row>
    <row r="80" spans="1:12" ht="15.9" customHeight="1" x14ac:dyDescent="0.35">
      <c r="A80" s="2"/>
      <c r="B80" s="53"/>
      <c r="C80" s="40"/>
      <c r="D80" s="89" t="s">
        <v>38</v>
      </c>
      <c r="E80" s="78"/>
      <c r="F80" s="81">
        <v>10000</v>
      </c>
      <c r="G80" s="78"/>
      <c r="H80" s="28" t="s">
        <v>19</v>
      </c>
      <c r="I80" s="78"/>
      <c r="J80" s="100" t="s">
        <v>7</v>
      </c>
      <c r="K80" s="78"/>
      <c r="L80" s="12" t="s">
        <v>20</v>
      </c>
    </row>
    <row r="81" spans="1:12" ht="5.15" customHeight="1" x14ac:dyDescent="0.4">
      <c r="A81" s="2"/>
      <c r="B81" s="53"/>
      <c r="C81" s="40"/>
      <c r="D81" s="24"/>
      <c r="E81" s="7"/>
      <c r="F81" s="86"/>
      <c r="G81" s="7"/>
      <c r="H81" s="6"/>
      <c r="I81" s="7"/>
      <c r="J81" s="86"/>
      <c r="K81" s="7"/>
      <c r="L81" s="42"/>
    </row>
    <row r="82" spans="1:12" ht="5.15" customHeight="1" x14ac:dyDescent="0.4">
      <c r="A82" s="2"/>
      <c r="B82" s="53"/>
      <c r="C82" s="40"/>
      <c r="D82" s="80"/>
      <c r="E82" s="78"/>
      <c r="F82" s="79"/>
      <c r="G82" s="78"/>
      <c r="H82" s="9"/>
      <c r="I82" s="78"/>
      <c r="J82" s="79"/>
      <c r="K82" s="78"/>
      <c r="L82" s="10"/>
    </row>
    <row r="83" spans="1:12" ht="15.9" customHeight="1" x14ac:dyDescent="0.35">
      <c r="A83" s="2"/>
      <c r="B83" s="53"/>
      <c r="C83" s="40"/>
      <c r="D83" s="89" t="s">
        <v>39</v>
      </c>
      <c r="E83" s="78"/>
      <c r="F83" s="81">
        <v>10000</v>
      </c>
      <c r="G83" s="78"/>
      <c r="H83" s="28" t="s">
        <v>19</v>
      </c>
      <c r="I83" s="78"/>
      <c r="J83" s="101" t="s">
        <v>7</v>
      </c>
      <c r="K83" s="78"/>
      <c r="L83" s="12" t="s">
        <v>20</v>
      </c>
    </row>
    <row r="84" spans="1:12" ht="5.15" customHeight="1" x14ac:dyDescent="0.4">
      <c r="A84" s="2"/>
      <c r="B84" s="53"/>
      <c r="C84" s="40"/>
      <c r="D84" s="24"/>
      <c r="E84" s="7"/>
      <c r="F84" s="86"/>
      <c r="G84" s="7"/>
      <c r="H84" s="6"/>
      <c r="I84" s="7"/>
      <c r="J84" s="86"/>
      <c r="K84" s="7"/>
      <c r="L84" s="42"/>
    </row>
    <row r="85" spans="1:12" ht="21.9" customHeight="1" x14ac:dyDescent="0.4">
      <c r="A85" s="2"/>
      <c r="B85" s="53"/>
      <c r="C85" s="40"/>
      <c r="D85" s="2"/>
      <c r="E85" s="2"/>
      <c r="F85" s="76"/>
      <c r="G85" s="2"/>
      <c r="H85" s="9"/>
      <c r="I85" s="2"/>
      <c r="J85" s="76"/>
      <c r="K85" s="2"/>
      <c r="L85" s="10"/>
    </row>
    <row r="86" spans="1:12" ht="5.15" customHeight="1" thickBot="1" x14ac:dyDescent="0.45">
      <c r="A86" s="2"/>
      <c r="B86" s="59"/>
      <c r="C86" s="43"/>
      <c r="D86" s="29"/>
      <c r="E86" s="29"/>
      <c r="F86" s="94"/>
      <c r="G86" s="29"/>
      <c r="H86" s="31"/>
      <c r="I86" s="29"/>
      <c r="J86" s="94"/>
      <c r="K86" s="29"/>
      <c r="L86" s="32"/>
    </row>
    <row r="87" spans="1:12" ht="24.65" customHeight="1" x14ac:dyDescent="0.4">
      <c r="A87" s="2"/>
      <c r="B87" s="2"/>
      <c r="C87" s="2"/>
      <c r="D87" s="2"/>
      <c r="E87" s="2"/>
      <c r="F87" s="76"/>
      <c r="G87" s="2"/>
      <c r="H87" s="2"/>
      <c r="I87" s="2"/>
      <c r="J87" s="76"/>
      <c r="K87" s="2"/>
      <c r="L87" s="2"/>
    </row>
    <row r="88" spans="1:12" ht="15" thickBot="1" x14ac:dyDescent="0.45">
      <c r="A88" s="2"/>
      <c r="B88" s="2"/>
      <c r="C88" s="2"/>
      <c r="D88" s="2"/>
      <c r="E88" s="2"/>
      <c r="F88" s="76"/>
      <c r="G88" s="2"/>
      <c r="H88" s="2"/>
      <c r="I88" s="2"/>
      <c r="J88" s="76"/>
      <c r="K88" s="2"/>
      <c r="L88" s="2"/>
    </row>
    <row r="89" spans="1:12" ht="28.4" customHeight="1" x14ac:dyDescent="0.35">
      <c r="A89" s="2"/>
      <c r="B89" s="61" t="s">
        <v>13</v>
      </c>
      <c r="C89" s="62"/>
      <c r="D89" s="62"/>
      <c r="E89" s="62"/>
      <c r="F89" s="62"/>
      <c r="G89" s="62"/>
      <c r="H89" s="62"/>
      <c r="I89" s="62"/>
      <c r="J89" s="62"/>
      <c r="K89" s="62"/>
      <c r="L89" s="63"/>
    </row>
    <row r="90" spans="1:12" ht="28.4" customHeight="1" x14ac:dyDescent="0.35">
      <c r="A90" s="2"/>
      <c r="B90" s="64"/>
      <c r="C90" s="65"/>
      <c r="D90" s="65"/>
      <c r="E90" s="65"/>
      <c r="F90" s="65"/>
      <c r="G90" s="65"/>
      <c r="H90" s="65"/>
      <c r="I90" s="65"/>
      <c r="J90" s="65"/>
      <c r="K90" s="65"/>
      <c r="L90" s="66"/>
    </row>
    <row r="91" spans="1:12" ht="21.75" customHeight="1" x14ac:dyDescent="0.4">
      <c r="A91" s="2"/>
      <c r="B91" s="68" t="s">
        <v>4</v>
      </c>
      <c r="C91" s="2"/>
      <c r="D91" s="2"/>
      <c r="E91" s="2"/>
      <c r="F91" s="76"/>
      <c r="G91" s="2"/>
      <c r="H91" s="2"/>
      <c r="I91" s="2"/>
      <c r="J91" s="76"/>
      <c r="K91" s="2"/>
      <c r="L91" s="10"/>
    </row>
    <row r="92" spans="1:12" ht="18" customHeight="1" x14ac:dyDescent="0.35">
      <c r="A92" s="2"/>
      <c r="B92" s="53"/>
      <c r="C92" s="5"/>
      <c r="D92" s="6"/>
      <c r="E92" s="54" t="s">
        <v>1</v>
      </c>
      <c r="F92" s="55"/>
      <c r="G92" s="56"/>
      <c r="H92" s="4" t="s">
        <v>2</v>
      </c>
      <c r="I92" s="54" t="s">
        <v>3</v>
      </c>
      <c r="J92" s="55"/>
      <c r="K92" s="56"/>
      <c r="L92" s="11" t="s">
        <v>2</v>
      </c>
    </row>
    <row r="93" spans="1:12" ht="5.15" customHeight="1" x14ac:dyDescent="0.4">
      <c r="A93" s="2"/>
      <c r="B93" s="53"/>
      <c r="C93" s="57"/>
      <c r="D93" s="2"/>
      <c r="E93" s="78"/>
      <c r="F93" s="79"/>
      <c r="G93" s="78"/>
      <c r="H93" s="8"/>
      <c r="I93" s="78"/>
      <c r="J93" s="79"/>
      <c r="K93" s="78"/>
      <c r="L93" s="10"/>
    </row>
    <row r="94" spans="1:12" ht="15.75" customHeight="1" x14ac:dyDescent="0.35">
      <c r="A94" s="2"/>
      <c r="B94" s="53"/>
      <c r="C94" s="58"/>
      <c r="D94" s="80" t="s">
        <v>14</v>
      </c>
      <c r="E94" s="78"/>
      <c r="F94" s="102">
        <v>10000</v>
      </c>
      <c r="G94" s="78"/>
      <c r="H94" s="28" t="s">
        <v>6</v>
      </c>
      <c r="I94" s="78"/>
      <c r="J94" s="85" t="s">
        <v>7</v>
      </c>
      <c r="K94" s="78"/>
      <c r="L94" s="12" t="s">
        <v>6</v>
      </c>
    </row>
    <row r="95" spans="1:12" ht="5.15" customHeight="1" x14ac:dyDescent="0.4">
      <c r="A95" s="2"/>
      <c r="B95" s="53"/>
      <c r="C95" s="67"/>
      <c r="D95" s="41"/>
      <c r="E95" s="7"/>
      <c r="F95" s="86"/>
      <c r="G95" s="7"/>
      <c r="H95" s="6"/>
      <c r="I95" s="7"/>
      <c r="J95" s="86"/>
      <c r="K95" s="7"/>
      <c r="L95" s="42"/>
    </row>
    <row r="96" spans="1:12" ht="5.15" customHeight="1" x14ac:dyDescent="0.4">
      <c r="A96" s="2"/>
      <c r="B96" s="53"/>
      <c r="C96" s="58"/>
      <c r="D96" s="2"/>
      <c r="E96" s="78"/>
      <c r="F96" s="79"/>
      <c r="G96" s="78"/>
      <c r="H96" s="9"/>
      <c r="I96" s="78"/>
      <c r="J96" s="79"/>
      <c r="K96" s="78"/>
      <c r="L96" s="10"/>
    </row>
    <row r="97" spans="1:12" ht="15.75" customHeight="1" x14ac:dyDescent="0.35">
      <c r="A97" s="2"/>
      <c r="B97" s="53"/>
      <c r="C97" s="58"/>
      <c r="D97" s="80" t="s">
        <v>15</v>
      </c>
      <c r="E97" s="78"/>
      <c r="F97" s="102">
        <v>10000</v>
      </c>
      <c r="G97" s="78"/>
      <c r="H97" s="28" t="s">
        <v>6</v>
      </c>
      <c r="I97" s="78"/>
      <c r="J97" s="85" t="s">
        <v>7</v>
      </c>
      <c r="K97" s="78"/>
      <c r="L97" s="12" t="s">
        <v>6</v>
      </c>
    </row>
    <row r="98" spans="1:12" ht="5.15" customHeight="1" x14ac:dyDescent="0.4">
      <c r="A98" s="2"/>
      <c r="B98" s="69"/>
      <c r="C98" s="67"/>
      <c r="D98" s="41"/>
      <c r="E98" s="7"/>
      <c r="F98" s="86"/>
      <c r="G98" s="7"/>
      <c r="H98" s="6"/>
      <c r="I98" s="7"/>
      <c r="J98" s="86"/>
      <c r="K98" s="7"/>
      <c r="L98" s="42"/>
    </row>
    <row r="99" spans="1:12" ht="21.75" customHeight="1" x14ac:dyDescent="0.4">
      <c r="A99" s="2"/>
      <c r="B99" s="68" t="s">
        <v>8</v>
      </c>
      <c r="C99" s="2"/>
      <c r="D99" s="2"/>
      <c r="E99" s="2"/>
      <c r="F99" s="76"/>
      <c r="G99" s="2"/>
      <c r="H99" s="2"/>
      <c r="I99" s="2"/>
      <c r="J99" s="76"/>
      <c r="K99" s="2"/>
      <c r="L99" s="10"/>
    </row>
    <row r="100" spans="1:12" ht="18" customHeight="1" x14ac:dyDescent="0.35">
      <c r="A100" s="2"/>
      <c r="B100" s="53"/>
      <c r="C100" s="5"/>
      <c r="D100" s="6"/>
      <c r="E100" s="54" t="s">
        <v>1</v>
      </c>
      <c r="F100" s="55"/>
      <c r="G100" s="56"/>
      <c r="H100" s="4" t="s">
        <v>2</v>
      </c>
      <c r="I100" s="54" t="s">
        <v>3</v>
      </c>
      <c r="J100" s="55"/>
      <c r="K100" s="56"/>
      <c r="L100" s="11" t="s">
        <v>2</v>
      </c>
    </row>
    <row r="101" spans="1:12" ht="5.15" customHeight="1" x14ac:dyDescent="0.4">
      <c r="A101" s="2"/>
      <c r="B101" s="53"/>
      <c r="C101" s="57"/>
      <c r="D101" s="2"/>
      <c r="E101" s="78"/>
      <c r="F101" s="79"/>
      <c r="G101" s="78"/>
      <c r="H101" s="8"/>
      <c r="I101" s="78"/>
      <c r="J101" s="79"/>
      <c r="K101" s="78"/>
      <c r="L101" s="10"/>
    </row>
    <row r="102" spans="1:12" ht="15.75" customHeight="1" x14ac:dyDescent="0.35">
      <c r="A102" s="2"/>
      <c r="B102" s="53"/>
      <c r="C102" s="58"/>
      <c r="D102" s="80" t="s">
        <v>14</v>
      </c>
      <c r="E102" s="78"/>
      <c r="F102" s="102">
        <v>10000</v>
      </c>
      <c r="G102" s="78"/>
      <c r="H102" s="28" t="s">
        <v>6</v>
      </c>
      <c r="I102" s="78"/>
      <c r="J102" s="85" t="s">
        <v>7</v>
      </c>
      <c r="K102" s="78"/>
      <c r="L102" s="12" t="s">
        <v>6</v>
      </c>
    </row>
    <row r="103" spans="1:12" ht="5.15" customHeight="1" x14ac:dyDescent="0.4">
      <c r="A103" s="2"/>
      <c r="B103" s="53"/>
      <c r="C103" s="67"/>
      <c r="D103" s="41"/>
      <c r="E103" s="7"/>
      <c r="F103" s="86"/>
      <c r="G103" s="7"/>
      <c r="H103" s="6"/>
      <c r="I103" s="7"/>
      <c r="J103" s="86"/>
      <c r="K103" s="7"/>
      <c r="L103" s="42"/>
    </row>
    <row r="104" spans="1:12" ht="5.15" customHeight="1" x14ac:dyDescent="0.4">
      <c r="A104" s="2"/>
      <c r="B104" s="53"/>
      <c r="C104" s="58"/>
      <c r="D104" s="2"/>
      <c r="E104" s="78"/>
      <c r="F104" s="79"/>
      <c r="G104" s="78"/>
      <c r="H104" s="9"/>
      <c r="I104" s="78"/>
      <c r="J104" s="79"/>
      <c r="K104" s="78"/>
      <c r="L104" s="10"/>
    </row>
    <row r="105" spans="1:12" ht="15.75" customHeight="1" x14ac:dyDescent="0.35">
      <c r="A105" s="2"/>
      <c r="B105" s="53"/>
      <c r="C105" s="58"/>
      <c r="D105" s="80" t="s">
        <v>15</v>
      </c>
      <c r="E105" s="78"/>
      <c r="F105" s="102">
        <v>10000</v>
      </c>
      <c r="G105" s="78"/>
      <c r="H105" s="28" t="s">
        <v>6</v>
      </c>
      <c r="I105" s="78"/>
      <c r="J105" s="85" t="s">
        <v>7</v>
      </c>
      <c r="K105" s="78"/>
      <c r="L105" s="12" t="s">
        <v>6</v>
      </c>
    </row>
    <row r="106" spans="1:12" ht="5.15" customHeight="1" thickBot="1" x14ac:dyDescent="0.45">
      <c r="A106" s="2"/>
      <c r="B106" s="59"/>
      <c r="C106" s="60"/>
      <c r="D106" s="29"/>
      <c r="E106" s="30"/>
      <c r="F106" s="83"/>
      <c r="G106" s="30"/>
      <c r="H106" s="31"/>
      <c r="I106" s="30"/>
      <c r="J106" s="83"/>
      <c r="K106" s="30"/>
      <c r="L106" s="32"/>
    </row>
    <row r="107" spans="1:12" ht="15" customHeight="1" x14ac:dyDescent="0.4">
      <c r="A107" s="2"/>
      <c r="B107" s="2"/>
      <c r="C107" s="2"/>
      <c r="D107" s="2"/>
      <c r="E107" s="2"/>
      <c r="F107" s="76"/>
      <c r="G107" s="2"/>
      <c r="H107" s="2"/>
      <c r="I107" s="2"/>
      <c r="J107" s="76"/>
      <c r="K107" s="2"/>
      <c r="L107" s="2"/>
    </row>
  </sheetData>
  <sheetProtection algorithmName="SHA-512" hashValue="VEj5/2wOoJWElf1vPh9oM/ULJMyylBpQ7DfhWwQ4EU0J4Bchvwjmkzdr2+8qxM6ecQa3ViqW4Ax3LcUjQgmYSA==" saltValue="1e67d7iGcxK4U6CA61N10Q=="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70"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6170" r:id="rId5" name="cbApplyOddEvenFormatting"/>
      </mc:Fallback>
    </mc:AlternateContent>
    <mc:AlternateContent xmlns:mc="http://schemas.openxmlformats.org/markup-compatibility/2006">
      <mc:Choice Requires="x14">
        <control shapeId="6154"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6154" r:id="rId7" name="cbApplyMemberFormatting"/>
      </mc:Fallback>
    </mc:AlternateContent>
    <mc:AlternateContent xmlns:mc="http://schemas.openxmlformats.org/markup-compatibility/2006">
      <mc:Choice Requires="x14">
        <control shapeId="6145"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6145" r:id="rId9" name="cbApplyLevelFormatting"/>
      </mc:Fallback>
    </mc:AlternateContent>
    <mc:AlternateContent xmlns:mc="http://schemas.openxmlformats.org/markup-compatibility/2006">
      <mc:Choice Requires="x14">
        <control shapeId="6146"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6147"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6148"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6149"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6150"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6151"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6152"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6153"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6155"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6156"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6157"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6158"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6159"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6160"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6161"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6162"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6163"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6164"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6165"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6166"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6167"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6168"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6169"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6171"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6172"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6173"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6174"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6175"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6176"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6177"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6178"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6179"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6180"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6181"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6182"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6183"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6184"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6185"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6186"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6187"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6188"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6189"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6190"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6191"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6192"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6193"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6194"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6195"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6196"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6197"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6198"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6199"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6200"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6201"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6202"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6203"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6204"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6205"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6206"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6207"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6208"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6209"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6210"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6211"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6212"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6213"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90" zoomScaleNormal="90" workbookViewId="0">
      <pane xSplit="10" ySplit="3" topLeftCell="K8" activePane="bottomRight" state="frozen"/>
      <selection activeCell="Y9" sqref="Y9"/>
      <selection pane="topRight" activeCell="Y9" sqref="Y9"/>
      <selection pane="bottomLeft" activeCell="Y9" sqref="Y9"/>
      <selection pane="bottomRight" activeCell="I14" sqref="I14"/>
    </sheetView>
  </sheetViews>
  <sheetFormatPr defaultRowHeight="14.6" x14ac:dyDescent="0.4"/>
  <cols>
    <col min="1" max="5" width="1.3828125" bestFit="1" customWidth="1"/>
    <col min="6" max="7" width="12.53515625" bestFit="1" customWidth="1"/>
    <col min="8" max="8" width="13.3046875" bestFit="1" customWidth="1"/>
    <col min="9" max="9" width="23.3046875" bestFit="1" customWidth="1"/>
    <col min="10" max="10" width="22.07421875" bestFit="1" customWidth="1"/>
    <col min="11" max="30" width="9.1523437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0" t="s">
        <v>28</v>
      </c>
      <c r="B1" s="71"/>
      <c r="C1" s="71"/>
      <c r="D1" s="71"/>
      <c r="E1" s="71"/>
      <c r="F1" s="71"/>
      <c r="G1" s="71"/>
      <c r="H1" s="71"/>
      <c r="I1" s="71"/>
      <c r="J1" s="71"/>
      <c r="K1" s="72" t="str">
        <f>" "&amp;IFERROR(IF(SOP_Favorite_Name&lt;&gt;" ",SOP_Favorite_Name,IF(SOP_Template_Name&lt;&gt;" ",SOP_Template_Name,"Ad Hoc Planning View")),"Offline")</f>
        <v xml:space="preserve"> Show Master Data Details</v>
      </c>
      <c r="L1" s="72"/>
      <c r="M1" s="72"/>
      <c r="N1" s="72"/>
      <c r="O1" s="72"/>
      <c r="P1" s="72"/>
      <c r="Q1" s="73"/>
      <c r="R1" s="73"/>
      <c r="S1" s="73"/>
      <c r="T1" s="73"/>
      <c r="U1" s="73"/>
      <c r="V1" s="7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4"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(1 criteria):
Product Family = FAMILY 400-SMARTPHONES
</v>
      </c>
      <c r="B2" s="74"/>
      <c r="C2" s="74"/>
      <c r="D2" s="74"/>
      <c r="E2" s="74"/>
      <c r="F2" s="74"/>
      <c r="G2" s="74"/>
      <c r="H2" s="74"/>
      <c r="I2" s="74"/>
      <c r="J2" s="74"/>
      <c r="K2" s="75" t="str">
        <f>"  Last Refresh: "&amp;IFERROR(YEAR(SOP_Refresh_Timestamp)&amp;"-"&amp;TEXT(SOP_Refresh_Timestamp,"MMM")&amp;"-"&amp;DAY(SOP_Refresh_Timestamp)&amp;"   "&amp;TEXT(SOP_Refresh_Timestamp,"HH:MM:SS"),"Offline")</f>
        <v xml:space="preserve">  Last Refresh: 2022-Apr-1   17:04:11</v>
      </c>
      <c r="L2" s="75"/>
      <c r="M2" s="75"/>
      <c r="N2" s="75"/>
      <c r="O2" s="75"/>
      <c r="P2" s="75"/>
      <c r="Q2" s="75"/>
      <c r="R2" s="75"/>
      <c r="S2" s="75"/>
      <c r="T2" s="75"/>
      <c r="U2" s="75"/>
      <c r="V2" s="75"/>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Location ID</v>
      </c>
      <c r="H3" s="39" t="str">
        <f>SOP_Heading3</f>
        <v>Customer ID</v>
      </c>
      <c r="I3" s="39" t="str">
        <f>SOP_Heading2</f>
        <v>Product ID</v>
      </c>
      <c r="J3" s="39" t="str">
        <f>SOP_Heading1</f>
        <v>Key Figure</v>
      </c>
      <c r="K3" s="25" t="str">
        <f xml:space="preserve"> _xll.EPMOlapMemberO("[PERIODID4].[].[62727]","","W13 2022","","000")</f>
        <v>W13 2022</v>
      </c>
      <c r="L3" s="25" t="str">
        <f xml:space="preserve"> _xll.EPMOlapMemberO("[PERIODID4].[].[62728]","","W14 2022","","000")</f>
        <v>W14 2022</v>
      </c>
      <c r="M3" s="25" t="str">
        <f xml:space="preserve"> _xll.EPMOlapMemberO("[PERIODID4].[].[62729]","","W15 2022","","000")</f>
        <v>W15 2022</v>
      </c>
      <c r="N3" s="25" t="str">
        <f xml:space="preserve"> _xll.EPMOlapMemberO("[PERIODID4].[].[62730]","","W16 2022","","000")</f>
        <v>W16 2022</v>
      </c>
      <c r="O3" s="25" t="str">
        <f xml:space="preserve"> _xll.EPMOlapMemberO("[PERIODID4].[].[62731]","","W17 2022","","000")</f>
        <v>W17 2022</v>
      </c>
      <c r="P3" s="25" t="str">
        <f xml:space="preserve"> _xll.EPMOlapMemberO("[PERIODID4].[].[62732]","","W18 2022","","000")</f>
        <v>W18 2022</v>
      </c>
      <c r="Q3" s="25" t="str">
        <f xml:space="preserve"> _xll.EPMOlapMemberO("[PERIODID4].[].[62733]","","W19 2022","","000")</f>
        <v>W19 2022</v>
      </c>
      <c r="R3" s="25" t="str">
        <f xml:space="preserve"> _xll.EPMOlapMemberO("[PERIODID4].[].[62734]","","W20 2022","","000")</f>
        <v>W20 2022</v>
      </c>
      <c r="S3" s="25" t="str">
        <f xml:space="preserve"> _xll.EPMOlapMemberO("[PERIODID4].[].[62735]","","W21 2022","","000")</f>
        <v>W21 2022</v>
      </c>
      <c r="T3" s="25" t="str">
        <f xml:space="preserve"> _xll.EPMOlapMemberO("[PERIODID4].[].[62736]","","W22 2022","","000")</f>
        <v>W22 2022</v>
      </c>
      <c r="U3" s="25" t="str">
        <f xml:space="preserve"> _xll.EPMOlapMemberO("[PERIODID4].[].[62737]","","W23 2022","","000")</f>
        <v>W23 2022</v>
      </c>
      <c r="V3" s="25" t="str">
        <f xml:space="preserve"> _xll.EPMOlapMemberO("[PERIODID4].[].[62738]","","W24 2022","","000")</f>
        <v>W24 2022</v>
      </c>
      <c r="W3" s="25" t="str">
        <f xml:space="preserve"> _xll.EPMOlapMemberO("[PERIODID4].[].[62739]","","W25 2022","","000")</f>
        <v>W25 2022</v>
      </c>
      <c r="X3" s="25" t="str">
        <f xml:space="preserve"> _xll.EPMOlapMemberO("[PERIODID4].[].[62740]","","W26 2022","","000")</f>
        <v>W26 2022</v>
      </c>
      <c r="Y3" s="25" t="str">
        <f xml:space="preserve"> _xll.EPMOlapMemberO("[PERIODID4].[].[62741]","","W27 2022","","000")</f>
        <v>W27 2022</v>
      </c>
      <c r="Z3" s="25" t="str">
        <f xml:space="preserve"> _xll.EPMOlapMemberO("[PERIODID4].[].[62742]","","W28 2022","","000")</f>
        <v>W28 2022</v>
      </c>
      <c r="AA3" s="25" t="str">
        <f xml:space="preserve"> _xll.EPMOlapMemberO("[PERIODID4].[].[62743]","","W29 2022","","000")</f>
        <v>W29 2022</v>
      </c>
      <c r="AB3" s="25" t="str">
        <f xml:space="preserve"> _xll.EPMOlapMemberO("[PERIODID4].[].[62744]","","W30 2022","","000")</f>
        <v>W30 2022</v>
      </c>
      <c r="AC3" s="25" t="str">
        <f xml:space="preserve"> _xll.EPMOlapMemberO("[PERIODID4].[].[62745]","","W31 2022","","000")</f>
        <v>W31 2022</v>
      </c>
      <c r="AD3" s="25" t="str">
        <f xml:space="preserve"> _xll.EPMOlapMemberO("[PERIODID4].[].[62746]","","W32 2022","","000")</f>
        <v>W32 2022</v>
      </c>
      <c r="AE3"/>
      <c r="AF3"/>
      <c r="AG3"/>
      <c r="AH3"/>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G4" s="20" t="str">
        <f xml:space="preserve"> _xll.EPMOlapMemberO("[LOCID].[].[__NULL]","","(None)","","000")</f>
        <v>(None)</v>
      </c>
      <c r="H4" s="20" t="str">
        <f xml:space="preserve"> _xll.EPMOlapMemberO("[CUSTID].[].[0037100001]","","0037100001","","000")</f>
        <v>0037100001</v>
      </c>
      <c r="I4" s="20" t="str">
        <f xml:space="preserve"> _xll.EPMOlapMemberO("[PRDID].[].[FG126]","","FIN126,MTS-DI,PD,SerialNo","","000")</f>
        <v>FIN126,MTS-DI,PD,SerialNo</v>
      </c>
      <c r="J4" s="20" t="str">
        <f xml:space="preserve"> _xll.EPMOlapMemberO("[KEY_FIGURES].[].[CONSENSUSDEMAND]","","Consensus Demand","","000")</f>
        <v>Consensus Demand</v>
      </c>
      <c r="K4" s="27"/>
      <c r="L4" s="27"/>
      <c r="M4" s="27"/>
      <c r="N4" s="27"/>
      <c r="O4" s="27"/>
      <c r="P4" s="27"/>
      <c r="Q4" s="27"/>
      <c r="R4" s="27"/>
      <c r="S4" s="27"/>
      <c r="T4" s="27"/>
      <c r="U4" s="27"/>
      <c r="V4" s="27"/>
      <c r="W4" s="27"/>
      <c r="X4" s="27"/>
      <c r="Y4" s="27"/>
      <c r="Z4" s="27"/>
      <c r="AA4" s="27"/>
      <c r="AB4" s="27"/>
      <c r="AC4" s="27"/>
      <c r="AD4" s="27"/>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G5" s="20"/>
      <c r="H5" s="20" t="str">
        <f xml:space="preserve"> _xll.EPMOlapMemberO("[CUSTID].[].[0037100002]","","0037100002","","000")</f>
        <v>0037100002</v>
      </c>
      <c r="I5" s="20" t="str">
        <f xml:space="preserve"> _xll.EPMOlapMemberO("[PRDID].[].[FG126]","","FIN126,MTS-DI,PD,SerialNo","","000")</f>
        <v>FIN126,MTS-DI,PD,SerialNo</v>
      </c>
      <c r="J5" s="20" t="str">
        <f xml:space="preserve"> _xll.EPMOlapMemberO("[KEY_FIGURES].[].[CONSENSUSDEMAND]","","Consensus Demand","","000")</f>
        <v>Consensus Demand</v>
      </c>
      <c r="K5" s="27"/>
      <c r="L5" s="27"/>
      <c r="M5" s="27"/>
      <c r="N5" s="27"/>
      <c r="O5" s="27"/>
      <c r="P5" s="27"/>
      <c r="Q5" s="27"/>
      <c r="R5" s="27"/>
      <c r="S5" s="27"/>
      <c r="T5" s="27"/>
      <c r="U5" s="27"/>
      <c r="V5" s="27"/>
      <c r="W5" s="27"/>
      <c r="X5" s="27"/>
      <c r="Y5" s="27"/>
      <c r="Z5" s="27"/>
      <c r="AA5" s="27"/>
      <c r="AB5" s="27"/>
      <c r="AC5" s="27"/>
      <c r="AD5" s="27"/>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G6" s="20"/>
      <c r="H6" s="20" t="str">
        <f xml:space="preserve"> _xll.EPMOlapMemberO("[CUSTID].[].[0062100001]","","0062100001","","000")</f>
        <v>0062100001</v>
      </c>
      <c r="I6" s="20" t="str">
        <f xml:space="preserve"> _xll.EPMOlapMemberO("[PRDID].[].[FG126]","","FIN126,MTS-DI,PD,SerialNo","","000")</f>
        <v>FIN126,MTS-DI,PD,SerialNo</v>
      </c>
      <c r="J6" s="20" t="str">
        <f xml:space="preserve"> _xll.EPMOlapMemberO("[KEY_FIGURES].[].[CONSENSUSDEMAND]","","Consensus Demand","","000")</f>
        <v>Consensus Demand</v>
      </c>
      <c r="K6" s="27"/>
      <c r="L6" s="27"/>
      <c r="M6" s="27"/>
      <c r="N6" s="27"/>
      <c r="O6" s="27"/>
      <c r="P6" s="27"/>
      <c r="Q6" s="27"/>
      <c r="R6" s="27"/>
      <c r="S6" s="27"/>
      <c r="T6" s="27"/>
      <c r="U6" s="27"/>
      <c r="V6" s="27"/>
      <c r="W6" s="27"/>
      <c r="X6" s="27"/>
      <c r="Y6" s="27"/>
      <c r="Z6" s="27"/>
      <c r="AA6" s="27"/>
      <c r="AB6" s="27"/>
      <c r="AC6" s="27"/>
      <c r="AD6" s="27"/>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G7" s="20"/>
      <c r="H7" s="20" t="str">
        <f xml:space="preserve"> _xll.EPMOlapMemberO("[CUSTID].[].[0062100003]","","0062100003","","000")</f>
        <v>0062100003</v>
      </c>
      <c r="I7" s="20" t="str">
        <f xml:space="preserve"> _xll.EPMOlapMemberO("[PRDID].[].[FG126]","","FIN126,MTS-DI,PD,SerialNo","","000")</f>
        <v>FIN126,MTS-DI,PD,SerialNo</v>
      </c>
      <c r="J7" s="20" t="str">
        <f xml:space="preserve"> _xll.EPMOlapMemberO("[KEY_FIGURES].[].[CONSENSUSDEMAND]","","Consensus Demand","","000")</f>
        <v>Consensus Demand</v>
      </c>
      <c r="K7" s="27"/>
      <c r="L7" s="27"/>
      <c r="M7" s="27"/>
      <c r="N7" s="27"/>
      <c r="O7" s="27"/>
      <c r="P7" s="27"/>
      <c r="Q7" s="27"/>
      <c r="R7" s="27"/>
      <c r="S7" s="27"/>
      <c r="T7" s="27"/>
      <c r="U7" s="27"/>
      <c r="V7" s="27"/>
      <c r="W7" s="27"/>
      <c r="X7" s="27"/>
      <c r="Y7" s="27"/>
      <c r="Z7" s="27"/>
      <c r="AA7" s="27"/>
      <c r="AB7" s="27"/>
      <c r="AC7" s="27"/>
      <c r="AD7" s="27"/>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G8" s="20" t="str">
        <f xml:space="preserve"> _xll.EPMOlapMemberO("[LOCID].[].[6210]","","DC Hong Kong","","000")</f>
        <v>DC Hong Kong</v>
      </c>
      <c r="H8" s="20" t="str">
        <f xml:space="preserve"> _xll.EPMOlapMemberO("[CUSTID].[].[0062100001]","","0062100001","","000")</f>
        <v>0062100001</v>
      </c>
      <c r="I8" s="20" t="str">
        <f xml:space="preserve"> _xll.EPMOlapMemberO("[PRDID].[].[FG126]","","FIN126,MTS-DI,PD,SerialNo","","000")</f>
        <v>FIN126,MTS-DI,PD,SerialNo</v>
      </c>
      <c r="J8" s="20" t="str">
        <f xml:space="preserve"> _xll.EPMOlapMemberO("[KEY_FIGURES].[].[STATISTICALFORECASTQTY]","","Statistical Fcst Qty","","000")</f>
        <v>Statistical Fcst Qty</v>
      </c>
      <c r="K8" s="23">
        <v>605.24407199999996</v>
      </c>
      <c r="L8" s="23">
        <v>589.52559599999995</v>
      </c>
      <c r="M8" s="23">
        <v>591.40700900000002</v>
      </c>
      <c r="N8" s="23">
        <v>635.93664100000001</v>
      </c>
      <c r="O8" s="23">
        <v>580.41560700000002</v>
      </c>
      <c r="P8" s="23">
        <v>585.61152700000002</v>
      </c>
      <c r="Q8" s="23">
        <v>601.33028200000001</v>
      </c>
      <c r="R8" s="23">
        <v>565.49530700000003</v>
      </c>
      <c r="S8" s="23">
        <v>576.49566000000004</v>
      </c>
      <c r="T8" s="23">
        <v>596.55842500000006</v>
      </c>
      <c r="U8" s="23">
        <v>573.55586500000004</v>
      </c>
      <c r="V8" s="23">
        <v>605.24407199999996</v>
      </c>
      <c r="W8" s="23">
        <v>589.52559599999995</v>
      </c>
      <c r="X8" s="23">
        <v>591.40700900000002</v>
      </c>
      <c r="Y8" s="23">
        <v>635.93664100000001</v>
      </c>
      <c r="Z8" s="23">
        <v>580.41560700000002</v>
      </c>
      <c r="AA8" s="23">
        <v>585.61152700000002</v>
      </c>
      <c r="AB8" s="23">
        <v>601.33028200000001</v>
      </c>
      <c r="AC8" s="23">
        <v>565.49530700000003</v>
      </c>
      <c r="AD8" s="23">
        <v>576.49566000000004</v>
      </c>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G9" s="20"/>
      <c r="H9" s="20"/>
      <c r="I9" s="20"/>
      <c r="J9" s="20" t="str">
        <f xml:space="preserve"> _xll.EPMOlapMemberO("[KEY_FIGURES].[].[SALESFORECASTQTY]","","Sales Fcst Qty","","000")</f>
        <v>Sales Fcst Qty</v>
      </c>
      <c r="K9" s="27">
        <v>732</v>
      </c>
      <c r="L9" s="27">
        <v>458</v>
      </c>
      <c r="M9" s="27">
        <v>425</v>
      </c>
      <c r="N9" s="27">
        <v>448</v>
      </c>
      <c r="O9" s="27">
        <v>577</v>
      </c>
      <c r="P9" s="27"/>
      <c r="Q9" s="27"/>
      <c r="R9" s="27"/>
      <c r="S9" s="27"/>
      <c r="T9" s="27"/>
      <c r="U9" s="27"/>
      <c r="V9" s="27"/>
      <c r="W9" s="27"/>
      <c r="X9" s="27"/>
      <c r="Y9" s="27"/>
      <c r="Z9" s="27"/>
      <c r="AA9" s="27"/>
      <c r="AB9" s="27"/>
      <c r="AC9" s="27"/>
      <c r="AD9" s="27"/>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G10" s="20"/>
      <c r="H10" s="20"/>
      <c r="I10" s="20"/>
      <c r="J10" s="20" t="str">
        <f xml:space="preserve"> _xll.EPMOlapMemberO("[KEY_FIGURES].[].[ACTUALSQTYPRIORYEAR]","","Actuals Qty Prior Yr","","000")</f>
        <v>Actuals Qty Prior Yr</v>
      </c>
      <c r="K10" s="23"/>
      <c r="L10" s="23"/>
      <c r="M10" s="23"/>
      <c r="N10" s="23"/>
      <c r="O10" s="23"/>
      <c r="P10" s="23"/>
      <c r="Q10" s="23"/>
      <c r="R10" s="23"/>
      <c r="S10" s="23"/>
      <c r="T10" s="23"/>
      <c r="U10" s="23"/>
      <c r="V10" s="23"/>
      <c r="W10" s="23"/>
      <c r="X10" s="23"/>
      <c r="Y10" s="23"/>
      <c r="Z10" s="23"/>
      <c r="AA10" s="23"/>
      <c r="AB10" s="23"/>
      <c r="AC10" s="23"/>
      <c r="AD10" s="23"/>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G11" s="20"/>
      <c r="H11" s="20"/>
      <c r="I11" s="20"/>
      <c r="J11" s="20" t="str">
        <f xml:space="preserve"> _xll.EPMOlapMemberO("[KEY_FIGURES].[].[LOCALDEMANDPLANQTY]","","Local Demand Plan","","000")</f>
        <v>Local Demand Plan</v>
      </c>
      <c r="K11" s="27">
        <v>605.24407199999996</v>
      </c>
      <c r="L11" s="27">
        <v>589.52559599999995</v>
      </c>
      <c r="M11" s="27">
        <v>591.40700900000002</v>
      </c>
      <c r="N11" s="27">
        <v>635.93664100000001</v>
      </c>
      <c r="O11" s="27">
        <v>580.41560700000002</v>
      </c>
      <c r="P11" s="27">
        <v>585.61152700000002</v>
      </c>
      <c r="Q11" s="27">
        <v>601.33028200000001</v>
      </c>
      <c r="R11" s="27">
        <v>565.49530700000003</v>
      </c>
      <c r="S11" s="27">
        <v>576.49566000000004</v>
      </c>
      <c r="T11" s="27">
        <v>596.55842500000006</v>
      </c>
      <c r="U11" s="27">
        <v>573.55586500000004</v>
      </c>
      <c r="V11" s="27">
        <v>605.24407199999996</v>
      </c>
      <c r="W11" s="27">
        <v>589.52559599999995</v>
      </c>
      <c r="X11" s="27">
        <v>591.40700900000002</v>
      </c>
      <c r="Y11" s="27">
        <v>635.93664100000001</v>
      </c>
      <c r="Z11" s="27">
        <v>580.41560700000002</v>
      </c>
      <c r="AA11" s="27">
        <v>585.61152700000002</v>
      </c>
      <c r="AB11" s="27">
        <v>601.33028200000001</v>
      </c>
      <c r="AC11" s="27">
        <v>565.49530700000003</v>
      </c>
      <c r="AD11" s="27">
        <v>576.49566000000004</v>
      </c>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G12" s="20"/>
      <c r="H12" s="20"/>
      <c r="I12" s="20"/>
      <c r="J12" s="20" t="str">
        <f xml:space="preserve"> _xll.EPMOlapMemberO("[KEY_FIGURES].[].[FINALSENSEDDEMANDQTY]","","Sensed Demand Qty Final","","000")</f>
        <v>Sensed Demand Qty Final</v>
      </c>
      <c r="K12" s="23"/>
      <c r="L12" s="23"/>
      <c r="M12" s="23"/>
      <c r="N12" s="23"/>
      <c r="O12" s="23"/>
      <c r="P12" s="23"/>
      <c r="Q12" s="23"/>
      <c r="R12" s="23"/>
      <c r="S12" s="23"/>
      <c r="T12" s="23"/>
      <c r="U12" s="23"/>
      <c r="V12" s="23"/>
      <c r="W12" s="23"/>
      <c r="X12" s="23"/>
      <c r="Y12" s="23"/>
      <c r="Z12" s="23"/>
      <c r="AA12" s="23"/>
      <c r="AB12" s="23"/>
      <c r="AC12" s="23"/>
      <c r="AD12" s="23"/>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G13" s="20"/>
      <c r="H13" s="20"/>
      <c r="I13" s="20"/>
      <c r="J13" s="20" t="str">
        <f xml:space="preserve"> _xll.EPMOlapMemberO("[KEY_FIGURES].[].[DEMANDPLANNINGQTY]","","Demand Planning Qty","","000")</f>
        <v>Demand Planning Qty</v>
      </c>
      <c r="K13" s="27">
        <v>605.24407199999996</v>
      </c>
      <c r="L13" s="27">
        <v>589.52559599999995</v>
      </c>
      <c r="M13" s="27">
        <v>591.40700900000002</v>
      </c>
      <c r="N13" s="27">
        <v>635.93664100000001</v>
      </c>
      <c r="O13" s="27">
        <v>580.41560700000002</v>
      </c>
      <c r="P13" s="27">
        <v>585.61152700000002</v>
      </c>
      <c r="Q13" s="27">
        <v>601.33028200000001</v>
      </c>
      <c r="R13" s="27">
        <v>565.49530700000003</v>
      </c>
      <c r="S13" s="27">
        <v>576.49566000000004</v>
      </c>
      <c r="T13" s="27">
        <v>596.55842500000006</v>
      </c>
      <c r="U13" s="27">
        <v>573.55586500000004</v>
      </c>
      <c r="V13" s="27">
        <v>605.24407199999996</v>
      </c>
      <c r="W13" s="27">
        <v>589.52559599999995</v>
      </c>
      <c r="X13" s="27">
        <v>591.40700900000002</v>
      </c>
      <c r="Y13" s="27">
        <v>635.93664100000001</v>
      </c>
      <c r="Z13" s="27">
        <v>580.41560700000002</v>
      </c>
      <c r="AA13" s="27">
        <v>585.61152700000002</v>
      </c>
      <c r="AB13" s="27">
        <v>601.33028200000001</v>
      </c>
      <c r="AC13" s="27">
        <v>565.49530700000003</v>
      </c>
      <c r="AD13" s="27">
        <v>576.49566000000004</v>
      </c>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G14" s="20"/>
      <c r="H14" s="20" t="str">
        <f xml:space="preserve"> _xll.EPMOlapMemberO("[CUSTID].[].[0062100003]","","0062100003","","000")</f>
        <v>0062100003</v>
      </c>
      <c r="I14" s="20" t="str">
        <f xml:space="preserve"> _xll.EPMOlapMemberO("[PRDID].[].[FG126]","","FIN126,MTS-DI,PD,SerialNo","","000")</f>
        <v>FIN126,MTS-DI,PD,SerialNo</v>
      </c>
      <c r="J14" s="20" t="str">
        <f xml:space="preserve"> _xll.EPMOlapMemberO("[KEY_FIGURES].[].[STATISTICALFORECASTQTY]","","Statistical Fcst Qty","","000")</f>
        <v>Statistical Fcst Qty</v>
      </c>
      <c r="K14" s="23">
        <v>864.05803200000003</v>
      </c>
      <c r="L14" s="23">
        <v>872.16163100000006</v>
      </c>
      <c r="M14" s="23">
        <v>864.05803200000003</v>
      </c>
      <c r="N14" s="23">
        <v>872.16163100000006</v>
      </c>
      <c r="O14" s="23">
        <v>864.05803200000003</v>
      </c>
      <c r="P14" s="23">
        <v>872.16163100000006</v>
      </c>
      <c r="Q14" s="23">
        <v>864.05803200000003</v>
      </c>
      <c r="R14" s="23">
        <v>872.16163100000006</v>
      </c>
      <c r="S14" s="23">
        <v>864.05803200000003</v>
      </c>
      <c r="T14" s="23">
        <v>872.16163100000006</v>
      </c>
      <c r="U14" s="23">
        <v>864.05803200000003</v>
      </c>
      <c r="V14" s="23">
        <v>872.16163100000006</v>
      </c>
      <c r="W14" s="23">
        <v>864.05803200000003</v>
      </c>
      <c r="X14" s="23">
        <v>872.16163100000006</v>
      </c>
      <c r="Y14" s="23">
        <v>864.05803200000003</v>
      </c>
      <c r="Z14" s="23">
        <v>872.16163100000006</v>
      </c>
      <c r="AA14" s="23">
        <v>864.05803200000003</v>
      </c>
      <c r="AB14" s="23">
        <v>872.16163100000006</v>
      </c>
      <c r="AC14" s="23">
        <v>864.05803200000003</v>
      </c>
      <c r="AD14" s="23">
        <v>872.16163100000006</v>
      </c>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G15" s="20"/>
      <c r="H15" s="20"/>
      <c r="I15" s="20"/>
      <c r="J15" s="20" t="str">
        <f xml:space="preserve"> _xll.EPMOlapMemberO("[KEY_FIGURES].[].[SALESFORECASTQTY]","","Sales Fcst Qty","","000")</f>
        <v>Sales Fcst Qty</v>
      </c>
      <c r="K15" s="27">
        <v>1049</v>
      </c>
      <c r="L15" s="27">
        <v>688</v>
      </c>
      <c r="M15" s="27">
        <v>741</v>
      </c>
      <c r="N15" s="27">
        <v>746</v>
      </c>
      <c r="O15" s="27">
        <v>790</v>
      </c>
      <c r="P15" s="27"/>
      <c r="Q15" s="27"/>
      <c r="R15" s="27"/>
      <c r="S15" s="27"/>
      <c r="T15" s="27"/>
      <c r="U15" s="27"/>
      <c r="V15" s="27"/>
      <c r="W15" s="27"/>
      <c r="X15" s="27"/>
      <c r="Y15" s="27"/>
      <c r="Z15" s="27"/>
      <c r="AA15" s="27"/>
      <c r="AB15" s="27"/>
      <c r="AC15" s="27"/>
      <c r="AD15" s="27"/>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G16" s="20"/>
      <c r="H16" s="20"/>
      <c r="I16" s="20"/>
      <c r="J16" s="20" t="str">
        <f xml:space="preserve"> _xll.EPMOlapMemberO("[KEY_FIGURES].[].[ACTUALSQTYPRIORYEAR]","","Actuals Qty Prior Yr","","000")</f>
        <v>Actuals Qty Prior Yr</v>
      </c>
      <c r="K16" s="23"/>
      <c r="L16" s="23"/>
      <c r="M16" s="23"/>
      <c r="N16" s="23"/>
      <c r="O16" s="23"/>
      <c r="P16" s="23"/>
      <c r="Q16" s="23"/>
      <c r="R16" s="23"/>
      <c r="S16" s="23"/>
      <c r="T16" s="23"/>
      <c r="U16" s="23"/>
      <c r="V16" s="23"/>
      <c r="W16" s="23"/>
      <c r="X16" s="23"/>
      <c r="Y16" s="23"/>
      <c r="Z16" s="23"/>
      <c r="AA16" s="23"/>
      <c r="AB16" s="23"/>
      <c r="AC16" s="23"/>
      <c r="AD16" s="23"/>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G17" s="20"/>
      <c r="H17" s="20"/>
      <c r="I17" s="20"/>
      <c r="J17" s="20" t="str">
        <f xml:space="preserve"> _xll.EPMOlapMemberO("[KEY_FIGURES].[].[LOCALDEMANDPLANQTY]","","Local Demand Plan","","000")</f>
        <v>Local Demand Plan</v>
      </c>
      <c r="K17" s="27">
        <v>864.05803200000003</v>
      </c>
      <c r="L17" s="27">
        <v>872.16163100000006</v>
      </c>
      <c r="M17" s="27">
        <v>864.05803200000003</v>
      </c>
      <c r="N17" s="27">
        <v>872.16163100000006</v>
      </c>
      <c r="O17" s="27">
        <v>864.05803200000003</v>
      </c>
      <c r="P17" s="27">
        <v>872.16163100000006</v>
      </c>
      <c r="Q17" s="27">
        <v>864.05803200000003</v>
      </c>
      <c r="R17" s="27">
        <v>872.16163100000006</v>
      </c>
      <c r="S17" s="27">
        <v>864.05803200000003</v>
      </c>
      <c r="T17" s="27">
        <v>872.16163100000006</v>
      </c>
      <c r="U17" s="27">
        <v>864.05803200000003</v>
      </c>
      <c r="V17" s="27">
        <v>872.16163100000006</v>
      </c>
      <c r="W17" s="27">
        <v>864.05803200000003</v>
      </c>
      <c r="X17" s="27">
        <v>872.16163100000006</v>
      </c>
      <c r="Y17" s="27">
        <v>864.05803200000003</v>
      </c>
      <c r="Z17" s="27">
        <v>872.16163100000006</v>
      </c>
      <c r="AA17" s="27">
        <v>864.05803200000003</v>
      </c>
      <c r="AB17" s="27">
        <v>872.16163100000006</v>
      </c>
      <c r="AC17" s="27">
        <v>864.05803200000003</v>
      </c>
      <c r="AD17" s="27">
        <v>872.16163100000006</v>
      </c>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G18" s="20"/>
      <c r="H18" s="20"/>
      <c r="I18" s="20"/>
      <c r="J18" s="20" t="str">
        <f xml:space="preserve"> _xll.EPMOlapMemberO("[KEY_FIGURES].[].[FINALSENSEDDEMANDQTY]","","Sensed Demand Qty Final","","000")</f>
        <v>Sensed Demand Qty Final</v>
      </c>
      <c r="K18" s="23"/>
      <c r="L18" s="23"/>
      <c r="M18" s="23"/>
      <c r="N18" s="23"/>
      <c r="O18" s="23"/>
      <c r="P18" s="23"/>
      <c r="Q18" s="23"/>
      <c r="R18" s="23"/>
      <c r="S18" s="23"/>
      <c r="T18" s="23"/>
      <c r="U18" s="23"/>
      <c r="V18" s="23"/>
      <c r="W18" s="23"/>
      <c r="X18" s="23"/>
      <c r="Y18" s="23"/>
      <c r="Z18" s="23"/>
      <c r="AA18" s="23"/>
      <c r="AB18" s="23"/>
      <c r="AC18" s="23"/>
      <c r="AD18" s="23"/>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G19" s="20"/>
      <c r="H19" s="20"/>
      <c r="I19" s="20"/>
      <c r="J19" s="20" t="str">
        <f xml:space="preserve"> _xll.EPMOlapMemberO("[KEY_FIGURES].[].[DEMANDPLANNINGQTY]","","Demand Planning Qty","","000")</f>
        <v>Demand Planning Qty</v>
      </c>
      <c r="K19" s="27">
        <v>864.05803200000003</v>
      </c>
      <c r="L19" s="27">
        <v>872.16163100000006</v>
      </c>
      <c r="M19" s="27">
        <v>864.05803200000003</v>
      </c>
      <c r="N19" s="27">
        <v>872.16163100000006</v>
      </c>
      <c r="O19" s="27">
        <v>864.05803200000003</v>
      </c>
      <c r="P19" s="27">
        <v>872.16163100000006</v>
      </c>
      <c r="Q19" s="27">
        <v>864.05803200000003</v>
      </c>
      <c r="R19" s="27">
        <v>872.16163100000006</v>
      </c>
      <c r="S19" s="27">
        <v>864.05803200000003</v>
      </c>
      <c r="T19" s="27">
        <v>872.16163100000006</v>
      </c>
      <c r="U19" s="27">
        <v>864.05803200000003</v>
      </c>
      <c r="V19" s="27">
        <v>872.16163100000006</v>
      </c>
      <c r="W19" s="27">
        <v>864.05803200000003</v>
      </c>
      <c r="X19" s="27">
        <v>872.16163100000006</v>
      </c>
      <c r="Y19" s="27">
        <v>864.05803200000003</v>
      </c>
      <c r="Z19" s="27">
        <v>872.16163100000006</v>
      </c>
      <c r="AA19" s="27">
        <v>864.05803200000003</v>
      </c>
      <c r="AB19" s="27">
        <v>872.16163100000006</v>
      </c>
      <c r="AC19" s="27">
        <v>864.05803200000003</v>
      </c>
      <c r="AD19" s="27">
        <v>872.16163100000006</v>
      </c>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G20" s="20" t="str">
        <f xml:space="preserve"> _xll.EPMOlapMemberO("[LOCID].[].[3710]","","DC Rotterdam","","000")</f>
        <v>DC Rotterdam</v>
      </c>
      <c r="H20" s="20" t="str">
        <f xml:space="preserve"> _xll.EPMOlapMemberO("[CUSTID].[].[0037100001]","","0037100001","","000")</f>
        <v>0037100001</v>
      </c>
      <c r="I20" s="20" t="str">
        <f xml:space="preserve"> _xll.EPMOlapMemberO("[PRDID].[].[FG126]","","FIN126,MTS-DI,PD,SerialNo","","000")</f>
        <v>FIN126,MTS-DI,PD,SerialNo</v>
      </c>
      <c r="J20" s="20" t="str">
        <f xml:space="preserve"> _xll.EPMOlapMemberO("[KEY_FIGURES].[].[STATISTICALFORECASTQTY]","","Statistical Fcst Qty","","000")</f>
        <v>Statistical Fcst Qty</v>
      </c>
      <c r="K20" s="23">
        <v>1400</v>
      </c>
      <c r="L20" s="23">
        <v>1400</v>
      </c>
      <c r="M20" s="23">
        <v>1400</v>
      </c>
      <c r="N20" s="23">
        <v>1400</v>
      </c>
      <c r="O20" s="23">
        <v>1400</v>
      </c>
      <c r="P20" s="23">
        <v>1400</v>
      </c>
      <c r="Q20" s="23">
        <v>1400</v>
      </c>
      <c r="R20" s="23">
        <v>1400</v>
      </c>
      <c r="S20" s="23">
        <v>1400</v>
      </c>
      <c r="T20" s="23">
        <v>1400</v>
      </c>
      <c r="U20" s="23">
        <v>1400</v>
      </c>
      <c r="V20" s="23">
        <v>1400</v>
      </c>
      <c r="W20" s="23">
        <v>1400</v>
      </c>
      <c r="X20" s="23">
        <v>1400</v>
      </c>
      <c r="Y20" s="23">
        <v>1400</v>
      </c>
      <c r="Z20" s="23">
        <v>1400</v>
      </c>
      <c r="AA20" s="23">
        <v>1400</v>
      </c>
      <c r="AB20" s="23">
        <v>1400</v>
      </c>
      <c r="AC20" s="23">
        <v>1400</v>
      </c>
      <c r="AD20" s="23">
        <v>1400</v>
      </c>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G21" s="20"/>
      <c r="H21" s="20"/>
      <c r="I21" s="20"/>
      <c r="J21" s="20" t="str">
        <f xml:space="preserve"> _xll.EPMOlapMemberO("[KEY_FIGURES].[].[SALESFORECASTQTY]","","Sales Fcst Qty","","000")</f>
        <v>Sales Fcst Qty</v>
      </c>
      <c r="K21" s="27">
        <v>1526</v>
      </c>
      <c r="L21" s="27">
        <v>1526</v>
      </c>
      <c r="M21" s="27">
        <v>1344</v>
      </c>
      <c r="N21" s="27">
        <v>1400</v>
      </c>
      <c r="O21" s="27">
        <v>1316</v>
      </c>
      <c r="P21" s="27"/>
      <c r="Q21" s="27"/>
      <c r="R21" s="27"/>
      <c r="S21" s="27"/>
      <c r="T21" s="27"/>
      <c r="U21" s="27"/>
      <c r="V21" s="27"/>
      <c r="W21" s="27"/>
      <c r="X21" s="27"/>
      <c r="Y21" s="27"/>
      <c r="Z21" s="27"/>
      <c r="AA21" s="27"/>
      <c r="AB21" s="27"/>
      <c r="AC21" s="27"/>
      <c r="AD21" s="27"/>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G22" s="20"/>
      <c r="H22" s="20"/>
      <c r="I22" s="20"/>
      <c r="J22" s="20" t="str">
        <f xml:space="preserve"> _xll.EPMOlapMemberO("[KEY_FIGURES].[].[ACTUALSQTYPRIORYEAR]","","Actuals Qty Prior Yr","","000")</f>
        <v>Actuals Qty Prior Yr</v>
      </c>
      <c r="K22" s="23"/>
      <c r="L22" s="23"/>
      <c r="M22" s="23"/>
      <c r="N22" s="23"/>
      <c r="O22" s="23"/>
      <c r="P22" s="23"/>
      <c r="Q22" s="23"/>
      <c r="R22" s="23"/>
      <c r="S22" s="23"/>
      <c r="T22" s="23"/>
      <c r="U22" s="23"/>
      <c r="V22" s="23"/>
      <c r="W22" s="23"/>
      <c r="X22" s="23"/>
      <c r="Y22" s="23"/>
      <c r="Z22" s="23"/>
      <c r="AA22" s="23"/>
      <c r="AB22" s="23"/>
      <c r="AC22" s="23"/>
      <c r="AD22" s="23"/>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G23" s="20"/>
      <c r="H23" s="20"/>
      <c r="I23" s="20"/>
      <c r="J23" s="20" t="str">
        <f xml:space="preserve"> _xll.EPMOlapMemberO("[KEY_FIGURES].[].[LOCALDEMANDPLANQTY]","","Local Demand Plan","","000")</f>
        <v>Local Demand Plan</v>
      </c>
      <c r="K23" s="27">
        <v>1400</v>
      </c>
      <c r="L23" s="27">
        <v>1400</v>
      </c>
      <c r="M23" s="27">
        <v>1400</v>
      </c>
      <c r="N23" s="27">
        <v>1400</v>
      </c>
      <c r="O23" s="27">
        <v>1400</v>
      </c>
      <c r="P23" s="27">
        <v>1400</v>
      </c>
      <c r="Q23" s="27">
        <v>1400</v>
      </c>
      <c r="R23" s="27">
        <v>1400</v>
      </c>
      <c r="S23" s="27">
        <v>1400</v>
      </c>
      <c r="T23" s="27">
        <v>1400</v>
      </c>
      <c r="U23" s="27">
        <v>1400</v>
      </c>
      <c r="V23" s="27">
        <v>1400</v>
      </c>
      <c r="W23" s="27">
        <v>1400</v>
      </c>
      <c r="X23" s="27">
        <v>1400</v>
      </c>
      <c r="Y23" s="27">
        <v>1400</v>
      </c>
      <c r="Z23" s="27">
        <v>1400</v>
      </c>
      <c r="AA23" s="27">
        <v>1400</v>
      </c>
      <c r="AB23" s="27">
        <v>1400</v>
      </c>
      <c r="AC23" s="27">
        <v>1400</v>
      </c>
      <c r="AD23" s="27">
        <v>1400</v>
      </c>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G24" s="20"/>
      <c r="H24" s="20"/>
      <c r="I24" s="20"/>
      <c r="J24" s="20" t="str">
        <f xml:space="preserve"> _xll.EPMOlapMemberO("[KEY_FIGURES].[].[FINALSENSEDDEMANDQTY]","","Sensed Demand Qty Final","","000")</f>
        <v>Sensed Demand Qty Final</v>
      </c>
      <c r="K24" s="23"/>
      <c r="L24" s="23"/>
      <c r="M24" s="23"/>
      <c r="N24" s="23"/>
      <c r="O24" s="23"/>
      <c r="P24" s="23"/>
      <c r="Q24" s="23"/>
      <c r="R24" s="23"/>
      <c r="S24" s="23"/>
      <c r="T24" s="23"/>
      <c r="U24" s="23"/>
      <c r="V24" s="23"/>
      <c r="W24" s="23"/>
      <c r="X24" s="23"/>
      <c r="Y24" s="23"/>
      <c r="Z24" s="23"/>
      <c r="AA24" s="23"/>
      <c r="AB24" s="23"/>
      <c r="AC24" s="23"/>
      <c r="AD24" s="23"/>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G25" s="20"/>
      <c r="H25" s="20"/>
      <c r="I25" s="20"/>
      <c r="J25" s="20" t="str">
        <f xml:space="preserve"> _xll.EPMOlapMemberO("[KEY_FIGURES].[].[DEMANDPLANNINGQTY]","","Demand Planning Qty","","000")</f>
        <v>Demand Planning Qty</v>
      </c>
      <c r="K25" s="27">
        <v>1400</v>
      </c>
      <c r="L25" s="27">
        <v>1400</v>
      </c>
      <c r="M25" s="27">
        <v>1400</v>
      </c>
      <c r="N25" s="27">
        <v>1400</v>
      </c>
      <c r="O25" s="27">
        <v>1400</v>
      </c>
      <c r="P25" s="27">
        <v>1400</v>
      </c>
      <c r="Q25" s="27">
        <v>1400</v>
      </c>
      <c r="R25" s="27">
        <v>1400</v>
      </c>
      <c r="S25" s="27">
        <v>1400</v>
      </c>
      <c r="T25" s="27">
        <v>1400</v>
      </c>
      <c r="U25" s="27">
        <v>1400</v>
      </c>
      <c r="V25" s="27">
        <v>1400</v>
      </c>
      <c r="W25" s="27">
        <v>1400</v>
      </c>
      <c r="X25" s="27">
        <v>1400</v>
      </c>
      <c r="Y25" s="27">
        <v>1400</v>
      </c>
      <c r="Z25" s="27">
        <v>1400</v>
      </c>
      <c r="AA25" s="27">
        <v>1400</v>
      </c>
      <c r="AB25" s="27">
        <v>1400</v>
      </c>
      <c r="AC25" s="27">
        <v>1400</v>
      </c>
      <c r="AD25" s="27">
        <v>1400</v>
      </c>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G26" s="20"/>
      <c r="H26" s="20" t="str">
        <f xml:space="preserve"> _xll.EPMOlapMemberO("[CUSTID].[].[0037100002]","","0037100002","","000")</f>
        <v>0037100002</v>
      </c>
      <c r="I26" s="20" t="str">
        <f xml:space="preserve"> _xll.EPMOlapMemberO("[PRDID].[].[FG126]","","FIN126,MTS-DI,PD,SerialNo","","000")</f>
        <v>FIN126,MTS-DI,PD,SerialNo</v>
      </c>
      <c r="J26" s="20" t="str">
        <f xml:space="preserve"> _xll.EPMOlapMemberO("[KEY_FIGURES].[].[STATISTICALFORECASTQTY]","","Statistical Fcst Qty","","000")</f>
        <v>Statistical Fcst Qty</v>
      </c>
      <c r="K26" s="23">
        <v>1400</v>
      </c>
      <c r="L26" s="23">
        <v>1400</v>
      </c>
      <c r="M26" s="23">
        <v>1400</v>
      </c>
      <c r="N26" s="23">
        <v>1400</v>
      </c>
      <c r="O26" s="23">
        <v>1400</v>
      </c>
      <c r="P26" s="23">
        <v>1400</v>
      </c>
      <c r="Q26" s="23">
        <v>1400</v>
      </c>
      <c r="R26" s="23">
        <v>1400</v>
      </c>
      <c r="S26" s="23">
        <v>1400</v>
      </c>
      <c r="T26" s="23">
        <v>1400</v>
      </c>
      <c r="U26" s="23">
        <v>1400</v>
      </c>
      <c r="V26" s="23">
        <v>1400</v>
      </c>
      <c r="W26" s="23">
        <v>1400</v>
      </c>
      <c r="X26" s="23">
        <v>1400</v>
      </c>
      <c r="Y26" s="23">
        <v>1400</v>
      </c>
      <c r="Z26" s="23">
        <v>1400</v>
      </c>
      <c r="AA26" s="23">
        <v>1400</v>
      </c>
      <c r="AB26" s="23">
        <v>1400</v>
      </c>
      <c r="AC26" s="23">
        <v>1400</v>
      </c>
      <c r="AD26" s="23">
        <v>1400</v>
      </c>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G27" s="20"/>
      <c r="H27" s="20"/>
      <c r="I27" s="20"/>
      <c r="J27" s="20" t="str">
        <f xml:space="preserve"> _xll.EPMOlapMemberO("[KEY_FIGURES].[].[SALESFORECASTQTY]","","Sales Fcst Qty","","000")</f>
        <v>Sales Fcst Qty</v>
      </c>
      <c r="K27" s="27">
        <v>1316</v>
      </c>
      <c r="L27" s="27">
        <v>1414</v>
      </c>
      <c r="M27" s="27">
        <v>1330</v>
      </c>
      <c r="N27" s="27">
        <v>1260</v>
      </c>
      <c r="O27" s="27">
        <v>1344</v>
      </c>
      <c r="P27" s="27"/>
      <c r="Q27" s="27"/>
      <c r="R27" s="27"/>
      <c r="S27" s="27"/>
      <c r="T27" s="27"/>
      <c r="U27" s="27"/>
      <c r="V27" s="27"/>
      <c r="W27" s="27"/>
      <c r="X27" s="27"/>
      <c r="Y27" s="27"/>
      <c r="Z27" s="27"/>
      <c r="AA27" s="27"/>
      <c r="AB27" s="27"/>
      <c r="AC27" s="27"/>
      <c r="AD27" s="27"/>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G28" s="20"/>
      <c r="H28" s="20"/>
      <c r="I28" s="20"/>
      <c r="J28" s="20" t="str">
        <f xml:space="preserve"> _xll.EPMOlapMemberO("[KEY_FIGURES].[].[ACTUALSQTYPRIORYEAR]","","Actuals Qty Prior Yr","","000")</f>
        <v>Actuals Qty Prior Yr</v>
      </c>
      <c r="K28" s="23"/>
      <c r="L28" s="23"/>
      <c r="M28" s="23"/>
      <c r="N28" s="23"/>
      <c r="O28" s="23"/>
      <c r="P28" s="23"/>
      <c r="Q28" s="23"/>
      <c r="R28" s="23"/>
      <c r="S28" s="23"/>
      <c r="T28" s="23"/>
      <c r="U28" s="23"/>
      <c r="V28" s="23"/>
      <c r="W28" s="23"/>
      <c r="X28" s="23"/>
      <c r="Y28" s="23"/>
      <c r="Z28" s="23"/>
      <c r="AA28" s="23"/>
      <c r="AB28" s="23"/>
      <c r="AC28" s="23"/>
      <c r="AD28" s="23"/>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G29" s="20"/>
      <c r="H29" s="20"/>
      <c r="I29" s="20"/>
      <c r="J29" s="20" t="str">
        <f xml:space="preserve"> _xll.EPMOlapMemberO("[KEY_FIGURES].[].[LOCALDEMANDPLANQTY]","","Local Demand Plan","","000")</f>
        <v>Local Demand Plan</v>
      </c>
      <c r="K29" s="27">
        <v>1400</v>
      </c>
      <c r="L29" s="27">
        <v>1400</v>
      </c>
      <c r="M29" s="27">
        <v>1400</v>
      </c>
      <c r="N29" s="27">
        <v>1400</v>
      </c>
      <c r="O29" s="27">
        <v>1400</v>
      </c>
      <c r="P29" s="27">
        <v>1400</v>
      </c>
      <c r="Q29" s="27">
        <v>1400</v>
      </c>
      <c r="R29" s="27">
        <v>1400</v>
      </c>
      <c r="S29" s="27">
        <v>1400</v>
      </c>
      <c r="T29" s="27">
        <v>1400</v>
      </c>
      <c r="U29" s="27">
        <v>1400</v>
      </c>
      <c r="V29" s="27">
        <v>1400</v>
      </c>
      <c r="W29" s="27">
        <v>1400</v>
      </c>
      <c r="X29" s="27">
        <v>1400</v>
      </c>
      <c r="Y29" s="27">
        <v>1400</v>
      </c>
      <c r="Z29" s="27">
        <v>1400</v>
      </c>
      <c r="AA29" s="27">
        <v>1400</v>
      </c>
      <c r="AB29" s="27">
        <v>1400</v>
      </c>
      <c r="AC29" s="27">
        <v>1400</v>
      </c>
      <c r="AD29" s="27">
        <v>1400</v>
      </c>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G30" s="20"/>
      <c r="H30" s="20"/>
      <c r="I30" s="20"/>
      <c r="J30" s="20" t="str">
        <f xml:space="preserve"> _xll.EPMOlapMemberO("[KEY_FIGURES].[].[FINALSENSEDDEMANDQTY]","","Sensed Demand Qty Final","","000")</f>
        <v>Sensed Demand Qty Final</v>
      </c>
      <c r="K30" s="23"/>
      <c r="L30" s="23"/>
      <c r="M30" s="23"/>
      <c r="N30" s="23"/>
      <c r="O30" s="23"/>
      <c r="P30" s="23"/>
      <c r="Q30" s="23"/>
      <c r="R30" s="23"/>
      <c r="S30" s="23"/>
      <c r="T30" s="23"/>
      <c r="U30" s="23"/>
      <c r="V30" s="23"/>
      <c r="W30" s="23"/>
      <c r="X30" s="23"/>
      <c r="Y30" s="23"/>
      <c r="Z30" s="23"/>
      <c r="AA30" s="23"/>
      <c r="AB30" s="23"/>
      <c r="AC30" s="23"/>
      <c r="AD30" s="23"/>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G31" s="20"/>
      <c r="H31" s="20"/>
      <c r="I31" s="20"/>
      <c r="J31" s="20" t="str">
        <f xml:space="preserve"> _xll.EPMOlapMemberO("[KEY_FIGURES].[].[DEMANDPLANNINGQTY]","","Demand Planning Qty","","000")</f>
        <v>Demand Planning Qty</v>
      </c>
      <c r="K31" s="27">
        <v>1400</v>
      </c>
      <c r="L31" s="27">
        <v>1400</v>
      </c>
      <c r="M31" s="27">
        <v>1400</v>
      </c>
      <c r="N31" s="27">
        <v>1400</v>
      </c>
      <c r="O31" s="27">
        <v>1400</v>
      </c>
      <c r="P31" s="27">
        <v>1400</v>
      </c>
      <c r="Q31" s="27">
        <v>1400</v>
      </c>
      <c r="R31" s="27">
        <v>1400</v>
      </c>
      <c r="S31" s="27">
        <v>1400</v>
      </c>
      <c r="T31" s="27">
        <v>1400</v>
      </c>
      <c r="U31" s="27">
        <v>1400</v>
      </c>
      <c r="V31" s="27">
        <v>1400</v>
      </c>
      <c r="W31" s="27">
        <v>1400</v>
      </c>
      <c r="X31" s="27">
        <v>1400</v>
      </c>
      <c r="Y31" s="27">
        <v>1400</v>
      </c>
      <c r="Z31" s="27">
        <v>1400</v>
      </c>
      <c r="AA31" s="27">
        <v>1400</v>
      </c>
      <c r="AB31" s="27">
        <v>1400</v>
      </c>
      <c r="AC31" s="27">
        <v>1400</v>
      </c>
      <c r="AD31" s="27">
        <v>1400</v>
      </c>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dataConsolidate/>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134" r:id="rId9" name="ReportSubmitControl_1tb1">
          <controlPr defaultSize="0" autoLine="0" autoPict="0" r:id="rId10">
            <anchor moveWithCells="1" sizeWithCells="1">
              <from>
                <xdr:col>0</xdr:col>
                <xdr:colOff>0</xdr:colOff>
                <xdr:row>0</xdr:row>
                <xdr:rowOff>0</xdr:rowOff>
              </from>
              <to>
                <xdr:col>6</xdr:col>
                <xdr:colOff>97971</xdr:colOff>
                <xdr:row>0</xdr:row>
                <xdr:rowOff>0</xdr:rowOff>
              </to>
            </anchor>
          </controlPr>
        </control>
      </mc:Choice>
      <mc:Fallback>
        <control shapeId="3134" r:id="rId9" name="ReportSubmitControl_1tb1"/>
      </mc:Fallback>
    </mc:AlternateContent>
    <mc:AlternateContent xmlns:mc="http://schemas.openxmlformats.org/markup-compatibility/2006">
      <mc:Choice Requires="x14">
        <control shapeId="3133" r:id="rId11" name="ReportSubmitManagerControltb1">
          <controlPr defaultSize="0" autoLine="0" autoPict="0" r:id="rId12">
            <anchor moveWithCells="1" sizeWithCells="1">
              <from>
                <xdr:col>0</xdr:col>
                <xdr:colOff>0</xdr:colOff>
                <xdr:row>0</xdr:row>
                <xdr:rowOff>0</xdr:rowOff>
              </from>
              <to>
                <xdr:col>6</xdr:col>
                <xdr:colOff>97971</xdr:colOff>
                <xdr:row>0</xdr:row>
                <xdr:rowOff>0</xdr:rowOff>
              </to>
            </anchor>
          </controlPr>
        </control>
      </mc:Choice>
      <mc:Fallback>
        <control shapeId="3133" r:id="rId11" name="ReportSubmitManagerControltb1"/>
      </mc:Fallback>
    </mc:AlternateContent>
    <mc:AlternateContent xmlns:mc="http://schemas.openxmlformats.org/markup-compatibility/2006">
      <mc:Choice Requires="x14">
        <control shapeId="3132" r:id="rId13" name="MultipleReportManagerInfotb1">
          <controlPr defaultSize="0" autoLine="0" autoPict="0" r:id="rId14">
            <anchor moveWithCells="1" sizeWithCells="1">
              <from>
                <xdr:col>0</xdr:col>
                <xdr:colOff>0</xdr:colOff>
                <xdr:row>0</xdr:row>
                <xdr:rowOff>0</xdr:rowOff>
              </from>
              <to>
                <xdr:col>6</xdr:col>
                <xdr:colOff>97971</xdr:colOff>
                <xdr:row>0</xdr:row>
                <xdr:rowOff>0</xdr:rowOff>
              </to>
            </anchor>
          </controlPr>
        </control>
      </mc:Choice>
      <mc:Fallback>
        <control shapeId="3132" r:id="rId13" name="MultipleReportManagerInfotb1"/>
      </mc:Fallback>
    </mc:AlternateContent>
    <mc:AlternateContent xmlns:mc="http://schemas.openxmlformats.org/markup-compatibility/2006">
      <mc:Choice Requires="x14">
        <control shapeId="3131" r:id="rId15" name="ConnectionDescriptorsInfotb1">
          <controlPr defaultSize="0" autoLine="0" autoPict="0" r:id="rId16">
            <anchor moveWithCells="1" sizeWithCells="1">
              <from>
                <xdr:col>0</xdr:col>
                <xdr:colOff>0</xdr:colOff>
                <xdr:row>0</xdr:row>
                <xdr:rowOff>0</xdr:rowOff>
              </from>
              <to>
                <xdr:col>6</xdr:col>
                <xdr:colOff>97971</xdr:colOff>
                <xdr:row>0</xdr:row>
                <xdr:rowOff>0</xdr:rowOff>
              </to>
            </anchor>
          </controlPr>
        </control>
      </mc:Choice>
      <mc:Fallback>
        <control shapeId="3131" r:id="rId15" name="ConnectionDescriptorsInfotb1"/>
      </mc:Fallback>
    </mc:AlternateContent>
    <mc:AlternateContent xmlns:mc="http://schemas.openxmlformats.org/markup-compatibility/2006">
      <mc:Choice Requires="x14">
        <control shapeId="3130" r:id="rId17" name="AnalyzerDynReport000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3130" r:id="rId17" name="AnalyzerDynReport000tb1"/>
      </mc:Fallback>
    </mc:AlternateContent>
    <mc:AlternateContent xmlns:mc="http://schemas.openxmlformats.org/markup-compatibility/2006">
      <mc:Choice Requires="x14">
        <control shapeId="3119" r:id="rId19" name="TextBox2">
          <controlPr defaultSize="0" disabled="1" autoLine="0" r:id="rId20">
            <anchor>
              <from>
                <xdr:col>7</xdr:col>
                <xdr:colOff>511629</xdr:colOff>
                <xdr:row>2</xdr:row>
                <xdr:rowOff>152400</xdr:rowOff>
              </from>
              <to>
                <xdr:col>7</xdr:col>
                <xdr:colOff>517071</xdr:colOff>
                <xdr:row>2</xdr:row>
                <xdr:rowOff>157843</xdr:rowOff>
              </to>
            </anchor>
          </controlPr>
        </control>
      </mc:Choice>
      <mc:Fallback>
        <control shapeId="3119" r:id="rId19" name="TextBox2"/>
      </mc:Fallback>
    </mc:AlternateContent>
    <mc:AlternateContent xmlns:mc="http://schemas.openxmlformats.org/markup-compatibility/2006">
      <mc:Choice Requires="x14">
        <control shapeId="3115" r:id="rId21" name="TextBox1">
          <controlPr defaultSize="0" disabled="1" autoLine="0" r:id="rId22">
            <anchor>
              <from>
                <xdr:col>0</xdr:col>
                <xdr:colOff>38100</xdr:colOff>
                <xdr:row>2</xdr:row>
                <xdr:rowOff>152400</xdr:rowOff>
              </from>
              <to>
                <xdr:col>0</xdr:col>
                <xdr:colOff>43543</xdr:colOff>
                <xdr:row>2</xdr:row>
                <xdr:rowOff>157843</xdr:rowOff>
              </to>
            </anchor>
          </controlPr>
        </control>
      </mc:Choice>
      <mc:Fallback>
        <control shapeId="3115" r:id="rId21" name="TextBox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35" r:id="rId25" name="ConnectionDescriptorsInfoHCtb1">
          <controlPr defaultSize="0" autoLine="0" r:id="rId26">
            <anchor moveWithCells="1">
              <from>
                <xdr:col>10</xdr:col>
                <xdr:colOff>0</xdr:colOff>
                <xdr:row>3</xdr:row>
                <xdr:rowOff>0</xdr:rowOff>
              </from>
              <to>
                <xdr:col>11</xdr:col>
                <xdr:colOff>266700</xdr:colOff>
                <xdr:row>3</xdr:row>
                <xdr:rowOff>5443</xdr:rowOff>
              </to>
            </anchor>
          </controlPr>
        </control>
      </mc:Choice>
      <mc:Fallback>
        <control shapeId="3135" r:id="rId25" name="ConnectionDescriptorsInfoHCtb1"/>
      </mc:Fallback>
    </mc:AlternateContent>
    <mc:AlternateContent xmlns:mc="http://schemas.openxmlformats.org/markup-compatibility/2006">
      <mc:Choice Requires="x14">
        <control shapeId="3136" r:id="rId27" name="ConnectionDescriptorsInfoDCtb1">
          <controlPr defaultSize="0" autoLine="0" r:id="rId28">
            <anchor moveWithCells="1">
              <from>
                <xdr:col>10</xdr:col>
                <xdr:colOff>0</xdr:colOff>
                <xdr:row>3</xdr:row>
                <xdr:rowOff>0</xdr:rowOff>
              </from>
              <to>
                <xdr:col>11</xdr:col>
                <xdr:colOff>266700</xdr:colOff>
                <xdr:row>3</xdr:row>
                <xdr:rowOff>5443</xdr:rowOff>
              </to>
            </anchor>
          </controlPr>
        </control>
      </mc:Choice>
      <mc:Fallback>
        <control shapeId="3136" r:id="rId27" name="ConnectionDescriptorsInfoDCtb1"/>
      </mc:Fallback>
    </mc:AlternateContent>
    <mc:AlternateContent xmlns:mc="http://schemas.openxmlformats.org/markup-compatibility/2006">
      <mc:Choice Requires="x14">
        <control shapeId="3137" r:id="rId29" name="MultipleReportManagerInfoHCtb1">
          <controlPr defaultSize="0" autoLine="0" r:id="rId30">
            <anchor moveWithCells="1">
              <from>
                <xdr:col>10</xdr:col>
                <xdr:colOff>0</xdr:colOff>
                <xdr:row>3</xdr:row>
                <xdr:rowOff>0</xdr:rowOff>
              </from>
              <to>
                <xdr:col>11</xdr:col>
                <xdr:colOff>266700</xdr:colOff>
                <xdr:row>3</xdr:row>
                <xdr:rowOff>5443</xdr:rowOff>
              </to>
            </anchor>
          </controlPr>
        </control>
      </mc:Choice>
      <mc:Fallback>
        <control shapeId="3137" r:id="rId29" name="MultipleReportManagerInfoHCtb1"/>
      </mc:Fallback>
    </mc:AlternateContent>
    <mc:AlternateContent xmlns:mc="http://schemas.openxmlformats.org/markup-compatibility/2006">
      <mc:Choice Requires="x14">
        <control shapeId="3138" r:id="rId31" name="MultipleReportManagerInfoDCtb1">
          <controlPr defaultSize="0" autoLine="0" r:id="rId32">
            <anchor moveWithCells="1">
              <from>
                <xdr:col>10</xdr:col>
                <xdr:colOff>0</xdr:colOff>
                <xdr:row>3</xdr:row>
                <xdr:rowOff>0</xdr:rowOff>
              </from>
              <to>
                <xdr:col>11</xdr:col>
                <xdr:colOff>266700</xdr:colOff>
                <xdr:row>3</xdr:row>
                <xdr:rowOff>5443</xdr:rowOff>
              </to>
            </anchor>
          </controlPr>
        </control>
      </mc:Choice>
      <mc:Fallback>
        <control shapeId="3138" r:id="rId31" name="MultipleReportManagerInfoDCtb1"/>
      </mc:Fallback>
    </mc:AlternateContent>
    <mc:AlternateContent xmlns:mc="http://schemas.openxmlformats.org/markup-compatibility/2006">
      <mc:Choice Requires="x14">
        <control shapeId="3139" r:id="rId33" name="ReportSubmitManagerControlHCtb1">
          <controlPr defaultSize="0" autoLine="0" r:id="rId34">
            <anchor moveWithCells="1">
              <from>
                <xdr:col>10</xdr:col>
                <xdr:colOff>0</xdr:colOff>
                <xdr:row>3</xdr:row>
                <xdr:rowOff>0</xdr:rowOff>
              </from>
              <to>
                <xdr:col>11</xdr:col>
                <xdr:colOff>266700</xdr:colOff>
                <xdr:row>3</xdr:row>
                <xdr:rowOff>5443</xdr:rowOff>
              </to>
            </anchor>
          </controlPr>
        </control>
      </mc:Choice>
      <mc:Fallback>
        <control shapeId="3139" r:id="rId33" name="ReportSubmitManagerControlHCtb1"/>
      </mc:Fallback>
    </mc:AlternateContent>
    <mc:AlternateContent xmlns:mc="http://schemas.openxmlformats.org/markup-compatibility/2006">
      <mc:Choice Requires="x14">
        <control shapeId="3140" r:id="rId35" name="ReportSubmitManagerControlDCtb1">
          <controlPr defaultSize="0" autoLine="0" r:id="rId36">
            <anchor moveWithCells="1">
              <from>
                <xdr:col>10</xdr:col>
                <xdr:colOff>0</xdr:colOff>
                <xdr:row>3</xdr:row>
                <xdr:rowOff>0</xdr:rowOff>
              </from>
              <to>
                <xdr:col>11</xdr:col>
                <xdr:colOff>266700</xdr:colOff>
                <xdr:row>3</xdr:row>
                <xdr:rowOff>5443</xdr:rowOff>
              </to>
            </anchor>
          </controlPr>
        </control>
      </mc:Choice>
      <mc:Fallback>
        <control shapeId="3140" r:id="rId35" name="ReportSubmitManagerControlDCtb1"/>
      </mc:Fallback>
    </mc:AlternateContent>
    <mc:AlternateContent xmlns:mc="http://schemas.openxmlformats.org/markup-compatibility/2006">
      <mc:Choice Requires="x14">
        <control shapeId="3141" r:id="rId37" name="ReportSubmitControl_1HCtb1">
          <controlPr defaultSize="0" autoLine="0" r:id="rId38">
            <anchor moveWithCells="1">
              <from>
                <xdr:col>10</xdr:col>
                <xdr:colOff>0</xdr:colOff>
                <xdr:row>3</xdr:row>
                <xdr:rowOff>0</xdr:rowOff>
              </from>
              <to>
                <xdr:col>11</xdr:col>
                <xdr:colOff>266700</xdr:colOff>
                <xdr:row>3</xdr:row>
                <xdr:rowOff>5443</xdr:rowOff>
              </to>
            </anchor>
          </controlPr>
        </control>
      </mc:Choice>
      <mc:Fallback>
        <control shapeId="3141" r:id="rId37" name="ReportSubmitControl_1HCtb1"/>
      </mc:Fallback>
    </mc:AlternateContent>
    <mc:AlternateContent xmlns:mc="http://schemas.openxmlformats.org/markup-compatibility/2006">
      <mc:Choice Requires="x14">
        <control shapeId="3142" r:id="rId39" name="ReportSubmitControl_1DCtb1">
          <controlPr defaultSize="0" autoLine="0" r:id="rId40">
            <anchor moveWithCells="1">
              <from>
                <xdr:col>10</xdr:col>
                <xdr:colOff>0</xdr:colOff>
                <xdr:row>3</xdr:row>
                <xdr:rowOff>0</xdr:rowOff>
              </from>
              <to>
                <xdr:col>11</xdr:col>
                <xdr:colOff>266700</xdr:colOff>
                <xdr:row>3</xdr:row>
                <xdr:rowOff>5443</xdr:rowOff>
              </to>
            </anchor>
          </controlPr>
        </control>
      </mc:Choice>
      <mc:Fallback>
        <control shapeId="3142" r:id="rId39" name="ReportSubmitControl_1DCtb1"/>
      </mc:Fallback>
    </mc:AlternateContent>
    <mc:AlternateContent xmlns:mc="http://schemas.openxmlformats.org/markup-compatibility/2006">
      <mc:Choice Requires="x14">
        <control shapeId="3146" r:id="rId41" name="AnalyzerDynReportHC000tb1">
          <controlPr defaultSize="0" autoLine="0" r:id="rId42">
            <anchor moveWithCells="1">
              <from>
                <xdr:col>10</xdr:col>
                <xdr:colOff>0</xdr:colOff>
                <xdr:row>3</xdr:row>
                <xdr:rowOff>0</xdr:rowOff>
              </from>
              <to>
                <xdr:col>11</xdr:col>
                <xdr:colOff>266700</xdr:colOff>
                <xdr:row>3</xdr:row>
                <xdr:rowOff>5443</xdr:rowOff>
              </to>
            </anchor>
          </controlPr>
        </control>
      </mc:Choice>
      <mc:Fallback>
        <control shapeId="3146" r:id="rId41" name="AnalyzerDynReportHC000tb1"/>
      </mc:Fallback>
    </mc:AlternateContent>
    <mc:AlternateContent xmlns:mc="http://schemas.openxmlformats.org/markup-compatibility/2006">
      <mc:Choice Requires="x14">
        <control shapeId="3147" r:id="rId43" name="AnalyzerDynReportDC000tb1">
          <controlPr defaultSize="0" autoLine="0" r:id="rId44">
            <anchor moveWithCells="1">
              <from>
                <xdr:col>10</xdr:col>
                <xdr:colOff>0</xdr:colOff>
                <xdr:row>3</xdr:row>
                <xdr:rowOff>0</xdr:rowOff>
              </from>
              <to>
                <xdr:col>11</xdr:col>
                <xdr:colOff>266700</xdr:colOff>
                <xdr:row>3</xdr:row>
                <xdr:rowOff>5443</xdr:rowOff>
              </to>
            </anchor>
          </controlPr>
        </control>
      </mc:Choice>
      <mc:Fallback>
        <control shapeId="3147" r:id="rId43"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Unit>SPA</planningUnit>
      <planningVersion>__BASELINE</planningVersion>
      <planningScenario>__PLAN</planningScenario>
      <timeRelativeFrom>0</timeRelativeFrom>
      <timeRelativeTo>130</timeRelativeTo>
    </planningUnits>
  </bookSettings>
  <report_Sheet2 xmlns="">
    <settings>
      <time>
        <dimension>PERIODID4</dimension>
        <rolling>false</rolling>
        <realTime>false</realTime>
        <fromAbsolute>62727</fromAbsolute>
        <toAbsolute>62746</toAbsolute>
        <fromRelative>0</fromRelative>
        <toRelative>0</toRelative>
        <fromTimeAbsolute>0001-01-01T00:00:00</fromTimeAbsolute>
        <toTimeAbsolute>0001-01-01T00:00:00</toTimeAbsolute>
        <fromTimeRelativeInDays>0</fromTimeRelativeInDays>
        <toTimeRelativeInDays>9</toTimeRelativeInDays>
      </time>
      <planningLevels>
        <value>LOCID</value>
        <value>CUSTID</value>
        <value>PRDID</value>
      </planningLevels>
      <keyFigures>
        <value>STATISTICALFORECASTQTY</value>
        <value>SALESFORECASTQTY</value>
        <value>ACTUALSQTYPRIORYEAR</value>
        <value>LOCALDEMANDPLANQTY</value>
        <value>CONSENSUSDEMAND</value>
        <value>FINALSENSEDDEMANDQTY</value>
        <value>DEMANDPLANNINGQTY</value>
      </keyFigures>
      <conversions>
        <conversion>
          <dimension>CURRTOID</dimension>
          <member>USD</member>
        </conversion>
        <conversion>
          <dimension>UOMTOID</dimension>
          <member>EA</member>
        </conversion>
      </conversions>
      <rowAxis>
        <value>LOCID</value>
        <value>CUSTID</value>
        <value>PRDID</value>
        <value>KEY_FIGURES</value>
      </rowAxis>
      <columnAxis>
        <value>PERIODID4</value>
      </columnAxis>
      <alerts/>
      <dimsDispOptnId/>
      <dimsDispOptnBoth/>
      <dimsTmpltFltrMandatory/>
      <dimsTmpltFltrOptional/>
      <alertsOnly>false</alertsOnly>
      <attributeSortings>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
          <sortOrder>
            <sortOrderItem>__AZ</sortOrderItem>
          </sortOrder>
          <sortByDimension/>
          <dimensionId>PRDID</dimensionId>
          <description>Ascending</description>
          <name>A-Z</name>
          <id>-11</id>
        </attributeSorting>
      </attributeSortings>
      <commentType>ALL</commentType>
    </settings>
    <filter>
      <name/>
      <id>0</id>
      <conditions>
        <condition>
          <dimension>PRDFAMILY</dimension>
          <operator>EQ</operator>
          <values>
            <value>FAMILY 400-SMARTPHONES</value>
          </values>
          <relations/>
        </condition>
      </conditions>
    </filter>
  </report_Sheet2>
</config>
</file>

<file path=customXml/itemProps1.xml><?xml version="1.0" encoding="utf-8"?>
<ds:datastoreItem xmlns:ds="http://schemas.openxmlformats.org/officeDocument/2006/customXml" ds:itemID="{C15A8FFA-4838-4641-BC47-2B5F9BA8638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2023-08-16T13:22:01Z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0159f501-90e3-412e-8f6f-f7e04c252a1b</vt:lpwstr>
  </property>
</Properties>
</file>