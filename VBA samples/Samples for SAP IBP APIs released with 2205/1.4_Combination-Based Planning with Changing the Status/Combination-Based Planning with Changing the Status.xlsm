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4_Combination-Based Planning with Changing the Status/"/>
    </mc:Choice>
  </mc:AlternateContent>
  <xr:revisionPtr revIDLastSave="357" documentId="6_{DA9703FA-074B-4189-AB52-F169DC9C0D9E}" xr6:coauthVersionLast="47" xr6:coauthVersionMax="47" xr10:uidLastSave="{530853D9-1D02-49AE-8417-ADABAA79636D}"/>
  <bookViews>
    <workbookView xWindow="-103" yWindow="-103" windowWidth="22149" windowHeight="11949" tabRatio="374" firstSheet="1" activeTab="1" xr2:uid="{00000000-000D-0000-FFFF-FFFF00000000}"/>
  </bookViews>
  <sheets>
    <sheet name="IBPFormattingSheet" sheetId="10" state="hidden" r:id="rId1"/>
    <sheet name="Planning" sheetId="5" r:id="rId2"/>
    <sheet name="List"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List!$A$1:$V$11</definedName>
    <definedName name="_xlnm._FilterDatabase" localSheetId="1" hidden="1">Planning!$A$4:$V$11</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"System 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 localSheetId="0">" "</definedName>
    <definedName name="SOP_Favorite_Name">"Combination-based Planning with Status"</definedName>
    <definedName name="SOP_Filter" localSheetId="0">{" "}</definedName>
    <definedName name="SOP_Filter" localSheetId="2">{"Product ID = HT_002; HT_003","Status of the Planning = Open"}</definedName>
    <definedName name="SOP_Filter" localSheetId="1">{"Product ID = HT_002","Location ID = HD_DC_CA_E"}</definedName>
    <definedName name="SOP_Filter">{" "}</definedName>
    <definedName name="SOP_Filter_Criteria_Count" localSheetId="2">2</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"Location ID"</definedName>
    <definedName name="SOP_Heading3" localSheetId="2">"Product ID"</definedName>
    <definedName name="SOP_Heading3" localSheetId="1">"Product ID"</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 localSheetId="0">"SAP4PW"</definedName>
    <definedName name="SOP_Planning_Area">"SAP6"</definedName>
    <definedName name="SOP_Planning_Scope" localSheetId="0">" "</definedName>
    <definedName name="SOP_Planning_Scope">"29.04.2022 - 31.12.2023 | Baseline | Base Version"</definedName>
    <definedName name="SOP_Refresh_Timestamp" localSheetId="0">43129.8290046296</definedName>
    <definedName name="SOP_Refresh_Timestamp">44680.6094907407</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 localSheetId="0">" "</definedName>
    <definedName name="SOP_Template_Name">"template name"</definedName>
    <definedName name="SOP_UOMToID" localSheetId="2">"PC"</definedName>
    <definedName name="SOP_UOMToID" localSheetId="1">"PC"</definedName>
    <definedName name="SOP_Value_Based_Filter" localSheetId="2">{" "}</definedName>
    <definedName name="SOP_Value_Based_Filter" localSheetId="1">{" "}</definedName>
    <definedName name="SOP_Value_Based_Filter_Name" localSheetId="2">"(None)"</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5" l="1"/>
  <c r="I5" i="5"/>
  <c r="J5" i="5"/>
  <c r="J10" i="5"/>
  <c r="J7" i="5"/>
  <c r="J9" i="5"/>
  <c r="P4" i="5"/>
  <c r="Q4" i="5"/>
  <c r="R4" i="5"/>
  <c r="K4" i="5"/>
  <c r="S4" i="5"/>
  <c r="L4" i="5"/>
  <c r="T4" i="5"/>
  <c r="M4" i="5"/>
  <c r="U4" i="5"/>
  <c r="N4" i="5"/>
  <c r="O4" i="5"/>
  <c r="I5" i="9"/>
  <c r="J8" i="9"/>
  <c r="I9" i="9"/>
  <c r="I6" i="9"/>
  <c r="I4" i="9"/>
  <c r="J4" i="9"/>
  <c r="J5" i="9"/>
  <c r="J9" i="9"/>
  <c r="I8" i="9"/>
  <c r="J6" i="9"/>
  <c r="I10" i="9"/>
  <c r="H7" i="9"/>
  <c r="J10" i="9"/>
  <c r="H4" i="9"/>
  <c r="I7" i="9"/>
  <c r="J7" i="9"/>
  <c r="N3" i="9"/>
  <c r="O3" i="9"/>
  <c r="S3" i="9"/>
  <c r="T3" i="9"/>
  <c r="P3" i="9"/>
  <c r="M3" i="9"/>
  <c r="Q3" i="9"/>
  <c r="R3" i="9"/>
  <c r="K3" i="9"/>
  <c r="L3" i="9"/>
  <c r="U3" i="9"/>
  <c r="Q1" i="5"/>
  <c r="A2" i="5" l="1"/>
  <c r="J3" i="9" l="1"/>
  <c r="H3" i="9"/>
  <c r="I3" i="9"/>
  <c r="A3" i="9"/>
  <c r="B3" i="9"/>
  <c r="C3" i="9"/>
  <c r="D3" i="9"/>
  <c r="E3" i="9"/>
  <c r="F3" i="9"/>
  <c r="G3" i="9"/>
  <c r="A2" i="9"/>
  <c r="K2" i="9"/>
  <c r="K1" i="9"/>
  <c r="J4" i="5"/>
  <c r="H4" i="5"/>
  <c r="I4" i="5"/>
  <c r="A4" i="5"/>
  <c r="B4" i="5"/>
  <c r="C4" i="5"/>
  <c r="D4" i="5"/>
  <c r="E4" i="5"/>
  <c r="F4" i="5"/>
  <c r="G4" i="5"/>
  <c r="K2" i="5"/>
  <c r="Q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7E5622BD-17DD-4B08-972F-F730BB2CF245}">
      <text>
        <r>
          <rPr>
            <b/>
            <sz val="9"/>
            <color indexed="81"/>
            <rFont val="Tahoma"/>
            <family val="2"/>
          </rPr>
          <t>TotalMember</t>
        </r>
      </text>
    </comment>
    <comment ref="D44" authorId="0" shapeId="0" xr:uid="{0559F192-D64A-4483-98D3-2AA2A9FFFE3A}">
      <text>
        <r>
          <rPr>
            <b/>
            <sz val="9"/>
            <color indexed="81"/>
            <rFont val="Tahoma"/>
            <family val="2"/>
          </rPr>
          <t>Property#KEY_FIGURES#FIXING#Equals#Y</t>
        </r>
      </text>
    </comment>
    <comment ref="D65" authorId="0" shapeId="0" xr:uid="{354CD8DB-BECA-43FC-9075-D5A66C967C8B}">
      <text>
        <r>
          <rPr>
            <b/>
            <sz val="9"/>
            <color indexed="81"/>
            <rFont val="Tahoma"/>
            <family val="2"/>
          </rPr>
          <t>Property#PERIODID#TIMELEVEL#Equals#TOTAL</t>
        </r>
      </text>
    </comment>
    <comment ref="D68" authorId="0" shapeId="0" xr:uid="{7EDB542E-619B-4B10-98C1-9EDE6B57DE3A}">
      <text>
        <r>
          <rPr>
            <b/>
            <sz val="9"/>
            <color indexed="81"/>
            <rFont val="Tahoma"/>
            <family val="2"/>
          </rPr>
          <t>Property#PERIODID#TIMELEVEL#Equals#PERIODID0</t>
        </r>
      </text>
    </comment>
    <comment ref="D71" authorId="0" shapeId="0" xr:uid="{E96C58A6-4B4F-4AB2-B7B6-90A2E7CB9E4A}">
      <text>
        <r>
          <rPr>
            <b/>
            <sz val="9"/>
            <color indexed="81"/>
            <rFont val="Tahoma"/>
            <family val="2"/>
          </rPr>
          <t>Property#PERIODID#TIMELEVEL#Equals#PERIODID1</t>
        </r>
      </text>
    </comment>
    <comment ref="D74" authorId="0" shapeId="0" xr:uid="{4191BE4F-21DE-4E17-A520-BFBCDC8AD520}">
      <text>
        <r>
          <rPr>
            <b/>
            <sz val="9"/>
            <color indexed="81"/>
            <rFont val="Tahoma"/>
            <family val="2"/>
          </rPr>
          <t>Property#PERIODID#TIMELEVEL#Equals#PERIODID2</t>
        </r>
      </text>
    </comment>
    <comment ref="D77" authorId="0" shapeId="0" xr:uid="{388D724B-7DD5-4E20-B65F-D3C36AF18B1E}">
      <text>
        <r>
          <rPr>
            <b/>
            <sz val="9"/>
            <color indexed="81"/>
            <rFont val="Tahoma"/>
            <family val="2"/>
          </rPr>
          <t>Property#PERIODID#TIMELEVEL#Equals#PERIODID3</t>
        </r>
      </text>
    </comment>
    <comment ref="D80" authorId="0" shapeId="0" xr:uid="{BDB86802-50AA-4224-BE58-9787125EBA54}">
      <text>
        <r>
          <rPr>
            <b/>
            <sz val="9"/>
            <color indexed="81"/>
            <rFont val="Tahoma"/>
            <family val="2"/>
          </rPr>
          <t>Property#PERIODID#TIMELEVEL#Equals#PERIODID4</t>
        </r>
      </text>
    </comment>
    <comment ref="D83" authorId="0" shapeId="0" xr:uid="{0FABAA9C-8B6C-4AD0-8C42-CB2E0D61FEAA}">
      <text>
        <r>
          <rPr>
            <b/>
            <sz val="9"/>
            <color indexed="81"/>
            <rFont val="Tahoma"/>
            <family val="2"/>
          </rPr>
          <t>Property#PERIODID#TIMELEVEL#Equals#PERIODID5</t>
        </r>
      </text>
    </comment>
  </commentList>
</comments>
</file>

<file path=xl/sharedStrings.xml><?xml version="1.0" encoding="utf-8"?>
<sst xmlns="http://schemas.openxmlformats.org/spreadsheetml/2006/main" count="141" uniqueCount="44">
  <si>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</si>
  <si>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</si>
  <si>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</si>
  <si>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</si>
  <si>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</si>
  <si>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</si>
  <si>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</si>
  <si>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</si>
  <si>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</si>
  <si>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</si>
  <si>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</si>
  <si>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</si>
  <si>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</si>
  <si>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</si>
  <si>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</si>
  <si>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</si>
  <si>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</si>
  <si>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</si>
  <si>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</si>
  <si>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</si>
  <si>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</si>
  <si>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</si>
  <si>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</si>
  <si>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</si>
  <si>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</si>
  <si>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</si>
  <si>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</si>
  <si>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</si>
  <si>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 xml:space="preserve">Integrated Business Planning
</t>
  </si>
  <si>
    <t>Consensus Demand</t>
  </si>
  <si>
    <t>Delivered Qty Adjusted</t>
  </si>
  <si>
    <t>Actuals Price</t>
  </si>
  <si>
    <t xml:space="preserve"> Combination-based Planning with Status</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</si>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</sst>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6"/>
      <color theme="0" tint="-4.9989318521683403E-2"/>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8" borderId="0" applyNumberFormat="0" applyBorder="0" applyAlignment="0" applyProtection="0"/>
  </cellStyleXfs>
  <cellXfs count="111">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0" fillId="6" borderId="0" xfId="0" applyFill="1"/>
    <xf numFmtId="0" fontId="14" fillId="10" borderId="0" xfId="0" applyFont="1" applyFill="1" applyBorder="1"/>
    <xf numFmtId="0" fontId="0" fillId="11"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applyFont="1" applyAlignment="1">
      <alignment horizontal="center"/>
    </xf>
    <xf numFmtId="3" fontId="20" fillId="12"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10" borderId="0" xfId="0" applyFont="1" applyFill="1" applyBorder="1" applyAlignment="1" applyProtection="1">
      <alignment horizontal="right" vertical="center"/>
    </xf>
    <xf numFmtId="0" fontId="11" fillId="10" borderId="0" xfId="0" applyFont="1" applyFill="1" applyBorder="1" applyAlignment="1" applyProtection="1">
      <alignment horizontal="left" vertical="center"/>
    </xf>
    <xf numFmtId="0" fontId="14" fillId="10" borderId="0" xfId="0" applyFont="1" applyFill="1" applyProtection="1"/>
    <xf numFmtId="0" fontId="14" fillId="10" borderId="0" xfId="0" applyFont="1" applyFill="1" applyBorder="1" applyProtection="1"/>
    <xf numFmtId="0" fontId="14" fillId="10" borderId="0" xfId="1" applyFont="1" applyFill="1" applyBorder="1" applyAlignment="1" applyProtection="1"/>
    <xf numFmtId="0" fontId="0" fillId="6" borderId="0" xfId="0" applyFill="1" applyProtection="1"/>
    <xf numFmtId="0" fontId="0" fillId="0" borderId="0" xfId="0" applyProtection="1"/>
    <xf numFmtId="0" fontId="11" fillId="11" borderId="0" xfId="0" applyFont="1" applyFill="1" applyProtection="1"/>
    <xf numFmtId="0" fontId="18" fillId="10" borderId="0" xfId="0" applyFont="1" applyFill="1" applyAlignment="1">
      <alignment vertical="top" wrapText="1"/>
    </xf>
    <xf numFmtId="0" fontId="0" fillId="0" borderId="0" xfId="0"/>
    <xf numFmtId="0" fontId="12" fillId="0" borderId="0" xfId="0" applyFont="1" applyFill="1" applyBorder="1" applyAlignment="1" applyProtection="1">
      <alignment horizontal="left" vertical="center"/>
      <protection locked="0"/>
    </xf>
    <xf numFmtId="3" fontId="13" fillId="0" borderId="0" xfId="0" applyNumberFormat="1" applyFont="1" applyFill="1" applyBorder="1" applyAlignment="1" applyProtection="1">
      <alignment horizontal="right" vertical="center"/>
      <protection locked="0"/>
    </xf>
    <xf numFmtId="0" fontId="11" fillId="11" borderId="0" xfId="0" applyFont="1" applyFill="1" applyBorder="1" applyAlignment="1" applyProtection="1">
      <alignment horizontal="right" vertical="center"/>
      <protection locked="0"/>
    </xf>
    <xf numFmtId="3" fontId="20" fillId="12"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0" fillId="6" borderId="0" xfId="0" applyFill="1" applyAlignment="1" applyProtection="1">
      <alignment horizontal="left" vertical="top" wrapText="1"/>
    </xf>
    <xf numFmtId="0" fontId="17" fillId="10" borderId="0" xfId="0" quotePrefix="1" applyFont="1" applyFill="1" applyBorder="1" applyAlignment="1" applyProtection="1">
      <alignment horizontal="left" vertical="top" wrapText="1" indent="5"/>
    </xf>
    <xf numFmtId="0" fontId="17" fillId="10" borderId="0" xfId="0" quotePrefix="1" applyFont="1" applyFill="1" applyBorder="1" applyAlignment="1" applyProtection="1">
      <alignment horizontal="left" vertical="top" indent="5"/>
    </xf>
    <xf numFmtId="0" fontId="19" fillId="10" borderId="0" xfId="0" quotePrefix="1" applyFont="1" applyFill="1" applyBorder="1" applyAlignment="1" applyProtection="1">
      <alignment horizontal="left" vertical="top" wrapText="1" indent="5"/>
    </xf>
    <xf numFmtId="0" fontId="18" fillId="10" borderId="0" xfId="0" applyFont="1" applyFill="1" applyBorder="1" applyAlignment="1" applyProtection="1">
      <alignment horizontal="left" vertical="top"/>
    </xf>
    <xf numFmtId="0" fontId="21" fillId="10" borderId="0" xfId="0" applyFont="1" applyFill="1" applyBorder="1" applyAlignment="1" applyProtection="1">
      <alignment horizontal="left" vertical="center"/>
    </xf>
    <xf numFmtId="0" fontId="18" fillId="10" borderId="0" xfId="0" applyFont="1" applyFill="1" applyBorder="1" applyAlignment="1" applyProtection="1">
      <alignment horizontal="right" vertical="top" wrapText="1"/>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1"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9" borderId="0" xfId="0" applyNumberFormat="1" applyFont="1" applyFill="1" applyAlignment="1" applyProtection="1">
      <alignment horizontal="right" vertical="center"/>
      <protection locked="0"/>
    </xf>
    <xf numFmtId="3" fontId="13" fillId="7"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4" fillId="9"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5" fillId="0" borderId="0" xfId="0" quotePrefix="1" applyFont="1" applyAlignment="1">
      <alignment horizontal="left" vertical="center"/>
    </xf>
    <xf numFmtId="3" fontId="26"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4" fillId="0" borderId="0" xfId="0" applyNumberFormat="1" applyFont="1" applyAlignment="1" applyProtection="1">
      <alignment horizontal="righ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0" fillId="18"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CDEBFF"/>
      <color rgb="FF003283"/>
      <color rgb="FF970A82"/>
      <color rgb="FFFF9124"/>
      <color rgb="FF21A3F1"/>
      <color rgb="FF79B51A"/>
      <color rgb="FF008FD3"/>
      <color rgb="FF464646"/>
      <color rgb="FFF0AB00"/>
      <color rgb="FFE35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7.png"/></Relationships>
</file>

<file path=xl/drawings/_rels/drawing3.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21" Type="http://schemas.openxmlformats.org/officeDocument/2006/relationships/image" Target="../media/image25.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20" Type="http://schemas.openxmlformats.org/officeDocument/2006/relationships/image" Target="../media/image24.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 Id="rId22"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image" Target="../media/image44.emf"/><Relationship Id="rId18" Type="http://schemas.openxmlformats.org/officeDocument/2006/relationships/image" Target="../media/image29.emf"/><Relationship Id="rId3" Type="http://schemas.openxmlformats.org/officeDocument/2006/relationships/image" Target="../media/image10.emf"/><Relationship Id="rId7" Type="http://schemas.openxmlformats.org/officeDocument/2006/relationships/image" Target="../media/image38.emf"/><Relationship Id="rId12" Type="http://schemas.openxmlformats.org/officeDocument/2006/relationships/image" Target="../media/image43.emf"/><Relationship Id="rId17" Type="http://schemas.openxmlformats.org/officeDocument/2006/relationships/image" Target="../media/image30.emf"/><Relationship Id="rId2" Type="http://schemas.openxmlformats.org/officeDocument/2006/relationships/image" Target="../media/image34.emf"/><Relationship Id="rId16" Type="http://schemas.openxmlformats.org/officeDocument/2006/relationships/image" Target="../media/image31.emf"/><Relationship Id="rId1" Type="http://schemas.openxmlformats.org/officeDocument/2006/relationships/image" Target="../media/image33.emf"/><Relationship Id="rId6" Type="http://schemas.openxmlformats.org/officeDocument/2006/relationships/image" Target="../media/image37.emf"/><Relationship Id="rId11" Type="http://schemas.openxmlformats.org/officeDocument/2006/relationships/image" Target="../media/image42.emf"/><Relationship Id="rId5" Type="http://schemas.openxmlformats.org/officeDocument/2006/relationships/image" Target="../media/image36.emf"/><Relationship Id="rId15" Type="http://schemas.openxmlformats.org/officeDocument/2006/relationships/image" Target="../media/image32.emf"/><Relationship Id="rId10" Type="http://schemas.openxmlformats.org/officeDocument/2006/relationships/image" Target="../media/image41.emf"/><Relationship Id="rId4" Type="http://schemas.openxmlformats.org/officeDocument/2006/relationships/image" Target="../media/image35.emf"/><Relationship Id="rId9" Type="http://schemas.openxmlformats.org/officeDocument/2006/relationships/image" Target="../media/image40.emf"/><Relationship Id="rId14"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0241" name="cbApplyLevelFormatting" hidden="1">
              <a:extLst>
                <a:ext uri="{63B3BB69-23CF-44E3-9099-C40C66FF867C}">
                  <a14:compatExt spid="_x0000_s10241"/>
                </a:ext>
                <a:ext uri="{FF2B5EF4-FFF2-40B4-BE49-F238E27FC236}">
                  <a16:creationId xmlns:a16="http://schemas.microsoft.com/office/drawing/2014/main" id="{D45DE8E3-1D44-4D21-9879-890D29708F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0242" name="Group Box 2" hidden="1">
              <a:extLst>
                <a:ext uri="{63B3BB69-23CF-44E3-9099-C40C66FF867C}">
                  <a14:compatExt spid="_x0000_s10242"/>
                </a:ext>
                <a:ext uri="{FF2B5EF4-FFF2-40B4-BE49-F238E27FC236}">
                  <a16:creationId xmlns:a16="http://schemas.microsoft.com/office/drawing/2014/main" id="{CE6DC317-0B42-4AF9-9993-99F0559697F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0243" name="obLevelRowFirst" hidden="1">
              <a:extLst>
                <a:ext uri="{63B3BB69-23CF-44E3-9099-C40C66FF867C}">
                  <a14:compatExt spid="_x0000_s10243"/>
                </a:ext>
                <a:ext uri="{FF2B5EF4-FFF2-40B4-BE49-F238E27FC236}">
                  <a16:creationId xmlns:a16="http://schemas.microsoft.com/office/drawing/2014/main" id="{DB5D27DA-485A-4B74-B080-32182CC221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0244" name="obLevelColumnFirst" hidden="1">
              <a:extLst>
                <a:ext uri="{63B3BB69-23CF-44E3-9099-C40C66FF867C}">
                  <a14:compatExt spid="_x0000_s10244"/>
                </a:ext>
                <a:ext uri="{FF2B5EF4-FFF2-40B4-BE49-F238E27FC236}">
                  <a16:creationId xmlns:a16="http://schemas.microsoft.com/office/drawing/2014/main" id="{89BF4797-FADB-4322-BFAF-7C848E83EC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0245" name="Group Box 5" hidden="1">
              <a:extLst>
                <a:ext uri="{63B3BB69-23CF-44E3-9099-C40C66FF867C}">
                  <a14:compatExt spid="_x0000_s10245"/>
                </a:ext>
                <a:ext uri="{FF2B5EF4-FFF2-40B4-BE49-F238E27FC236}">
                  <a16:creationId xmlns:a16="http://schemas.microsoft.com/office/drawing/2014/main" id="{F196318C-54A3-428D-9216-DA61EF293D4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0246" name="Group Box 6" hidden="1">
              <a:extLst>
                <a:ext uri="{63B3BB69-23CF-44E3-9099-C40C66FF867C}">
                  <a14:compatExt spid="_x0000_s10246"/>
                </a:ext>
                <a:ext uri="{FF2B5EF4-FFF2-40B4-BE49-F238E27FC236}">
                  <a16:creationId xmlns:a16="http://schemas.microsoft.com/office/drawing/2014/main" id="{9F71757E-AA90-47F3-AFFA-3AC4136D1A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0247" name="cbUseDefaultLevelFirst" hidden="1">
              <a:extLst>
                <a:ext uri="{63B3BB69-23CF-44E3-9099-C40C66FF867C}">
                  <a14:compatExt spid="_x0000_s10247"/>
                </a:ext>
                <a:ext uri="{FF2B5EF4-FFF2-40B4-BE49-F238E27FC236}">
                  <a16:creationId xmlns:a16="http://schemas.microsoft.com/office/drawing/2014/main" id="{FD8D0D06-EF66-48C7-BCFD-2DB525BE1A1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0248" name="Group Box 8" hidden="1">
              <a:extLst>
                <a:ext uri="{63B3BB69-23CF-44E3-9099-C40C66FF867C}">
                  <a14:compatExt spid="_x0000_s10248"/>
                </a:ext>
                <a:ext uri="{FF2B5EF4-FFF2-40B4-BE49-F238E27FC236}">
                  <a16:creationId xmlns:a16="http://schemas.microsoft.com/office/drawing/2014/main" id="{695CCBE1-CEC5-4BC7-87E0-A6BA4A1EF27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0249" name="cbUseDefaultLevelSecond" hidden="1">
              <a:extLst>
                <a:ext uri="{63B3BB69-23CF-44E3-9099-C40C66FF867C}">
                  <a14:compatExt spid="_x0000_s10249"/>
                </a:ext>
                <a:ext uri="{FF2B5EF4-FFF2-40B4-BE49-F238E27FC236}">
                  <a16:creationId xmlns:a16="http://schemas.microsoft.com/office/drawing/2014/main" id="{EE10084E-4013-4264-BAE3-A20FC52AD9E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0250" name="cbApplyMemberFormatting" hidden="1">
              <a:extLst>
                <a:ext uri="{63B3BB69-23CF-44E3-9099-C40C66FF867C}">
                  <a14:compatExt spid="_x0000_s10250"/>
                </a:ext>
                <a:ext uri="{FF2B5EF4-FFF2-40B4-BE49-F238E27FC236}">
                  <a16:creationId xmlns:a16="http://schemas.microsoft.com/office/drawing/2014/main" id="{F2F8F88D-679C-4AA3-97EB-1FA6702E4E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0251" name="Group Box 11" hidden="1">
              <a:extLst>
                <a:ext uri="{63B3BB69-23CF-44E3-9099-C40C66FF867C}">
                  <a14:compatExt spid="_x0000_s10251"/>
                </a:ext>
                <a:ext uri="{FF2B5EF4-FFF2-40B4-BE49-F238E27FC236}">
                  <a16:creationId xmlns:a16="http://schemas.microsoft.com/office/drawing/2014/main" id="{0AFAA9A5-D567-47C0-97DA-3FCA34CFD76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0252" name="obMemberRowFirst" hidden="1">
              <a:extLst>
                <a:ext uri="{63B3BB69-23CF-44E3-9099-C40C66FF867C}">
                  <a14:compatExt spid="_x0000_s10252"/>
                </a:ext>
                <a:ext uri="{FF2B5EF4-FFF2-40B4-BE49-F238E27FC236}">
                  <a16:creationId xmlns:a16="http://schemas.microsoft.com/office/drawing/2014/main" id="{DF24AC1F-F650-49EB-8DC7-D42C4E26CAC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0253" name="obMemberColumnFirst" hidden="1">
              <a:extLst>
                <a:ext uri="{63B3BB69-23CF-44E3-9099-C40C66FF867C}">
                  <a14:compatExt spid="_x0000_s10253"/>
                </a:ext>
                <a:ext uri="{FF2B5EF4-FFF2-40B4-BE49-F238E27FC236}">
                  <a16:creationId xmlns:a16="http://schemas.microsoft.com/office/drawing/2014/main" id="{E9CE97B4-43B3-43EB-8575-EF322331FF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0254" name="cbApplyCalculatedMemberFirst" hidden="1">
              <a:extLst>
                <a:ext uri="{63B3BB69-23CF-44E3-9099-C40C66FF867C}">
                  <a14:compatExt spid="_x0000_s10254"/>
                </a:ext>
                <a:ext uri="{FF2B5EF4-FFF2-40B4-BE49-F238E27FC236}">
                  <a16:creationId xmlns:a16="http://schemas.microsoft.com/office/drawing/2014/main" id="{B1CE2B84-E110-449B-A4D2-690DD51304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0255" name="cbApplyImputableMemberFirst" hidden="1">
              <a:extLst>
                <a:ext uri="{63B3BB69-23CF-44E3-9099-C40C66FF867C}">
                  <a14:compatExt spid="_x0000_s10255"/>
                </a:ext>
                <a:ext uri="{FF2B5EF4-FFF2-40B4-BE49-F238E27FC236}">
                  <a16:creationId xmlns:a16="http://schemas.microsoft.com/office/drawing/2014/main" id="{6D3AFFDC-ABBD-425A-B7A7-8B0D9336104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0256" name="cbApplyLocalMemberFirst" hidden="1">
              <a:extLst>
                <a:ext uri="{63B3BB69-23CF-44E3-9099-C40C66FF867C}">
                  <a14:compatExt spid="_x0000_s10256"/>
                </a:ext>
                <a:ext uri="{FF2B5EF4-FFF2-40B4-BE49-F238E27FC236}">
                  <a16:creationId xmlns:a16="http://schemas.microsoft.com/office/drawing/2014/main" id="{11EE8C55-9F57-4729-9CC0-2675DCA03AA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0257" name="cbApplyChangedMemberFirst" hidden="1">
              <a:extLst>
                <a:ext uri="{63B3BB69-23CF-44E3-9099-C40C66FF867C}">
                  <a14:compatExt spid="_x0000_s10257"/>
                </a:ext>
                <a:ext uri="{FF2B5EF4-FFF2-40B4-BE49-F238E27FC236}">
                  <a16:creationId xmlns:a16="http://schemas.microsoft.com/office/drawing/2014/main" id="{2FB68DCA-7EFB-45AD-919C-4779FDD4996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0258" name="cbApplySpecificMemberFirst" hidden="1">
              <a:extLst>
                <a:ext uri="{63B3BB69-23CF-44E3-9099-C40C66FF867C}">
                  <a14:compatExt spid="_x0000_s10258"/>
                </a:ext>
                <a:ext uri="{FF2B5EF4-FFF2-40B4-BE49-F238E27FC236}">
                  <a16:creationId xmlns:a16="http://schemas.microsoft.com/office/drawing/2014/main" id="{AD2D7E76-E9E5-4C3B-99C3-3722505F65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0259" name="AddMemberFirst" hidden="1">
              <a:extLst>
                <a:ext uri="{63B3BB69-23CF-44E3-9099-C40C66FF867C}">
                  <a14:compatExt spid="_x0000_s10259"/>
                </a:ext>
                <a:ext uri="{FF2B5EF4-FFF2-40B4-BE49-F238E27FC236}">
                  <a16:creationId xmlns:a16="http://schemas.microsoft.com/office/drawing/2014/main" id="{2F5EBBAF-DF75-4BA4-9F02-DEAC6BAF8C5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0260" name="cbApplyCalculatedMemberSecond" hidden="1">
              <a:extLst>
                <a:ext uri="{63B3BB69-23CF-44E3-9099-C40C66FF867C}">
                  <a14:compatExt spid="_x0000_s10260"/>
                </a:ext>
                <a:ext uri="{FF2B5EF4-FFF2-40B4-BE49-F238E27FC236}">
                  <a16:creationId xmlns:a16="http://schemas.microsoft.com/office/drawing/2014/main" id="{98379DB0-9161-43AE-B3C0-A771DD37C60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0261" name="cbApplyImputableMemberSecond" hidden="1">
              <a:extLst>
                <a:ext uri="{63B3BB69-23CF-44E3-9099-C40C66FF867C}">
                  <a14:compatExt spid="_x0000_s10261"/>
                </a:ext>
                <a:ext uri="{FF2B5EF4-FFF2-40B4-BE49-F238E27FC236}">
                  <a16:creationId xmlns:a16="http://schemas.microsoft.com/office/drawing/2014/main" id="{2890A5A0-A900-4768-B77E-526DCB0FB0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0262" name="cbApplyLocalMemberSecond" hidden="1">
              <a:extLst>
                <a:ext uri="{63B3BB69-23CF-44E3-9099-C40C66FF867C}">
                  <a14:compatExt spid="_x0000_s10262"/>
                </a:ext>
                <a:ext uri="{FF2B5EF4-FFF2-40B4-BE49-F238E27FC236}">
                  <a16:creationId xmlns:a16="http://schemas.microsoft.com/office/drawing/2014/main" id="{4D95298B-F7F2-4CC0-8CDE-904796B3BBA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0263" name="cbApplyChangedMemberSecond" hidden="1">
              <a:extLst>
                <a:ext uri="{63B3BB69-23CF-44E3-9099-C40C66FF867C}">
                  <a14:compatExt spid="_x0000_s10263"/>
                </a:ext>
                <a:ext uri="{FF2B5EF4-FFF2-40B4-BE49-F238E27FC236}">
                  <a16:creationId xmlns:a16="http://schemas.microsoft.com/office/drawing/2014/main" id="{2DDC0B04-6768-4CBB-ACD0-0980F335A4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0264" name="cbApplySpecificMemberSecond" hidden="1">
              <a:extLst>
                <a:ext uri="{63B3BB69-23CF-44E3-9099-C40C66FF867C}">
                  <a14:compatExt spid="_x0000_s10264"/>
                </a:ext>
                <a:ext uri="{FF2B5EF4-FFF2-40B4-BE49-F238E27FC236}">
                  <a16:creationId xmlns:a16="http://schemas.microsoft.com/office/drawing/2014/main" id="{8AD6A923-C150-44FD-A8C5-930449D814E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0265" name="AddMemberSecond" hidden="1">
              <a:extLst>
                <a:ext uri="{63B3BB69-23CF-44E3-9099-C40C66FF867C}">
                  <a14:compatExt spid="_x0000_s10265"/>
                </a:ext>
                <a:ext uri="{FF2B5EF4-FFF2-40B4-BE49-F238E27FC236}">
                  <a16:creationId xmlns:a16="http://schemas.microsoft.com/office/drawing/2014/main" id="{37FB838A-9932-4C18-8213-FEFF36C13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0266" name="cbApplyOddEvenFormatting" hidden="1">
              <a:extLst>
                <a:ext uri="{63B3BB69-23CF-44E3-9099-C40C66FF867C}">
                  <a14:compatExt spid="_x0000_s10266"/>
                </a:ext>
                <a:ext uri="{FF2B5EF4-FFF2-40B4-BE49-F238E27FC236}">
                  <a16:creationId xmlns:a16="http://schemas.microsoft.com/office/drawing/2014/main" id="{05A76939-70E3-49B7-875B-7AFDCF521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0267" name="Group Box 27" hidden="1">
              <a:extLst>
                <a:ext uri="{63B3BB69-23CF-44E3-9099-C40C66FF867C}">
                  <a14:compatExt spid="_x0000_s10267"/>
                </a:ext>
                <a:ext uri="{FF2B5EF4-FFF2-40B4-BE49-F238E27FC236}">
                  <a16:creationId xmlns:a16="http://schemas.microsoft.com/office/drawing/2014/main" id="{C6B9D0A1-B162-48C5-9E1C-17CA4AE26A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0268" name="obOddEvenRowFirst" hidden="1">
              <a:extLst>
                <a:ext uri="{63B3BB69-23CF-44E3-9099-C40C66FF867C}">
                  <a14:compatExt spid="_x0000_s10268"/>
                </a:ext>
                <a:ext uri="{FF2B5EF4-FFF2-40B4-BE49-F238E27FC236}">
                  <a16:creationId xmlns:a16="http://schemas.microsoft.com/office/drawing/2014/main" id="{DA938472-104B-4B1F-BDF5-367DFBE426C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0269" name="obOddEvenColumnFirst" hidden="1">
              <a:extLst>
                <a:ext uri="{63B3BB69-23CF-44E3-9099-C40C66FF867C}">
                  <a14:compatExt spid="_x0000_s10269"/>
                </a:ext>
                <a:ext uri="{FF2B5EF4-FFF2-40B4-BE49-F238E27FC236}">
                  <a16:creationId xmlns:a16="http://schemas.microsoft.com/office/drawing/2014/main" id="{89640F54-644E-4A65-AAC1-9549B26D8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0270" name="cbUseOddFirst" hidden="1">
              <a:extLst>
                <a:ext uri="{63B3BB69-23CF-44E3-9099-C40C66FF867C}">
                  <a14:compatExt spid="_x0000_s10270"/>
                </a:ext>
                <a:ext uri="{FF2B5EF4-FFF2-40B4-BE49-F238E27FC236}">
                  <a16:creationId xmlns:a16="http://schemas.microsoft.com/office/drawing/2014/main" id="{85AC7314-D888-4CF6-BEB3-91BEAA6ABE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0271" name="cbUseEvenFirst" hidden="1">
              <a:extLst>
                <a:ext uri="{63B3BB69-23CF-44E3-9099-C40C66FF867C}">
                  <a14:compatExt spid="_x0000_s10271"/>
                </a:ext>
                <a:ext uri="{FF2B5EF4-FFF2-40B4-BE49-F238E27FC236}">
                  <a16:creationId xmlns:a16="http://schemas.microsoft.com/office/drawing/2014/main" id="{A248FAA8-CA91-49EB-A622-155609D842C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0272" name="cbUseOddSecond" hidden="1">
              <a:extLst>
                <a:ext uri="{63B3BB69-23CF-44E3-9099-C40C66FF867C}">
                  <a14:compatExt spid="_x0000_s10272"/>
                </a:ext>
                <a:ext uri="{FF2B5EF4-FFF2-40B4-BE49-F238E27FC236}">
                  <a16:creationId xmlns:a16="http://schemas.microsoft.com/office/drawing/2014/main" id="{FE9FAC9F-9233-4333-A0D0-6AF71B8123F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0273" name="cbUseEvenSecond" hidden="1">
              <a:extLst>
                <a:ext uri="{63B3BB69-23CF-44E3-9099-C40C66FF867C}">
                  <a14:compatExt spid="_x0000_s10273"/>
                </a:ext>
                <a:ext uri="{FF2B5EF4-FFF2-40B4-BE49-F238E27FC236}">
                  <a16:creationId xmlns:a16="http://schemas.microsoft.com/office/drawing/2014/main" id="{920F0855-1006-4FD4-808C-AB646107044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0274" name="AddedMember2_1" hidden="1">
              <a:extLst>
                <a:ext uri="{63B3BB69-23CF-44E3-9099-C40C66FF867C}">
                  <a14:compatExt spid="_x0000_s10274"/>
                </a:ext>
                <a:ext uri="{FF2B5EF4-FFF2-40B4-BE49-F238E27FC236}">
                  <a16:creationId xmlns:a16="http://schemas.microsoft.com/office/drawing/2014/main" id="{0C226DE4-91DA-4023-9CE6-D3042FAA0C7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0275" name="ChangeMember2_1" hidden="1">
              <a:extLst>
                <a:ext uri="{63B3BB69-23CF-44E3-9099-C40C66FF867C}">
                  <a14:compatExt spid="_x0000_s10275"/>
                </a:ext>
                <a:ext uri="{FF2B5EF4-FFF2-40B4-BE49-F238E27FC236}">
                  <a16:creationId xmlns:a16="http://schemas.microsoft.com/office/drawing/2014/main" id="{1E190540-2E67-492A-B6B8-78F728ECFD4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0276" name="UpMember2_1" hidden="1">
              <a:extLst>
                <a:ext uri="{63B3BB69-23CF-44E3-9099-C40C66FF867C}">
                  <a14:compatExt spid="_x0000_s10276"/>
                </a:ext>
                <a:ext uri="{FF2B5EF4-FFF2-40B4-BE49-F238E27FC236}">
                  <a16:creationId xmlns:a16="http://schemas.microsoft.com/office/drawing/2014/main" id="{8B8023F3-51FB-4DBD-AF60-B7116D4574E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0277" name="DownMember2_1" hidden="1">
              <a:extLst>
                <a:ext uri="{63B3BB69-23CF-44E3-9099-C40C66FF867C}">
                  <a14:compatExt spid="_x0000_s10277"/>
                </a:ext>
                <a:ext uri="{FF2B5EF4-FFF2-40B4-BE49-F238E27FC236}">
                  <a16:creationId xmlns:a16="http://schemas.microsoft.com/office/drawing/2014/main" id="{770B1288-711A-4D61-B099-9D9F88B8EA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0278" name="AddedMember2_2" hidden="1">
              <a:extLst>
                <a:ext uri="{63B3BB69-23CF-44E3-9099-C40C66FF867C}">
                  <a14:compatExt spid="_x0000_s10278"/>
                </a:ext>
                <a:ext uri="{FF2B5EF4-FFF2-40B4-BE49-F238E27FC236}">
                  <a16:creationId xmlns:a16="http://schemas.microsoft.com/office/drawing/2014/main" id="{6E77AFAD-A15F-4203-9BB7-C6C31D573BD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0279" name="ChangeMember2_2" hidden="1">
              <a:extLst>
                <a:ext uri="{63B3BB69-23CF-44E3-9099-C40C66FF867C}">
                  <a14:compatExt spid="_x0000_s10279"/>
                </a:ext>
                <a:ext uri="{FF2B5EF4-FFF2-40B4-BE49-F238E27FC236}">
                  <a16:creationId xmlns:a16="http://schemas.microsoft.com/office/drawing/2014/main" id="{15B2935B-7D9E-4BBD-B50F-0112823A69C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0280" name="UpMember2_2" hidden="1">
              <a:extLst>
                <a:ext uri="{63B3BB69-23CF-44E3-9099-C40C66FF867C}">
                  <a14:compatExt spid="_x0000_s10280"/>
                </a:ext>
                <a:ext uri="{FF2B5EF4-FFF2-40B4-BE49-F238E27FC236}">
                  <a16:creationId xmlns:a16="http://schemas.microsoft.com/office/drawing/2014/main" id="{9164DB95-2519-456C-B129-6A2EEA7B426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0281" name="DownMember2_2" hidden="1">
              <a:extLst>
                <a:ext uri="{63B3BB69-23CF-44E3-9099-C40C66FF867C}">
                  <a14:compatExt spid="_x0000_s10281"/>
                </a:ext>
                <a:ext uri="{FF2B5EF4-FFF2-40B4-BE49-F238E27FC236}">
                  <a16:creationId xmlns:a16="http://schemas.microsoft.com/office/drawing/2014/main" id="{A59AFAD5-AE9C-4AE6-9C8E-4EF68DEAF0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0282" name="AddedMember2_3" hidden="1">
              <a:extLst>
                <a:ext uri="{63B3BB69-23CF-44E3-9099-C40C66FF867C}">
                  <a14:compatExt spid="_x0000_s10282"/>
                </a:ext>
                <a:ext uri="{FF2B5EF4-FFF2-40B4-BE49-F238E27FC236}">
                  <a16:creationId xmlns:a16="http://schemas.microsoft.com/office/drawing/2014/main" id="{8E049B93-58C1-4898-B20D-802919F539A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0283" name="ChangeMember2_3" hidden="1">
              <a:extLst>
                <a:ext uri="{63B3BB69-23CF-44E3-9099-C40C66FF867C}">
                  <a14:compatExt spid="_x0000_s10283"/>
                </a:ext>
                <a:ext uri="{FF2B5EF4-FFF2-40B4-BE49-F238E27FC236}">
                  <a16:creationId xmlns:a16="http://schemas.microsoft.com/office/drawing/2014/main" id="{12D152E8-628E-4DAD-921C-9BD848B407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0284" name="UpMember2_3" hidden="1">
              <a:extLst>
                <a:ext uri="{63B3BB69-23CF-44E3-9099-C40C66FF867C}">
                  <a14:compatExt spid="_x0000_s10284"/>
                </a:ext>
                <a:ext uri="{FF2B5EF4-FFF2-40B4-BE49-F238E27FC236}">
                  <a16:creationId xmlns:a16="http://schemas.microsoft.com/office/drawing/2014/main" id="{3E794237-7D0A-439C-AA79-B8A303E762B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0285" name="DownMember2_3" hidden="1">
              <a:extLst>
                <a:ext uri="{63B3BB69-23CF-44E3-9099-C40C66FF867C}">
                  <a14:compatExt spid="_x0000_s10285"/>
                </a:ext>
                <a:ext uri="{FF2B5EF4-FFF2-40B4-BE49-F238E27FC236}">
                  <a16:creationId xmlns:a16="http://schemas.microsoft.com/office/drawing/2014/main" id="{D466E1CF-1D19-442A-BF31-5E140171DE0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0286" name="AddedMember2_4" hidden="1">
              <a:extLst>
                <a:ext uri="{63B3BB69-23CF-44E3-9099-C40C66FF867C}">
                  <a14:compatExt spid="_x0000_s10286"/>
                </a:ext>
                <a:ext uri="{FF2B5EF4-FFF2-40B4-BE49-F238E27FC236}">
                  <a16:creationId xmlns:a16="http://schemas.microsoft.com/office/drawing/2014/main" id="{AFA451EC-509F-4992-834C-D6285405E6B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0287" name="ChangeMember2_4" hidden="1">
              <a:extLst>
                <a:ext uri="{63B3BB69-23CF-44E3-9099-C40C66FF867C}">
                  <a14:compatExt spid="_x0000_s10287"/>
                </a:ext>
                <a:ext uri="{FF2B5EF4-FFF2-40B4-BE49-F238E27FC236}">
                  <a16:creationId xmlns:a16="http://schemas.microsoft.com/office/drawing/2014/main" id="{7DFA3DF2-4AC8-4A3C-A097-007DAAFED2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0288" name="UpMember2_4" hidden="1">
              <a:extLst>
                <a:ext uri="{63B3BB69-23CF-44E3-9099-C40C66FF867C}">
                  <a14:compatExt spid="_x0000_s10288"/>
                </a:ext>
                <a:ext uri="{FF2B5EF4-FFF2-40B4-BE49-F238E27FC236}">
                  <a16:creationId xmlns:a16="http://schemas.microsoft.com/office/drawing/2014/main" id="{841C6D58-97D8-442F-8362-F6AA30B7C4C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0289" name="DownMember2_4" hidden="1">
              <a:extLst>
                <a:ext uri="{63B3BB69-23CF-44E3-9099-C40C66FF867C}">
                  <a14:compatExt spid="_x0000_s10289"/>
                </a:ext>
                <a:ext uri="{FF2B5EF4-FFF2-40B4-BE49-F238E27FC236}">
                  <a16:creationId xmlns:a16="http://schemas.microsoft.com/office/drawing/2014/main" id="{33F81929-997B-4AF9-81BF-FC1AD5820B6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0290" name="AddedMember2_5" hidden="1">
              <a:extLst>
                <a:ext uri="{63B3BB69-23CF-44E3-9099-C40C66FF867C}">
                  <a14:compatExt spid="_x0000_s10290"/>
                </a:ext>
                <a:ext uri="{FF2B5EF4-FFF2-40B4-BE49-F238E27FC236}">
                  <a16:creationId xmlns:a16="http://schemas.microsoft.com/office/drawing/2014/main" id="{757B0981-29F0-41BC-8806-C0468F0B1E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0291" name="ChangeMember2_5" hidden="1">
              <a:extLst>
                <a:ext uri="{63B3BB69-23CF-44E3-9099-C40C66FF867C}">
                  <a14:compatExt spid="_x0000_s10291"/>
                </a:ext>
                <a:ext uri="{FF2B5EF4-FFF2-40B4-BE49-F238E27FC236}">
                  <a16:creationId xmlns:a16="http://schemas.microsoft.com/office/drawing/2014/main" id="{D696EB03-9F96-4FCA-BF56-1BE0DC4AFC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0292" name="UpMember2_5" hidden="1">
              <a:extLst>
                <a:ext uri="{63B3BB69-23CF-44E3-9099-C40C66FF867C}">
                  <a14:compatExt spid="_x0000_s10292"/>
                </a:ext>
                <a:ext uri="{FF2B5EF4-FFF2-40B4-BE49-F238E27FC236}">
                  <a16:creationId xmlns:a16="http://schemas.microsoft.com/office/drawing/2014/main" id="{52C31A98-D289-41CB-8064-8A22ECF669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0293" name="DownMember2_5" hidden="1">
              <a:extLst>
                <a:ext uri="{63B3BB69-23CF-44E3-9099-C40C66FF867C}">
                  <a14:compatExt spid="_x0000_s10293"/>
                </a:ext>
                <a:ext uri="{FF2B5EF4-FFF2-40B4-BE49-F238E27FC236}">
                  <a16:creationId xmlns:a16="http://schemas.microsoft.com/office/drawing/2014/main" id="{E19C3E59-C377-4346-B45D-47CBCA8E0D2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0294" name="AddedMember2_6" hidden="1">
              <a:extLst>
                <a:ext uri="{63B3BB69-23CF-44E3-9099-C40C66FF867C}">
                  <a14:compatExt spid="_x0000_s10294"/>
                </a:ext>
                <a:ext uri="{FF2B5EF4-FFF2-40B4-BE49-F238E27FC236}">
                  <a16:creationId xmlns:a16="http://schemas.microsoft.com/office/drawing/2014/main" id="{4937D611-0C96-4EEA-848A-F7D632204EB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0295" name="ChangeMember2_6" hidden="1">
              <a:extLst>
                <a:ext uri="{63B3BB69-23CF-44E3-9099-C40C66FF867C}">
                  <a14:compatExt spid="_x0000_s10295"/>
                </a:ext>
                <a:ext uri="{FF2B5EF4-FFF2-40B4-BE49-F238E27FC236}">
                  <a16:creationId xmlns:a16="http://schemas.microsoft.com/office/drawing/2014/main" id="{DFF9D6E7-FE6E-4835-9836-6609A345555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0296" name="UpMember2_6" hidden="1">
              <a:extLst>
                <a:ext uri="{63B3BB69-23CF-44E3-9099-C40C66FF867C}">
                  <a14:compatExt spid="_x0000_s10296"/>
                </a:ext>
                <a:ext uri="{FF2B5EF4-FFF2-40B4-BE49-F238E27FC236}">
                  <a16:creationId xmlns:a16="http://schemas.microsoft.com/office/drawing/2014/main" id="{7903D8BB-02EB-4E38-B395-C73649CA659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0297" name="DownMember2_6" hidden="1">
              <a:extLst>
                <a:ext uri="{63B3BB69-23CF-44E3-9099-C40C66FF867C}">
                  <a14:compatExt spid="_x0000_s10297"/>
                </a:ext>
                <a:ext uri="{FF2B5EF4-FFF2-40B4-BE49-F238E27FC236}">
                  <a16:creationId xmlns:a16="http://schemas.microsoft.com/office/drawing/2014/main" id="{ABA4FE56-FEC7-4C89-ABA4-B6263C00A76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0298" name="AddedMember2_7" hidden="1">
              <a:extLst>
                <a:ext uri="{63B3BB69-23CF-44E3-9099-C40C66FF867C}">
                  <a14:compatExt spid="_x0000_s10298"/>
                </a:ext>
                <a:ext uri="{FF2B5EF4-FFF2-40B4-BE49-F238E27FC236}">
                  <a16:creationId xmlns:a16="http://schemas.microsoft.com/office/drawing/2014/main" id="{283C2B01-913D-4321-9A43-335D15BB89E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0299" name="ChangeMember2_7" hidden="1">
              <a:extLst>
                <a:ext uri="{63B3BB69-23CF-44E3-9099-C40C66FF867C}">
                  <a14:compatExt spid="_x0000_s10299"/>
                </a:ext>
                <a:ext uri="{FF2B5EF4-FFF2-40B4-BE49-F238E27FC236}">
                  <a16:creationId xmlns:a16="http://schemas.microsoft.com/office/drawing/2014/main" id="{45389B70-F9F9-46F3-8081-F39D0242A77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0300" name="UpMember2_7" hidden="1">
              <a:extLst>
                <a:ext uri="{63B3BB69-23CF-44E3-9099-C40C66FF867C}">
                  <a14:compatExt spid="_x0000_s10300"/>
                </a:ext>
                <a:ext uri="{FF2B5EF4-FFF2-40B4-BE49-F238E27FC236}">
                  <a16:creationId xmlns:a16="http://schemas.microsoft.com/office/drawing/2014/main" id="{2AC6D35A-5B15-48B1-BC06-39CBFF62F0D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0301" name="DownMember2_7" hidden="1">
              <a:extLst>
                <a:ext uri="{63B3BB69-23CF-44E3-9099-C40C66FF867C}">
                  <a14:compatExt spid="_x0000_s10301"/>
                </a:ext>
                <a:ext uri="{FF2B5EF4-FFF2-40B4-BE49-F238E27FC236}">
                  <a16:creationId xmlns:a16="http://schemas.microsoft.com/office/drawing/2014/main" id="{30790594-FDCB-4E95-9680-DCEDD1E9354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0302" name="AddedMember1_1" hidden="1">
              <a:extLst>
                <a:ext uri="{63B3BB69-23CF-44E3-9099-C40C66FF867C}">
                  <a14:compatExt spid="_x0000_s10302"/>
                </a:ext>
                <a:ext uri="{FF2B5EF4-FFF2-40B4-BE49-F238E27FC236}">
                  <a16:creationId xmlns:a16="http://schemas.microsoft.com/office/drawing/2014/main" id="{160B84D8-3E63-4972-8688-4F4FEFDFAC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0303" name="ChangeMember1_1" hidden="1">
              <a:extLst>
                <a:ext uri="{63B3BB69-23CF-44E3-9099-C40C66FF867C}">
                  <a14:compatExt spid="_x0000_s10303"/>
                </a:ext>
                <a:ext uri="{FF2B5EF4-FFF2-40B4-BE49-F238E27FC236}">
                  <a16:creationId xmlns:a16="http://schemas.microsoft.com/office/drawing/2014/main" id="{92D50EB2-9181-45AE-9834-39B5BE4CD6A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0304" name="UpMember1_1" hidden="1">
              <a:extLst>
                <a:ext uri="{63B3BB69-23CF-44E3-9099-C40C66FF867C}">
                  <a14:compatExt spid="_x0000_s10304"/>
                </a:ext>
                <a:ext uri="{FF2B5EF4-FFF2-40B4-BE49-F238E27FC236}">
                  <a16:creationId xmlns:a16="http://schemas.microsoft.com/office/drawing/2014/main" id="{DCB4C53C-899A-42E6-9557-44276425EE6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0305" name="DownMember1_1" hidden="1">
              <a:extLst>
                <a:ext uri="{63B3BB69-23CF-44E3-9099-C40C66FF867C}">
                  <a14:compatExt spid="_x0000_s10305"/>
                </a:ext>
                <a:ext uri="{FF2B5EF4-FFF2-40B4-BE49-F238E27FC236}">
                  <a16:creationId xmlns:a16="http://schemas.microsoft.com/office/drawing/2014/main" id="{5618C8A2-064E-485D-9107-E1355FD7AA8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0306" name="AddedMember1_2" hidden="1">
              <a:extLst>
                <a:ext uri="{63B3BB69-23CF-44E3-9099-C40C66FF867C}">
                  <a14:compatExt spid="_x0000_s10306"/>
                </a:ext>
                <a:ext uri="{FF2B5EF4-FFF2-40B4-BE49-F238E27FC236}">
                  <a16:creationId xmlns:a16="http://schemas.microsoft.com/office/drawing/2014/main" id="{61411DFA-94AB-4785-9E39-A71EF8B719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0307" name="ChangeMember1_2" hidden="1">
              <a:extLst>
                <a:ext uri="{63B3BB69-23CF-44E3-9099-C40C66FF867C}">
                  <a14:compatExt spid="_x0000_s10307"/>
                </a:ext>
                <a:ext uri="{FF2B5EF4-FFF2-40B4-BE49-F238E27FC236}">
                  <a16:creationId xmlns:a16="http://schemas.microsoft.com/office/drawing/2014/main" id="{C53EFEC1-6D1B-4CC7-8647-31A7C4686DF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0308" name="UpMember1_2" hidden="1">
              <a:extLst>
                <a:ext uri="{63B3BB69-23CF-44E3-9099-C40C66FF867C}">
                  <a14:compatExt spid="_x0000_s10308"/>
                </a:ext>
                <a:ext uri="{FF2B5EF4-FFF2-40B4-BE49-F238E27FC236}">
                  <a16:creationId xmlns:a16="http://schemas.microsoft.com/office/drawing/2014/main" id="{506F40F7-6EE4-4178-9122-2B1D4DB34D3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0309" name="DownMember1_2" hidden="1">
              <a:extLst>
                <a:ext uri="{63B3BB69-23CF-44E3-9099-C40C66FF867C}">
                  <a14:compatExt spid="_x0000_s10309"/>
                </a:ext>
                <a:ext uri="{FF2B5EF4-FFF2-40B4-BE49-F238E27FC236}">
                  <a16:creationId xmlns:a16="http://schemas.microsoft.com/office/drawing/2014/main" id="{ABF571AD-816B-4C04-9177-FB1257F4B87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555171</xdr:colOff>
          <xdr:row>2</xdr:row>
          <xdr:rowOff>152400</xdr:rowOff>
        </xdr:from>
        <xdr:to>
          <xdr:col>9</xdr:col>
          <xdr:colOff>560614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2</xdr:row>
          <xdr:rowOff>130629</xdr:rowOff>
        </xdr:from>
        <xdr:to>
          <xdr:col>12</xdr:col>
          <xdr:colOff>386443</xdr:colOff>
          <xdr:row>2</xdr:row>
          <xdr:rowOff>549729</xdr:rowOff>
        </xdr:to>
        <xdr:sp macro="" textlink="">
          <xdr:nvSpPr>
            <xdr:cNvPr id="3526" name="RefreshList"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533400</xdr:colOff>
          <xdr:row>2</xdr:row>
          <xdr:rowOff>136071</xdr:rowOff>
        </xdr:from>
        <xdr:to>
          <xdr:col>18</xdr:col>
          <xdr:colOff>136071</xdr:colOff>
          <xdr:row>2</xdr:row>
          <xdr:rowOff>555171</xdr:rowOff>
        </xdr:to>
        <xdr:sp macro="" textlink="">
          <xdr:nvSpPr>
            <xdr:cNvPr id="3527" name="NextItem" hidden="1">
              <a:extLst>
                <a:ext uri="{63B3BB69-23CF-44E3-9099-C40C66FF867C}">
                  <a14:compatExt spid="_x0000_s3527"/>
                </a:ext>
                <a:ext uri="{FF2B5EF4-FFF2-40B4-BE49-F238E27FC236}">
                  <a16:creationId xmlns:a16="http://schemas.microsoft.com/office/drawing/2014/main" id="{00000000-0008-0000-01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517071</xdr:colOff>
          <xdr:row>2</xdr:row>
          <xdr:rowOff>81643</xdr:rowOff>
        </xdr:from>
        <xdr:to>
          <xdr:col>21</xdr:col>
          <xdr:colOff>168729</xdr:colOff>
          <xdr:row>2</xdr:row>
          <xdr:rowOff>587829</xdr:rowOff>
        </xdr:to>
        <xdr:sp macro="" textlink="">
          <xdr:nvSpPr>
            <xdr:cNvPr id="3528" name="SaveAndNext" hidden="1">
              <a:extLst>
                <a:ext uri="{63B3BB69-23CF-44E3-9099-C40C66FF867C}">
                  <a14:compatExt spid="_x0000_s3528"/>
                </a:ext>
                <a:ext uri="{FF2B5EF4-FFF2-40B4-BE49-F238E27FC236}">
                  <a16:creationId xmlns:a16="http://schemas.microsoft.com/office/drawing/2014/main" id="{00000000-0008-0000-0100-0000C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70757</xdr:colOff>
          <xdr:row>2</xdr:row>
          <xdr:rowOff>130629</xdr:rowOff>
        </xdr:from>
        <xdr:to>
          <xdr:col>15</xdr:col>
          <xdr:colOff>304800</xdr:colOff>
          <xdr:row>2</xdr:row>
          <xdr:rowOff>549729</xdr:rowOff>
        </xdr:to>
        <xdr:sp macro="" textlink="">
          <xdr:nvSpPr>
            <xdr:cNvPr id="3561" name="PreviousItem"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2" name="ConnectionDescriptorsInfoHCtb1"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3" name="ConnectionDescriptorsInfoDCtb1" hidden="1">
              <a:extLst>
                <a:ext uri="{63B3BB69-23CF-44E3-9099-C40C66FF867C}">
                  <a14:compatExt spid="_x0000_s3563"/>
                </a:ext>
                <a:ext uri="{FF2B5EF4-FFF2-40B4-BE49-F238E27FC236}">
                  <a16:creationId xmlns:a16="http://schemas.microsoft.com/office/drawing/2014/main" id="{00000000-0008-0000-0100-0000EB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4" name="MultipleReportManagerInfoHCtb1"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5" name="MultipleReportManagerInfoDCtb1" hidden="1">
              <a:extLst>
                <a:ext uri="{63B3BB69-23CF-44E3-9099-C40C66FF867C}">
                  <a14:compatExt spid="_x0000_s3565"/>
                </a:ext>
                <a:ext uri="{FF2B5EF4-FFF2-40B4-BE49-F238E27FC236}">
                  <a16:creationId xmlns:a16="http://schemas.microsoft.com/office/drawing/2014/main" id="{00000000-0008-0000-0100-0000ED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6" name="ReportSubmitManagerControlHCtb1" hidden="1">
              <a:extLst>
                <a:ext uri="{63B3BB69-23CF-44E3-9099-C40C66FF867C}">
                  <a14:compatExt spid="_x0000_s3566"/>
                </a:ext>
                <a:ext uri="{FF2B5EF4-FFF2-40B4-BE49-F238E27FC236}">
                  <a16:creationId xmlns:a16="http://schemas.microsoft.com/office/drawing/2014/main" id="{00000000-0008-0000-0100-0000EE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7" name="ReportSubmitManagerControlDCtb1" hidden="1">
              <a:extLst>
                <a:ext uri="{63B3BB69-23CF-44E3-9099-C40C66FF867C}">
                  <a14:compatExt spid="_x0000_s3567"/>
                </a:ext>
                <a:ext uri="{FF2B5EF4-FFF2-40B4-BE49-F238E27FC236}">
                  <a16:creationId xmlns:a16="http://schemas.microsoft.com/office/drawing/2014/main" id="{00000000-0008-0000-0100-0000EF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8" name="ReportSubmitControl_1HCtb1" hidden="1">
              <a:extLst>
                <a:ext uri="{63B3BB69-23CF-44E3-9099-C40C66FF867C}">
                  <a14:compatExt spid="_x0000_s3568"/>
                </a:ext>
                <a:ext uri="{FF2B5EF4-FFF2-40B4-BE49-F238E27FC236}">
                  <a16:creationId xmlns:a16="http://schemas.microsoft.com/office/drawing/2014/main" id="{00000000-0008-0000-0100-0000F0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9" name="ReportSubmitControl_1DCtb1"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70" name="AnalyzerDynReportHC000tb1" hidden="1">
              <a:extLst>
                <a:ext uri="{63B3BB69-23CF-44E3-9099-C40C66FF867C}">
                  <a14:compatExt spid="_x0000_s3570"/>
                </a:ext>
                <a:ext uri="{FF2B5EF4-FFF2-40B4-BE49-F238E27FC236}">
                  <a16:creationId xmlns:a16="http://schemas.microsoft.com/office/drawing/2014/main" id="{00000000-0008-0000-0100-0000F2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71" name="AnalyzerDynReportDC000tb1" hidden="1">
              <a:extLst>
                <a:ext uri="{63B3BB69-23CF-44E3-9099-C40C66FF867C}">
                  <a14:compatExt spid="_x0000_s3571"/>
                </a:ext>
                <a:ext uri="{FF2B5EF4-FFF2-40B4-BE49-F238E27FC236}">
                  <a16:creationId xmlns:a16="http://schemas.microsoft.com/office/drawing/2014/main" id="{00000000-0008-0000-0100-0000F3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789214</xdr:colOff>
          <xdr:row>2</xdr:row>
          <xdr:rowOff>152400</xdr:rowOff>
        </xdr:from>
        <xdr:to>
          <xdr:col>8</xdr:col>
          <xdr:colOff>794657</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8" name="ConnectionDescriptorsInfoHCtb1" hidden="1">
              <a:extLst>
                <a:ext uri="{63B3BB69-23CF-44E3-9099-C40C66FF867C}">
                  <a14:compatExt spid="_x0000_s9248"/>
                </a:ext>
                <a:ext uri="{FF2B5EF4-FFF2-40B4-BE49-F238E27FC236}">
                  <a16:creationId xmlns:a16="http://schemas.microsoft.com/office/drawing/2014/main" id="{00000000-0008-0000-0200-00002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9" name="ConnectionDescriptorsInfoDCtb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0" name="MultipleReportManagerInfoHCtb1"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1" name="MultipleReportManagerInfoDCtb1"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2" name="ReportSubmitManagerControlHCtb1"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3" name="ReportSubmitManagerControlDCtb1"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4" name="AnalyzerDynReportHC000tb1"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5" name="AnalyzerDynReportDC000tb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6" name="ReportSubmitControl_1HCtb1"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7" name="ReportSubmitControl_1DCtb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image" Target="../media/image21.emf"/><Relationship Id="rId47" Type="http://schemas.openxmlformats.org/officeDocument/2006/relationships/control" Target="../activeX/activeX23.xml"/><Relationship Id="rId50" Type="http://schemas.openxmlformats.org/officeDocument/2006/relationships/image" Target="../media/image25.emf"/><Relationship Id="rId7" Type="http://schemas.openxmlformats.org/officeDocument/2006/relationships/vmlDrawing" Target="../drawings/vmlDrawing2.vml"/><Relationship Id="rId2" Type="http://schemas.openxmlformats.org/officeDocument/2006/relationships/customProperty" Target="../customProperty2.bin"/><Relationship Id="rId16" Type="http://schemas.openxmlformats.org/officeDocument/2006/relationships/image" Target="../media/image8.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45" Type="http://schemas.openxmlformats.org/officeDocument/2006/relationships/control" Target="../activeX/activeX22.xml"/><Relationship Id="rId5" Type="http://schemas.openxmlformats.org/officeDocument/2006/relationships/customProperty" Target="../customProperty5.bin"/><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ntrol" Target="../activeX/activeX24.xml"/><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image" Target="../media/image22.emf"/><Relationship Id="rId52" Type="http://schemas.openxmlformats.org/officeDocument/2006/relationships/image" Target="../media/image26.emf"/><Relationship Id="rId4" Type="http://schemas.openxmlformats.org/officeDocument/2006/relationships/customProperty" Target="../customProperty4.bin"/><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4.emf"/><Relationship Id="rId8" Type="http://schemas.openxmlformats.org/officeDocument/2006/relationships/image" Target="../media/image4.png"/><Relationship Id="rId51" Type="http://schemas.openxmlformats.org/officeDocument/2006/relationships/control" Target="../activeX/activeX25.xml"/><Relationship Id="rId3" Type="http://schemas.openxmlformats.org/officeDocument/2006/relationships/customProperty" Target="../customProperty3.bin"/><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 Id="rId46" Type="http://schemas.openxmlformats.org/officeDocument/2006/relationships/image" Target="../media/image23.emf"/><Relationship Id="rId20" Type="http://schemas.openxmlformats.org/officeDocument/2006/relationships/image" Target="../media/image10.emf"/><Relationship Id="rId41"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9.xml"/><Relationship Id="rId18" Type="http://schemas.openxmlformats.org/officeDocument/2006/relationships/image" Target="../media/image34.emf"/><Relationship Id="rId26" Type="http://schemas.openxmlformats.org/officeDocument/2006/relationships/image" Target="../media/image37.emf"/><Relationship Id="rId39" Type="http://schemas.openxmlformats.org/officeDocument/2006/relationships/control" Target="../activeX/activeX42.xml"/><Relationship Id="rId21" Type="http://schemas.openxmlformats.org/officeDocument/2006/relationships/control" Target="../activeX/activeX33.xml"/><Relationship Id="rId34" Type="http://schemas.openxmlformats.org/officeDocument/2006/relationships/image" Target="../media/image41.emf"/><Relationship Id="rId42" Type="http://schemas.openxmlformats.org/officeDocument/2006/relationships/image" Target="../media/image45.emf"/><Relationship Id="rId7" Type="http://schemas.openxmlformats.org/officeDocument/2006/relationships/control" Target="../activeX/activeX26.xml"/><Relationship Id="rId2" Type="http://schemas.openxmlformats.org/officeDocument/2006/relationships/customProperty" Target="../customProperty6.bin"/><Relationship Id="rId16" Type="http://schemas.openxmlformats.org/officeDocument/2006/relationships/image" Target="../media/image33.emf"/><Relationship Id="rId20" Type="http://schemas.openxmlformats.org/officeDocument/2006/relationships/image" Target="../media/image10.emf"/><Relationship Id="rId29" Type="http://schemas.openxmlformats.org/officeDocument/2006/relationships/control" Target="../activeX/activeX37.xml"/><Relationship Id="rId41" Type="http://schemas.openxmlformats.org/officeDocument/2006/relationships/control" Target="../activeX/activeX43.xml"/><Relationship Id="rId1" Type="http://schemas.openxmlformats.org/officeDocument/2006/relationships/printerSettings" Target="../printerSettings/printerSettings3.bin"/><Relationship Id="rId6" Type="http://schemas.openxmlformats.org/officeDocument/2006/relationships/image" Target="../media/image28.png"/><Relationship Id="rId11" Type="http://schemas.openxmlformats.org/officeDocument/2006/relationships/control" Target="../activeX/activeX28.xml"/><Relationship Id="rId24" Type="http://schemas.openxmlformats.org/officeDocument/2006/relationships/image" Target="../media/image36.emf"/><Relationship Id="rId32" Type="http://schemas.openxmlformats.org/officeDocument/2006/relationships/image" Target="../media/image40.emf"/><Relationship Id="rId37" Type="http://schemas.openxmlformats.org/officeDocument/2006/relationships/control" Target="../activeX/activeX41.xml"/><Relationship Id="rId40" Type="http://schemas.openxmlformats.org/officeDocument/2006/relationships/image" Target="../media/image44.emf"/><Relationship Id="rId5" Type="http://schemas.openxmlformats.org/officeDocument/2006/relationships/vmlDrawing" Target="../drawings/vmlDrawing3.vml"/><Relationship Id="rId15" Type="http://schemas.openxmlformats.org/officeDocument/2006/relationships/control" Target="../activeX/activeX30.xml"/><Relationship Id="rId23" Type="http://schemas.openxmlformats.org/officeDocument/2006/relationships/control" Target="../activeX/activeX34.xml"/><Relationship Id="rId28" Type="http://schemas.openxmlformats.org/officeDocument/2006/relationships/image" Target="../media/image38.emf"/><Relationship Id="rId36" Type="http://schemas.openxmlformats.org/officeDocument/2006/relationships/image" Target="../media/image42.emf"/><Relationship Id="rId10" Type="http://schemas.openxmlformats.org/officeDocument/2006/relationships/image" Target="../media/image30.emf"/><Relationship Id="rId19" Type="http://schemas.openxmlformats.org/officeDocument/2006/relationships/control" Target="../activeX/activeX32.xml"/><Relationship Id="rId31" Type="http://schemas.openxmlformats.org/officeDocument/2006/relationships/control" Target="../activeX/activeX38.xml"/><Relationship Id="rId4" Type="http://schemas.openxmlformats.org/officeDocument/2006/relationships/drawing" Target="../drawings/drawing3.xml"/><Relationship Id="rId9" Type="http://schemas.openxmlformats.org/officeDocument/2006/relationships/control" Target="../activeX/activeX27.xml"/><Relationship Id="rId14" Type="http://schemas.openxmlformats.org/officeDocument/2006/relationships/image" Target="../media/image32.emf"/><Relationship Id="rId22" Type="http://schemas.openxmlformats.org/officeDocument/2006/relationships/image" Target="../media/image35.emf"/><Relationship Id="rId27" Type="http://schemas.openxmlformats.org/officeDocument/2006/relationships/control" Target="../activeX/activeX36.xml"/><Relationship Id="rId30" Type="http://schemas.openxmlformats.org/officeDocument/2006/relationships/image" Target="../media/image39.emf"/><Relationship Id="rId35" Type="http://schemas.openxmlformats.org/officeDocument/2006/relationships/control" Target="../activeX/activeX40.xml"/><Relationship Id="rId8" Type="http://schemas.openxmlformats.org/officeDocument/2006/relationships/image" Target="../media/image29.emf"/><Relationship Id="rId3" Type="http://schemas.openxmlformats.org/officeDocument/2006/relationships/customProperty" Target="../customProperty7.bin"/><Relationship Id="rId12" Type="http://schemas.openxmlformats.org/officeDocument/2006/relationships/image" Target="../media/image31.emf"/><Relationship Id="rId17" Type="http://schemas.openxmlformats.org/officeDocument/2006/relationships/control" Target="../activeX/activeX31.xml"/><Relationship Id="rId25" Type="http://schemas.openxmlformats.org/officeDocument/2006/relationships/control" Target="../activeX/activeX35.xml"/><Relationship Id="rId33" Type="http://schemas.openxmlformats.org/officeDocument/2006/relationships/control" Target="../activeX/activeX39.xml"/><Relationship Id="rId38" Type="http://schemas.openxmlformats.org/officeDocument/2006/relationships/image" Target="../media/image4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4AA5A-8663-40C1-B93F-303A2540896A}">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style="42" customWidth="1"/>
    <col min="7" max="7" width="3.3046875" style="1" customWidth="1"/>
    <col min="8" max="8" width="30.69140625" style="1" customWidth="1"/>
    <col min="9" max="9" width="3.3046875" style="1" customWidth="1"/>
    <col min="10" max="10" width="14.3046875" style="42"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52" t="s">
        <v>33</v>
      </c>
      <c r="C1" s="52"/>
      <c r="D1" s="52"/>
      <c r="E1" s="52"/>
      <c r="F1" s="52"/>
      <c r="G1" s="52"/>
      <c r="H1" s="52"/>
      <c r="I1" s="52"/>
      <c r="J1" s="52"/>
      <c r="K1" s="52"/>
      <c r="L1" s="52"/>
    </row>
    <row r="2" spans="1:17" ht="15.75" customHeight="1" x14ac:dyDescent="0.4">
      <c r="A2" s="26" t="s">
        <v>21</v>
      </c>
      <c r="B2" s="2"/>
      <c r="C2" s="2"/>
      <c r="D2" s="2"/>
      <c r="E2" s="2"/>
      <c r="G2" s="2"/>
      <c r="H2" s="2"/>
      <c r="I2" s="2"/>
      <c r="J2" s="84"/>
      <c r="K2" s="2"/>
      <c r="L2" s="2"/>
    </row>
    <row r="3" spans="1:17" ht="15.75" customHeight="1" x14ac:dyDescent="0.4">
      <c r="A3" s="2"/>
      <c r="B3" s="3" t="s">
        <v>0</v>
      </c>
      <c r="C3" s="2"/>
      <c r="D3" s="2"/>
      <c r="E3" s="2"/>
      <c r="F3" s="84"/>
      <c r="G3" s="2"/>
      <c r="H3" s="2"/>
      <c r="I3" s="2"/>
      <c r="J3" s="84"/>
      <c r="K3" s="2"/>
      <c r="L3" s="2"/>
    </row>
    <row r="4" spans="1:17" ht="18" customHeight="1" thickBot="1" x14ac:dyDescent="0.45">
      <c r="A4" s="2"/>
      <c r="B4" s="2"/>
      <c r="C4" s="2"/>
      <c r="D4" s="2"/>
      <c r="E4" s="2"/>
      <c r="F4" s="84"/>
      <c r="G4" s="2"/>
      <c r="H4" s="2"/>
      <c r="I4" s="2"/>
      <c r="J4" s="84"/>
      <c r="K4" s="2"/>
      <c r="L4" s="2"/>
    </row>
    <row r="5" spans="1:17" ht="28.4" customHeight="1" x14ac:dyDescent="0.35">
      <c r="A5" s="2"/>
      <c r="B5" s="53" t="s">
        <v>22</v>
      </c>
      <c r="C5" s="54"/>
      <c r="D5" s="54"/>
      <c r="E5" s="54"/>
      <c r="F5" s="54"/>
      <c r="G5" s="54"/>
      <c r="H5" s="54"/>
      <c r="I5" s="54"/>
      <c r="J5" s="54"/>
      <c r="K5" s="54"/>
      <c r="L5" s="55"/>
      <c r="Q5" s="15" t="s">
        <v>16</v>
      </c>
    </row>
    <row r="6" spans="1:17" ht="28.4" customHeight="1" thickBot="1" x14ac:dyDescent="0.4">
      <c r="A6" s="2"/>
      <c r="B6" s="56"/>
      <c r="C6" s="57"/>
      <c r="D6" s="57"/>
      <c r="E6" s="57"/>
      <c r="F6" s="57"/>
      <c r="G6" s="57"/>
      <c r="H6" s="57"/>
      <c r="I6" s="57"/>
      <c r="J6" s="57"/>
      <c r="K6" s="57"/>
      <c r="L6" s="58"/>
      <c r="Q6" s="16" t="s">
        <v>17</v>
      </c>
    </row>
    <row r="7" spans="1:17" ht="21.9" customHeight="1" x14ac:dyDescent="0.4">
      <c r="A7" s="2"/>
      <c r="B7" s="59" t="s">
        <v>8</v>
      </c>
      <c r="C7" s="13"/>
      <c r="D7" s="13"/>
      <c r="E7" s="13"/>
      <c r="F7" s="85"/>
      <c r="G7" s="13"/>
      <c r="H7" s="13"/>
      <c r="I7" s="13"/>
      <c r="J7" s="85"/>
      <c r="K7" s="13"/>
      <c r="L7" s="14"/>
      <c r="Q7" s="51" t="s">
        <v>34</v>
      </c>
    </row>
    <row r="8" spans="1:17" ht="18" customHeight="1" x14ac:dyDescent="0.4">
      <c r="A8" s="2"/>
      <c r="B8" s="60"/>
      <c r="C8" s="2"/>
      <c r="D8" s="2"/>
      <c r="E8" s="2"/>
      <c r="F8" s="84"/>
      <c r="G8" s="2"/>
      <c r="H8" s="2"/>
      <c r="I8" s="2"/>
      <c r="J8" s="84"/>
      <c r="K8" s="2"/>
      <c r="L8" s="10"/>
      <c r="Q8" s="51"/>
    </row>
    <row r="9" spans="1:17" ht="17.149999999999999" customHeight="1" x14ac:dyDescent="0.35">
      <c r="A9" s="2"/>
      <c r="B9" s="60"/>
      <c r="C9" s="5"/>
      <c r="D9" s="6"/>
      <c r="E9" s="61" t="s">
        <v>1</v>
      </c>
      <c r="F9" s="62"/>
      <c r="G9" s="63"/>
      <c r="H9" s="4" t="s">
        <v>2</v>
      </c>
      <c r="I9" s="61" t="s">
        <v>3</v>
      </c>
      <c r="J9" s="62"/>
      <c r="K9" s="63"/>
      <c r="L9" s="11" t="s">
        <v>2</v>
      </c>
      <c r="Q9" s="51"/>
    </row>
    <row r="10" spans="1:17" ht="5.15" customHeight="1" x14ac:dyDescent="0.4">
      <c r="A10" s="2"/>
      <c r="B10" s="60"/>
      <c r="C10" s="64"/>
      <c r="D10" s="2"/>
      <c r="E10" s="86"/>
      <c r="F10" s="87"/>
      <c r="G10" s="86"/>
      <c r="H10" s="8"/>
      <c r="I10" s="86"/>
      <c r="J10" s="87"/>
      <c r="K10" s="86"/>
      <c r="L10" s="10"/>
      <c r="Q10" s="51"/>
    </row>
    <row r="11" spans="1:17" ht="15.9" customHeight="1" x14ac:dyDescent="0.35">
      <c r="A11" s="2"/>
      <c r="B11" s="60"/>
      <c r="C11" s="65"/>
      <c r="D11" s="88" t="s">
        <v>5</v>
      </c>
      <c r="E11" s="86"/>
      <c r="F11" s="89">
        <v>10000</v>
      </c>
      <c r="G11" s="86"/>
      <c r="H11" s="28" t="s">
        <v>19</v>
      </c>
      <c r="I11" s="86"/>
      <c r="J11" s="90" t="s">
        <v>7</v>
      </c>
      <c r="K11" s="86"/>
      <c r="L11" s="12" t="s">
        <v>6</v>
      </c>
      <c r="Q11" s="51"/>
    </row>
    <row r="12" spans="1:17" ht="5.15" customHeight="1" thickBot="1" x14ac:dyDescent="0.45">
      <c r="A12" s="2"/>
      <c r="B12" s="66"/>
      <c r="C12" s="67"/>
      <c r="D12" s="29"/>
      <c r="E12" s="30"/>
      <c r="F12" s="91"/>
      <c r="G12" s="30"/>
      <c r="H12" s="31"/>
      <c r="I12" s="30"/>
      <c r="J12" s="91"/>
      <c r="K12" s="30"/>
      <c r="L12" s="32"/>
      <c r="Q12" s="51"/>
    </row>
    <row r="13" spans="1:17" ht="21.9" customHeight="1" x14ac:dyDescent="0.4">
      <c r="A13" s="2"/>
      <c r="B13" s="60" t="s">
        <v>4</v>
      </c>
      <c r="C13" s="2"/>
      <c r="D13" s="2"/>
      <c r="E13" s="2"/>
      <c r="F13" s="84"/>
      <c r="G13" s="2"/>
      <c r="H13" s="2"/>
      <c r="I13" s="2"/>
      <c r="J13" s="84"/>
      <c r="K13" s="2"/>
      <c r="L13" s="10"/>
      <c r="Q13" s="51"/>
    </row>
    <row r="14" spans="1:17" ht="18" customHeight="1" x14ac:dyDescent="0.4">
      <c r="A14" s="2"/>
      <c r="B14" s="60"/>
      <c r="C14" s="2"/>
      <c r="D14" s="2"/>
      <c r="E14" s="2"/>
      <c r="F14" s="84"/>
      <c r="G14" s="2"/>
      <c r="H14" s="2"/>
      <c r="I14" s="2"/>
      <c r="J14" s="84"/>
      <c r="K14" s="2"/>
      <c r="L14" s="10"/>
      <c r="Q14" s="51"/>
    </row>
    <row r="15" spans="1:17" ht="17.149999999999999" customHeight="1" x14ac:dyDescent="0.35">
      <c r="A15" s="2"/>
      <c r="B15" s="60"/>
      <c r="C15" s="5"/>
      <c r="D15" s="6"/>
      <c r="E15" s="61" t="s">
        <v>1</v>
      </c>
      <c r="F15" s="62"/>
      <c r="G15" s="63"/>
      <c r="H15" s="4" t="s">
        <v>2</v>
      </c>
      <c r="I15" s="61" t="s">
        <v>3</v>
      </c>
      <c r="J15" s="62"/>
      <c r="K15" s="63"/>
      <c r="L15" s="11" t="s">
        <v>2</v>
      </c>
      <c r="Q15" s="51"/>
    </row>
    <row r="16" spans="1:17" ht="5.15" customHeight="1" x14ac:dyDescent="0.4">
      <c r="A16" s="2"/>
      <c r="B16" s="60"/>
      <c r="C16" s="64"/>
      <c r="D16" s="2"/>
      <c r="E16" s="86"/>
      <c r="F16" s="87"/>
      <c r="G16" s="86"/>
      <c r="H16" s="8"/>
      <c r="I16" s="86"/>
      <c r="J16" s="87"/>
      <c r="K16" s="86"/>
      <c r="L16" s="10"/>
      <c r="Q16" s="51"/>
    </row>
    <row r="17" spans="1:17" ht="15.9" customHeight="1" x14ac:dyDescent="0.35">
      <c r="A17" s="2"/>
      <c r="B17" s="60"/>
      <c r="C17" s="65"/>
      <c r="D17" s="88" t="s">
        <v>5</v>
      </c>
      <c r="E17" s="86"/>
      <c r="F17" s="89">
        <v>10000</v>
      </c>
      <c r="G17" s="86"/>
      <c r="H17" s="28" t="s">
        <v>6</v>
      </c>
      <c r="I17" s="86"/>
      <c r="J17" s="92" t="s">
        <v>7</v>
      </c>
      <c r="K17" s="86"/>
      <c r="L17" s="12" t="s">
        <v>6</v>
      </c>
      <c r="Q17" s="51"/>
    </row>
    <row r="18" spans="1:17" ht="5.15" customHeight="1" thickBot="1" x14ac:dyDescent="0.45">
      <c r="A18" s="2"/>
      <c r="B18" s="66"/>
      <c r="C18" s="67"/>
      <c r="D18" s="29"/>
      <c r="E18" s="30"/>
      <c r="F18" s="91"/>
      <c r="G18" s="30"/>
      <c r="H18" s="31"/>
      <c r="I18" s="30"/>
      <c r="J18" s="91"/>
      <c r="K18" s="30"/>
      <c r="L18" s="32"/>
      <c r="Q18" s="51"/>
    </row>
    <row r="19" spans="1:17" ht="9" customHeight="1" x14ac:dyDescent="0.4">
      <c r="A19" s="2"/>
      <c r="B19" s="2"/>
      <c r="C19" s="2"/>
      <c r="D19" s="2"/>
      <c r="E19" s="2"/>
      <c r="F19" s="84"/>
      <c r="G19" s="2"/>
      <c r="H19" s="2"/>
      <c r="I19" s="2"/>
      <c r="J19" s="84"/>
      <c r="K19" s="2"/>
      <c r="L19" s="2"/>
      <c r="Q19" s="51"/>
    </row>
    <row r="20" spans="1:17" ht="24.65" customHeight="1" x14ac:dyDescent="0.4">
      <c r="A20" s="2"/>
      <c r="B20" s="2"/>
      <c r="C20" s="2"/>
      <c r="D20" s="2"/>
      <c r="E20" s="2"/>
      <c r="F20" s="84"/>
      <c r="G20" s="2"/>
      <c r="H20" s="2"/>
      <c r="I20" s="2"/>
      <c r="J20" s="84"/>
      <c r="K20" s="2"/>
      <c r="L20" s="2"/>
      <c r="Q20" s="17"/>
    </row>
    <row r="21" spans="1:17" ht="15" customHeight="1" thickBot="1" x14ac:dyDescent="0.45">
      <c r="A21" s="2"/>
      <c r="B21" s="2"/>
      <c r="C21" s="2"/>
      <c r="D21" s="2"/>
      <c r="E21" s="2"/>
      <c r="F21" s="84"/>
      <c r="G21" s="2"/>
      <c r="H21" s="2"/>
      <c r="I21" s="2"/>
      <c r="J21" s="84"/>
      <c r="K21" s="2"/>
      <c r="L21" s="2"/>
      <c r="Q21" s="18" t="s">
        <v>18</v>
      </c>
    </row>
    <row r="22" spans="1:17" ht="28.4" customHeight="1" x14ac:dyDescent="0.35">
      <c r="A22" s="2"/>
      <c r="B22" s="68" t="s">
        <v>9</v>
      </c>
      <c r="C22" s="69"/>
      <c r="D22" s="69"/>
      <c r="E22" s="69"/>
      <c r="F22" s="69"/>
      <c r="G22" s="69"/>
      <c r="H22" s="69"/>
      <c r="I22" s="69"/>
      <c r="J22" s="69"/>
      <c r="K22" s="69"/>
      <c r="L22" s="70"/>
      <c r="Q22" s="51" t="s">
        <v>25</v>
      </c>
    </row>
    <row r="23" spans="1:17" ht="28.4" customHeight="1" x14ac:dyDescent="0.35">
      <c r="A23" s="2"/>
      <c r="B23" s="71"/>
      <c r="C23" s="72"/>
      <c r="D23" s="72"/>
      <c r="E23" s="72"/>
      <c r="F23" s="72"/>
      <c r="G23" s="72"/>
      <c r="H23" s="72"/>
      <c r="I23" s="72"/>
      <c r="J23" s="72"/>
      <c r="K23" s="72"/>
      <c r="L23" s="73"/>
      <c r="Q23" s="51"/>
    </row>
    <row r="24" spans="1:17" ht="18" customHeight="1" x14ac:dyDescent="0.4">
      <c r="A24" s="2"/>
      <c r="B24" s="75" t="s">
        <v>4</v>
      </c>
      <c r="C24" s="2"/>
      <c r="D24" s="2"/>
      <c r="E24" s="2"/>
      <c r="F24" s="84"/>
      <c r="G24" s="2"/>
      <c r="H24" s="2"/>
      <c r="I24" s="2"/>
      <c r="J24" s="84"/>
      <c r="K24" s="2"/>
      <c r="L24" s="10"/>
      <c r="Q24" s="51"/>
    </row>
    <row r="25" spans="1:17" ht="17.149999999999999" customHeight="1" x14ac:dyDescent="0.35">
      <c r="A25" s="2"/>
      <c r="B25" s="60"/>
      <c r="C25" s="5"/>
      <c r="D25" s="6"/>
      <c r="E25" s="61" t="s">
        <v>1</v>
      </c>
      <c r="F25" s="62"/>
      <c r="G25" s="63"/>
      <c r="H25" s="4" t="s">
        <v>2</v>
      </c>
      <c r="I25" s="61" t="s">
        <v>3</v>
      </c>
      <c r="J25" s="62"/>
      <c r="K25" s="63"/>
      <c r="L25" s="11" t="s">
        <v>2</v>
      </c>
      <c r="Q25" s="51"/>
    </row>
    <row r="26" spans="1:17" ht="5.15" customHeight="1" x14ac:dyDescent="0.4">
      <c r="A26" s="2"/>
      <c r="B26" s="60"/>
      <c r="C26" s="65"/>
      <c r="D26" s="2"/>
      <c r="E26" s="86"/>
      <c r="F26" s="87"/>
      <c r="G26" s="86"/>
      <c r="H26" s="9"/>
      <c r="I26" s="86"/>
      <c r="J26" s="87"/>
      <c r="K26" s="86"/>
      <c r="L26" s="10"/>
      <c r="Q26" s="51"/>
    </row>
    <row r="27" spans="1:17" ht="15.9" customHeight="1" x14ac:dyDescent="0.35">
      <c r="A27" s="2"/>
      <c r="B27" s="60"/>
      <c r="C27" s="65"/>
      <c r="D27" s="88" t="s">
        <v>23</v>
      </c>
      <c r="E27" s="86"/>
      <c r="F27" s="89">
        <v>10000</v>
      </c>
      <c r="G27" s="86"/>
      <c r="H27" s="28" t="s">
        <v>6</v>
      </c>
      <c r="I27" s="86"/>
      <c r="J27" s="93" t="s">
        <v>7</v>
      </c>
      <c r="K27" s="86"/>
      <c r="L27" s="12" t="s">
        <v>6</v>
      </c>
      <c r="Q27" s="51"/>
    </row>
    <row r="28" spans="1:17" ht="5.15" customHeight="1" x14ac:dyDescent="0.4">
      <c r="A28" s="2"/>
      <c r="B28" s="60"/>
      <c r="C28" s="74"/>
      <c r="D28" s="48"/>
      <c r="E28" s="7"/>
      <c r="F28" s="94"/>
      <c r="G28" s="7"/>
      <c r="H28" s="6"/>
      <c r="I28" s="7"/>
      <c r="J28" s="94"/>
      <c r="K28" s="7"/>
      <c r="L28" s="49"/>
      <c r="Q28" s="51"/>
    </row>
    <row r="29" spans="1:17" ht="5.15" customHeight="1" x14ac:dyDescent="0.4">
      <c r="A29" s="2"/>
      <c r="B29" s="60"/>
      <c r="C29" s="65"/>
      <c r="D29" s="2"/>
      <c r="E29" s="86"/>
      <c r="F29" s="87"/>
      <c r="G29" s="86"/>
      <c r="H29" s="9"/>
      <c r="I29" s="86"/>
      <c r="J29" s="87"/>
      <c r="K29" s="86"/>
      <c r="L29" s="10"/>
      <c r="Q29" s="51"/>
    </row>
    <row r="30" spans="1:17" ht="15.9" customHeight="1" x14ac:dyDescent="0.4">
      <c r="A30" s="2"/>
      <c r="B30" s="60"/>
      <c r="C30" s="65"/>
      <c r="D30" s="88" t="s">
        <v>24</v>
      </c>
      <c r="E30" s="86"/>
      <c r="F30" s="95">
        <v>10000</v>
      </c>
      <c r="G30" s="86"/>
      <c r="H30" s="28" t="s">
        <v>6</v>
      </c>
      <c r="I30" s="86"/>
      <c r="J30" s="93" t="s">
        <v>7</v>
      </c>
      <c r="K30" s="86"/>
      <c r="L30" s="12" t="s">
        <v>19</v>
      </c>
      <c r="Q30" s="19"/>
    </row>
    <row r="31" spans="1:17" ht="5.15" customHeight="1" x14ac:dyDescent="0.4">
      <c r="A31" s="2"/>
      <c r="B31" s="60"/>
      <c r="C31" s="74"/>
      <c r="D31" s="48"/>
      <c r="E31" s="7"/>
      <c r="F31" s="94"/>
      <c r="G31" s="7"/>
      <c r="H31" s="6"/>
      <c r="I31" s="7"/>
      <c r="J31" s="94"/>
      <c r="K31" s="7"/>
      <c r="L31" s="49"/>
    </row>
    <row r="32" spans="1:17" ht="5.15" customHeight="1" x14ac:dyDescent="0.4">
      <c r="A32" s="2"/>
      <c r="B32" s="60"/>
      <c r="C32" s="65"/>
      <c r="D32" s="2"/>
      <c r="E32" s="86"/>
      <c r="F32" s="87"/>
      <c r="G32" s="86"/>
      <c r="H32" s="9"/>
      <c r="I32" s="86"/>
      <c r="J32" s="87"/>
      <c r="K32" s="86"/>
      <c r="L32" s="10"/>
    </row>
    <row r="33" spans="1:12" ht="15.9" customHeight="1" x14ac:dyDescent="0.35">
      <c r="A33" s="2"/>
      <c r="B33" s="60"/>
      <c r="C33" s="65"/>
      <c r="D33" s="88" t="s">
        <v>10</v>
      </c>
      <c r="E33" s="86"/>
      <c r="F33" s="89">
        <v>10000</v>
      </c>
      <c r="G33" s="86"/>
      <c r="H33" s="28" t="s">
        <v>6</v>
      </c>
      <c r="I33" s="86"/>
      <c r="J33" s="93" t="s">
        <v>7</v>
      </c>
      <c r="K33" s="86"/>
      <c r="L33" s="12" t="s">
        <v>6</v>
      </c>
    </row>
    <row r="34" spans="1:12" ht="5.15" customHeight="1" x14ac:dyDescent="0.4">
      <c r="A34" s="2"/>
      <c r="B34" s="60"/>
      <c r="C34" s="74"/>
      <c r="D34" s="48"/>
      <c r="E34" s="7"/>
      <c r="F34" s="94"/>
      <c r="G34" s="7"/>
      <c r="H34" s="6"/>
      <c r="I34" s="7"/>
      <c r="J34" s="94"/>
      <c r="K34" s="7"/>
      <c r="L34" s="49"/>
    </row>
    <row r="35" spans="1:12" ht="5.15" customHeight="1" x14ac:dyDescent="0.4">
      <c r="A35" s="2"/>
      <c r="B35" s="60"/>
      <c r="C35" s="65"/>
      <c r="D35" s="2"/>
      <c r="E35" s="86"/>
      <c r="F35" s="87"/>
      <c r="G35" s="86"/>
      <c r="H35" s="9"/>
      <c r="I35" s="86"/>
      <c r="J35" s="87"/>
      <c r="K35" s="86"/>
      <c r="L35" s="10"/>
    </row>
    <row r="36" spans="1:12" ht="15.9" customHeight="1" x14ac:dyDescent="0.35">
      <c r="A36" s="2"/>
      <c r="B36" s="60"/>
      <c r="C36" s="65"/>
      <c r="D36" s="88" t="s">
        <v>11</v>
      </c>
      <c r="E36" s="86"/>
      <c r="F36" s="96">
        <v>10000</v>
      </c>
      <c r="G36" s="86"/>
      <c r="H36" s="28" t="s">
        <v>20</v>
      </c>
      <c r="I36" s="86"/>
      <c r="J36" s="93" t="s">
        <v>7</v>
      </c>
      <c r="K36" s="86"/>
      <c r="L36" s="12" t="s">
        <v>19</v>
      </c>
    </row>
    <row r="37" spans="1:12" ht="5.15" customHeight="1" x14ac:dyDescent="0.4">
      <c r="A37" s="2"/>
      <c r="B37" s="60"/>
      <c r="C37" s="74"/>
      <c r="D37" s="48"/>
      <c r="E37" s="7"/>
      <c r="F37" s="94"/>
      <c r="G37" s="7"/>
      <c r="H37" s="6"/>
      <c r="I37" s="7"/>
      <c r="J37" s="94"/>
      <c r="K37" s="7"/>
      <c r="L37" s="49"/>
    </row>
    <row r="38" spans="1:12" ht="5.15" customHeight="1" x14ac:dyDescent="0.4">
      <c r="A38" s="2"/>
      <c r="B38" s="60"/>
      <c r="C38" s="65"/>
      <c r="D38" s="2"/>
      <c r="E38" s="86"/>
      <c r="F38" s="87"/>
      <c r="G38" s="86"/>
      <c r="H38" s="9"/>
      <c r="I38" s="86"/>
      <c r="J38" s="87"/>
      <c r="K38" s="86"/>
      <c r="L38" s="10"/>
    </row>
    <row r="39" spans="1:12" ht="15.9" customHeight="1" x14ac:dyDescent="0.4">
      <c r="A39" s="2"/>
      <c r="B39" s="60"/>
      <c r="C39" s="65"/>
      <c r="D39" s="88" t="s">
        <v>12</v>
      </c>
      <c r="E39" s="86"/>
      <c r="F39" s="87"/>
      <c r="G39" s="86"/>
      <c r="H39" s="9"/>
      <c r="I39" s="86"/>
      <c r="J39" s="87"/>
      <c r="K39" s="86"/>
      <c r="L39" s="10"/>
    </row>
    <row r="40" spans="1:12" ht="5.15" customHeight="1" x14ac:dyDescent="0.4">
      <c r="A40" s="2"/>
      <c r="B40" s="60"/>
      <c r="C40" s="47"/>
      <c r="D40" s="88"/>
      <c r="E40" s="86"/>
      <c r="F40" s="87"/>
      <c r="G40" s="86"/>
      <c r="H40" s="9"/>
      <c r="I40" s="86"/>
      <c r="J40" s="87"/>
      <c r="K40" s="86"/>
      <c r="L40" s="10"/>
    </row>
    <row r="41" spans="1:12" ht="15.9" customHeight="1" x14ac:dyDescent="0.35">
      <c r="A41" s="2"/>
      <c r="B41" s="60"/>
      <c r="C41" s="47"/>
      <c r="D41" s="97" t="s">
        <v>26</v>
      </c>
      <c r="E41" s="86"/>
      <c r="F41" s="98">
        <v>10000</v>
      </c>
      <c r="G41" s="86"/>
      <c r="H41" s="28" t="s">
        <v>27</v>
      </c>
      <c r="I41" s="86"/>
      <c r="J41" s="99" t="s">
        <v>7</v>
      </c>
      <c r="K41" s="86"/>
      <c r="L41" s="12" t="s">
        <v>27</v>
      </c>
    </row>
    <row r="42" spans="1:12" ht="5.15" customHeight="1" x14ac:dyDescent="0.4">
      <c r="A42" s="2"/>
      <c r="B42" s="60"/>
      <c r="C42" s="47"/>
      <c r="D42" s="25"/>
      <c r="E42" s="7"/>
      <c r="F42" s="94"/>
      <c r="G42" s="7"/>
      <c r="H42" s="6"/>
      <c r="I42" s="7"/>
      <c r="J42" s="94"/>
      <c r="K42" s="7"/>
      <c r="L42" s="49"/>
    </row>
    <row r="43" spans="1:12" ht="5.15" customHeight="1" x14ac:dyDescent="0.4">
      <c r="A43" s="2"/>
      <c r="B43" s="60"/>
      <c r="C43" s="47"/>
      <c r="D43" s="88"/>
      <c r="E43" s="86"/>
      <c r="F43" s="87"/>
      <c r="G43" s="86"/>
      <c r="H43" s="9"/>
      <c r="I43" s="86"/>
      <c r="J43" s="87"/>
      <c r="K43" s="86"/>
      <c r="L43" s="10"/>
    </row>
    <row r="44" spans="1:12" ht="15.9" customHeight="1" x14ac:dyDescent="0.35">
      <c r="A44" s="2"/>
      <c r="B44" s="60"/>
      <c r="C44" s="47"/>
      <c r="D44" s="100" t="s">
        <v>35</v>
      </c>
      <c r="E44" s="86"/>
      <c r="F44" s="101">
        <v>10000</v>
      </c>
      <c r="G44" s="86"/>
      <c r="H44" s="28" t="s">
        <v>36</v>
      </c>
      <c r="I44" s="86"/>
      <c r="J44" s="93" t="s">
        <v>7</v>
      </c>
      <c r="K44" s="86"/>
      <c r="L44" s="12" t="s">
        <v>19</v>
      </c>
    </row>
    <row r="45" spans="1:12" ht="5.15" customHeight="1" x14ac:dyDescent="0.4">
      <c r="A45" s="2"/>
      <c r="B45" s="60"/>
      <c r="C45" s="47"/>
      <c r="D45" s="25"/>
      <c r="E45" s="7"/>
      <c r="F45" s="94"/>
      <c r="G45" s="7"/>
      <c r="H45" s="6"/>
      <c r="I45" s="7"/>
      <c r="J45" s="94"/>
      <c r="K45" s="7"/>
      <c r="L45" s="49"/>
    </row>
    <row r="46" spans="1:12" ht="21.9" customHeight="1" x14ac:dyDescent="0.4">
      <c r="A46" s="2"/>
      <c r="B46" s="60"/>
      <c r="C46" s="47"/>
      <c r="D46" s="2"/>
      <c r="E46" s="2"/>
      <c r="F46" s="84"/>
      <c r="G46" s="2"/>
      <c r="H46" s="9"/>
      <c r="I46" s="2"/>
      <c r="J46" s="84"/>
      <c r="K46" s="2"/>
      <c r="L46" s="10"/>
    </row>
    <row r="47" spans="1:12" ht="5.15" customHeight="1" thickBot="1" x14ac:dyDescent="0.45">
      <c r="A47" s="2"/>
      <c r="B47" s="66"/>
      <c r="C47" s="50"/>
      <c r="D47" s="29"/>
      <c r="E47" s="29"/>
      <c r="F47" s="102"/>
      <c r="G47" s="29"/>
      <c r="H47" s="31"/>
      <c r="I47" s="29"/>
      <c r="J47" s="102"/>
      <c r="K47" s="29"/>
      <c r="L47" s="32"/>
    </row>
    <row r="48" spans="1:12" ht="15.9" customHeight="1" x14ac:dyDescent="0.4">
      <c r="A48" s="2"/>
      <c r="B48" s="59" t="s">
        <v>8</v>
      </c>
      <c r="C48" s="13"/>
      <c r="D48" s="13"/>
      <c r="E48" s="13"/>
      <c r="F48" s="85"/>
      <c r="G48" s="13"/>
      <c r="H48" s="13"/>
      <c r="I48" s="13"/>
      <c r="J48" s="85"/>
      <c r="K48" s="13"/>
      <c r="L48" s="14"/>
    </row>
    <row r="49" spans="1:12" ht="18" customHeight="1" x14ac:dyDescent="0.35">
      <c r="A49" s="2"/>
      <c r="B49" s="60"/>
      <c r="C49" s="5"/>
      <c r="D49" s="6"/>
      <c r="E49" s="61" t="s">
        <v>1</v>
      </c>
      <c r="F49" s="62"/>
      <c r="G49" s="63"/>
      <c r="H49" s="4" t="s">
        <v>2</v>
      </c>
      <c r="I49" s="61" t="s">
        <v>3</v>
      </c>
      <c r="J49" s="62"/>
      <c r="K49" s="63"/>
      <c r="L49" s="11" t="s">
        <v>2</v>
      </c>
    </row>
    <row r="50" spans="1:12" ht="5.15" customHeight="1" x14ac:dyDescent="0.4">
      <c r="A50" s="2"/>
      <c r="B50" s="60"/>
      <c r="C50" s="65"/>
      <c r="D50" s="2"/>
      <c r="E50" s="86"/>
      <c r="F50" s="87"/>
      <c r="G50" s="86"/>
      <c r="H50" s="9"/>
      <c r="I50" s="86"/>
      <c r="J50" s="87"/>
      <c r="K50" s="86"/>
      <c r="L50" s="10"/>
    </row>
    <row r="51" spans="1:12" ht="15.9" customHeight="1" x14ac:dyDescent="0.35">
      <c r="A51" s="2"/>
      <c r="B51" s="60"/>
      <c r="C51" s="65"/>
      <c r="D51" s="88" t="s">
        <v>23</v>
      </c>
      <c r="E51" s="86"/>
      <c r="F51" s="89">
        <v>10000</v>
      </c>
      <c r="G51" s="86"/>
      <c r="H51" s="28" t="s">
        <v>6</v>
      </c>
      <c r="I51" s="86"/>
      <c r="J51" s="93" t="s">
        <v>7</v>
      </c>
      <c r="K51" s="86"/>
      <c r="L51" s="12" t="s">
        <v>6</v>
      </c>
    </row>
    <row r="52" spans="1:12" ht="5.15" customHeight="1" x14ac:dyDescent="0.4">
      <c r="A52" s="2"/>
      <c r="B52" s="60"/>
      <c r="C52" s="74"/>
      <c r="D52" s="48"/>
      <c r="E52" s="7"/>
      <c r="F52" s="94"/>
      <c r="G52" s="7"/>
      <c r="H52" s="6"/>
      <c r="I52" s="7"/>
      <c r="J52" s="94"/>
      <c r="K52" s="7"/>
      <c r="L52" s="49"/>
    </row>
    <row r="53" spans="1:12" ht="5.15" customHeight="1" x14ac:dyDescent="0.4">
      <c r="A53" s="2"/>
      <c r="B53" s="60"/>
      <c r="C53" s="65"/>
      <c r="D53" s="2"/>
      <c r="E53" s="86"/>
      <c r="F53" s="87"/>
      <c r="G53" s="86"/>
      <c r="H53" s="9"/>
      <c r="I53" s="86"/>
      <c r="J53" s="87"/>
      <c r="K53" s="86"/>
      <c r="L53" s="10"/>
    </row>
    <row r="54" spans="1:12" ht="15.9" customHeight="1" x14ac:dyDescent="0.35">
      <c r="A54" s="2"/>
      <c r="B54" s="60"/>
      <c r="C54" s="65"/>
      <c r="D54" s="88" t="s">
        <v>24</v>
      </c>
      <c r="E54" s="86"/>
      <c r="F54" s="95">
        <v>10000</v>
      </c>
      <c r="G54" s="86"/>
      <c r="H54" s="28" t="s">
        <v>20</v>
      </c>
      <c r="I54" s="86"/>
      <c r="J54" s="93" t="s">
        <v>7</v>
      </c>
      <c r="K54" s="86"/>
      <c r="L54" s="12" t="s">
        <v>19</v>
      </c>
    </row>
    <row r="55" spans="1:12" ht="5.15" customHeight="1" x14ac:dyDescent="0.4">
      <c r="A55" s="2"/>
      <c r="B55" s="60"/>
      <c r="C55" s="74"/>
      <c r="D55" s="48"/>
      <c r="E55" s="7"/>
      <c r="F55" s="94"/>
      <c r="G55" s="7"/>
      <c r="H55" s="6"/>
      <c r="I55" s="7"/>
      <c r="J55" s="94"/>
      <c r="K55" s="7"/>
      <c r="L55" s="49"/>
    </row>
    <row r="56" spans="1:12" ht="5.15" customHeight="1" x14ac:dyDescent="0.4">
      <c r="A56" s="2"/>
      <c r="B56" s="60"/>
      <c r="C56" s="65"/>
      <c r="D56" s="2"/>
      <c r="E56" s="86"/>
      <c r="F56" s="87"/>
      <c r="G56" s="86"/>
      <c r="H56" s="9"/>
      <c r="I56" s="86"/>
      <c r="J56" s="87"/>
      <c r="K56" s="86"/>
      <c r="L56" s="10"/>
    </row>
    <row r="57" spans="1:12" ht="15.9" customHeight="1" x14ac:dyDescent="0.35">
      <c r="A57" s="2"/>
      <c r="B57" s="60"/>
      <c r="C57" s="65"/>
      <c r="D57" s="88" t="s">
        <v>10</v>
      </c>
      <c r="E57" s="86"/>
      <c r="F57" s="95">
        <v>10000</v>
      </c>
      <c r="G57" s="86"/>
      <c r="H57" s="28" t="s">
        <v>6</v>
      </c>
      <c r="I57" s="86"/>
      <c r="J57" s="93" t="s">
        <v>7</v>
      </c>
      <c r="K57" s="86"/>
      <c r="L57" s="12" t="s">
        <v>6</v>
      </c>
    </row>
    <row r="58" spans="1:12" ht="5.15" customHeight="1" x14ac:dyDescent="0.4">
      <c r="A58" s="2"/>
      <c r="B58" s="60"/>
      <c r="C58" s="74"/>
      <c r="D58" s="48"/>
      <c r="E58" s="7"/>
      <c r="F58" s="94"/>
      <c r="G58" s="7"/>
      <c r="H58" s="6"/>
      <c r="I58" s="7"/>
      <c r="J58" s="94"/>
      <c r="K58" s="7"/>
      <c r="L58" s="49"/>
    </row>
    <row r="59" spans="1:12" ht="5.15" customHeight="1" x14ac:dyDescent="0.4">
      <c r="A59" s="2"/>
      <c r="B59" s="60"/>
      <c r="C59" s="65"/>
      <c r="D59" s="2"/>
      <c r="E59" s="86"/>
      <c r="F59" s="87"/>
      <c r="G59" s="86"/>
      <c r="H59" s="9"/>
      <c r="I59" s="86"/>
      <c r="J59" s="87"/>
      <c r="K59" s="86"/>
      <c r="L59" s="10"/>
    </row>
    <row r="60" spans="1:12" ht="15.9" customHeight="1" x14ac:dyDescent="0.35">
      <c r="A60" s="2"/>
      <c r="B60" s="60"/>
      <c r="C60" s="65"/>
      <c r="D60" s="88" t="s">
        <v>11</v>
      </c>
      <c r="E60" s="86"/>
      <c r="F60" s="95">
        <v>10000</v>
      </c>
      <c r="G60" s="86"/>
      <c r="H60" s="28" t="s">
        <v>6</v>
      </c>
      <c r="I60" s="86"/>
      <c r="J60" s="93" t="s">
        <v>7</v>
      </c>
      <c r="K60" s="86"/>
      <c r="L60" s="12" t="s">
        <v>6</v>
      </c>
    </row>
    <row r="61" spans="1:12" ht="5.15" customHeight="1" x14ac:dyDescent="0.4">
      <c r="A61" s="2"/>
      <c r="B61" s="60"/>
      <c r="C61" s="74"/>
      <c r="D61" s="48"/>
      <c r="E61" s="7"/>
      <c r="F61" s="94"/>
      <c r="G61" s="7"/>
      <c r="H61" s="6"/>
      <c r="I61" s="7"/>
      <c r="J61" s="94"/>
      <c r="K61" s="7"/>
      <c r="L61" s="49"/>
    </row>
    <row r="62" spans="1:12" ht="5.15" customHeight="1" x14ac:dyDescent="0.4">
      <c r="A62" s="2"/>
      <c r="B62" s="60"/>
      <c r="C62" s="65"/>
      <c r="D62" s="2"/>
      <c r="E62" s="86"/>
      <c r="F62" s="87"/>
      <c r="G62" s="86"/>
      <c r="H62" s="9"/>
      <c r="I62" s="86"/>
      <c r="J62" s="87"/>
      <c r="K62" s="86"/>
      <c r="L62" s="10"/>
    </row>
    <row r="63" spans="1:12" ht="15.9" customHeight="1" x14ac:dyDescent="0.4">
      <c r="A63" s="2"/>
      <c r="B63" s="60"/>
      <c r="C63" s="65"/>
      <c r="D63" s="88" t="s">
        <v>12</v>
      </c>
      <c r="E63" s="86"/>
      <c r="F63" s="87"/>
      <c r="G63" s="86"/>
      <c r="H63" s="9"/>
      <c r="I63" s="86"/>
      <c r="J63" s="87"/>
      <c r="K63" s="86"/>
      <c r="L63" s="10"/>
    </row>
    <row r="64" spans="1:12" ht="5.15" customHeight="1" x14ac:dyDescent="0.4">
      <c r="A64" s="2"/>
      <c r="B64" s="60"/>
      <c r="C64" s="47"/>
      <c r="D64" s="88"/>
      <c r="E64" s="86"/>
      <c r="F64" s="87"/>
      <c r="G64" s="86"/>
      <c r="H64" s="9"/>
      <c r="I64" s="86"/>
      <c r="J64" s="87"/>
      <c r="K64" s="86"/>
      <c r="L64" s="10"/>
    </row>
    <row r="65" spans="1:12" ht="15.9" customHeight="1" x14ac:dyDescent="0.35">
      <c r="A65" s="2"/>
      <c r="B65" s="60"/>
      <c r="C65" s="47"/>
      <c r="D65" s="97" t="s">
        <v>37</v>
      </c>
      <c r="E65" s="86"/>
      <c r="F65" s="103">
        <v>10000</v>
      </c>
      <c r="G65" s="86"/>
      <c r="H65" s="28" t="s">
        <v>27</v>
      </c>
      <c r="I65" s="86"/>
      <c r="J65" s="93" t="s">
        <v>7</v>
      </c>
      <c r="K65" s="86"/>
      <c r="L65" s="12" t="s">
        <v>19</v>
      </c>
    </row>
    <row r="66" spans="1:12" ht="5.15" customHeight="1" x14ac:dyDescent="0.4">
      <c r="A66" s="2"/>
      <c r="B66" s="60"/>
      <c r="C66" s="47"/>
      <c r="D66" s="25"/>
      <c r="E66" s="7"/>
      <c r="F66" s="94"/>
      <c r="G66" s="7"/>
      <c r="H66" s="6"/>
      <c r="I66" s="7"/>
      <c r="J66" s="94"/>
      <c r="K66" s="7"/>
      <c r="L66" s="49"/>
    </row>
    <row r="67" spans="1:12" ht="5.15" customHeight="1" x14ac:dyDescent="0.4">
      <c r="A67" s="2"/>
      <c r="B67" s="60"/>
      <c r="C67" s="47"/>
      <c r="D67" s="88"/>
      <c r="E67" s="86"/>
      <c r="F67" s="87"/>
      <c r="G67" s="86"/>
      <c r="H67" s="9"/>
      <c r="I67" s="86"/>
      <c r="J67" s="87"/>
      <c r="K67" s="86"/>
      <c r="L67" s="10"/>
    </row>
    <row r="68" spans="1:12" ht="15.9" customHeight="1" x14ac:dyDescent="0.35">
      <c r="A68" s="2"/>
      <c r="B68" s="60"/>
      <c r="C68" s="47"/>
      <c r="D68" s="97" t="s">
        <v>38</v>
      </c>
      <c r="E68" s="86"/>
      <c r="F68" s="89">
        <v>10000</v>
      </c>
      <c r="G68" s="86"/>
      <c r="H68" s="28" t="s">
        <v>19</v>
      </c>
      <c r="I68" s="86"/>
      <c r="J68" s="104" t="s">
        <v>7</v>
      </c>
      <c r="K68" s="86"/>
      <c r="L68" s="12" t="s">
        <v>20</v>
      </c>
    </row>
    <row r="69" spans="1:12" ht="5.15" customHeight="1" x14ac:dyDescent="0.4">
      <c r="A69" s="2"/>
      <c r="B69" s="60"/>
      <c r="C69" s="47"/>
      <c r="D69" s="25"/>
      <c r="E69" s="7"/>
      <c r="F69" s="94"/>
      <c r="G69" s="7"/>
      <c r="H69" s="6"/>
      <c r="I69" s="7"/>
      <c r="J69" s="94"/>
      <c r="K69" s="7"/>
      <c r="L69" s="49"/>
    </row>
    <row r="70" spans="1:12" ht="5.15" customHeight="1" x14ac:dyDescent="0.4">
      <c r="A70" s="2"/>
      <c r="B70" s="60"/>
      <c r="C70" s="47"/>
      <c r="D70" s="88"/>
      <c r="E70" s="86"/>
      <c r="F70" s="87"/>
      <c r="G70" s="86"/>
      <c r="H70" s="9"/>
      <c r="I70" s="86"/>
      <c r="J70" s="87"/>
      <c r="K70" s="86"/>
      <c r="L70" s="10"/>
    </row>
    <row r="71" spans="1:12" ht="15.9" customHeight="1" x14ac:dyDescent="0.35">
      <c r="A71" s="2"/>
      <c r="B71" s="60"/>
      <c r="C71" s="47"/>
      <c r="D71" s="97" t="s">
        <v>39</v>
      </c>
      <c r="E71" s="86"/>
      <c r="F71" s="89">
        <v>10000</v>
      </c>
      <c r="G71" s="86"/>
      <c r="H71" s="28" t="s">
        <v>19</v>
      </c>
      <c r="I71" s="86"/>
      <c r="J71" s="105" t="s">
        <v>7</v>
      </c>
      <c r="K71" s="86"/>
      <c r="L71" s="12" t="s">
        <v>20</v>
      </c>
    </row>
    <row r="72" spans="1:12" ht="5.15" customHeight="1" x14ac:dyDescent="0.4">
      <c r="A72" s="2"/>
      <c r="B72" s="60"/>
      <c r="C72" s="47"/>
      <c r="D72" s="25"/>
      <c r="E72" s="7"/>
      <c r="F72" s="94"/>
      <c r="G72" s="7"/>
      <c r="H72" s="6"/>
      <c r="I72" s="7"/>
      <c r="J72" s="94"/>
      <c r="K72" s="7"/>
      <c r="L72" s="49"/>
    </row>
    <row r="73" spans="1:12" ht="5.15" customHeight="1" x14ac:dyDescent="0.4">
      <c r="A73" s="2"/>
      <c r="B73" s="60"/>
      <c r="C73" s="47"/>
      <c r="D73" s="88"/>
      <c r="E73" s="86"/>
      <c r="F73" s="87"/>
      <c r="G73" s="86"/>
      <c r="H73" s="9"/>
      <c r="I73" s="86"/>
      <c r="J73" s="87"/>
      <c r="K73" s="86"/>
      <c r="L73" s="10"/>
    </row>
    <row r="74" spans="1:12" ht="15.9" customHeight="1" x14ac:dyDescent="0.35">
      <c r="A74" s="2"/>
      <c r="B74" s="60"/>
      <c r="C74" s="47"/>
      <c r="D74" s="97" t="s">
        <v>40</v>
      </c>
      <c r="E74" s="86"/>
      <c r="F74" s="89">
        <v>10000</v>
      </c>
      <c r="G74" s="86"/>
      <c r="H74" s="28" t="s">
        <v>19</v>
      </c>
      <c r="I74" s="86"/>
      <c r="J74" s="106" t="s">
        <v>7</v>
      </c>
      <c r="K74" s="86"/>
      <c r="L74" s="12" t="s">
        <v>20</v>
      </c>
    </row>
    <row r="75" spans="1:12" ht="5.15" customHeight="1" x14ac:dyDescent="0.4">
      <c r="A75" s="2"/>
      <c r="B75" s="60"/>
      <c r="C75" s="47"/>
      <c r="D75" s="25"/>
      <c r="E75" s="7"/>
      <c r="F75" s="94"/>
      <c r="G75" s="7"/>
      <c r="H75" s="6"/>
      <c r="I75" s="7"/>
      <c r="J75" s="94"/>
      <c r="K75" s="7"/>
      <c r="L75" s="49"/>
    </row>
    <row r="76" spans="1:12" ht="5.15" customHeight="1" x14ac:dyDescent="0.4">
      <c r="A76" s="2"/>
      <c r="B76" s="60"/>
      <c r="C76" s="47"/>
      <c r="D76" s="88"/>
      <c r="E76" s="86"/>
      <c r="F76" s="87"/>
      <c r="G76" s="86"/>
      <c r="H76" s="9"/>
      <c r="I76" s="86"/>
      <c r="J76" s="87"/>
      <c r="K76" s="86"/>
      <c r="L76" s="10"/>
    </row>
    <row r="77" spans="1:12" ht="15.9" customHeight="1" x14ac:dyDescent="0.35">
      <c r="A77" s="2"/>
      <c r="B77" s="60"/>
      <c r="C77" s="47"/>
      <c r="D77" s="97" t="s">
        <v>41</v>
      </c>
      <c r="E77" s="86"/>
      <c r="F77" s="89">
        <v>10000</v>
      </c>
      <c r="G77" s="86"/>
      <c r="H77" s="28" t="s">
        <v>19</v>
      </c>
      <c r="I77" s="86"/>
      <c r="J77" s="107" t="s">
        <v>7</v>
      </c>
      <c r="K77" s="86"/>
      <c r="L77" s="12" t="s">
        <v>20</v>
      </c>
    </row>
    <row r="78" spans="1:12" ht="5.15" customHeight="1" x14ac:dyDescent="0.4">
      <c r="A78" s="2"/>
      <c r="B78" s="60"/>
      <c r="C78" s="47"/>
      <c r="D78" s="25"/>
      <c r="E78" s="7"/>
      <c r="F78" s="94"/>
      <c r="G78" s="7"/>
      <c r="H78" s="6"/>
      <c r="I78" s="7"/>
      <c r="J78" s="94"/>
      <c r="K78" s="7"/>
      <c r="L78" s="49"/>
    </row>
    <row r="79" spans="1:12" ht="5.15" customHeight="1" x14ac:dyDescent="0.4">
      <c r="A79" s="2"/>
      <c r="B79" s="60"/>
      <c r="C79" s="47"/>
      <c r="D79" s="88"/>
      <c r="E79" s="86"/>
      <c r="F79" s="87"/>
      <c r="G79" s="86"/>
      <c r="H79" s="9"/>
      <c r="I79" s="86"/>
      <c r="J79" s="87"/>
      <c r="K79" s="86"/>
      <c r="L79" s="10"/>
    </row>
    <row r="80" spans="1:12" ht="15.9" customHeight="1" x14ac:dyDescent="0.35">
      <c r="A80" s="2"/>
      <c r="B80" s="60"/>
      <c r="C80" s="47"/>
      <c r="D80" s="97" t="s">
        <v>42</v>
      </c>
      <c r="E80" s="86"/>
      <c r="F80" s="89">
        <v>10000</v>
      </c>
      <c r="G80" s="86"/>
      <c r="H80" s="28" t="s">
        <v>19</v>
      </c>
      <c r="I80" s="86"/>
      <c r="J80" s="108" t="s">
        <v>7</v>
      </c>
      <c r="K80" s="86"/>
      <c r="L80" s="12" t="s">
        <v>20</v>
      </c>
    </row>
    <row r="81" spans="1:12" ht="5.15" customHeight="1" x14ac:dyDescent="0.4">
      <c r="A81" s="2"/>
      <c r="B81" s="60"/>
      <c r="C81" s="47"/>
      <c r="D81" s="25"/>
      <c r="E81" s="7"/>
      <c r="F81" s="94"/>
      <c r="G81" s="7"/>
      <c r="H81" s="6"/>
      <c r="I81" s="7"/>
      <c r="J81" s="94"/>
      <c r="K81" s="7"/>
      <c r="L81" s="49"/>
    </row>
    <row r="82" spans="1:12" ht="5.15" customHeight="1" x14ac:dyDescent="0.4">
      <c r="A82" s="2"/>
      <c r="B82" s="60"/>
      <c r="C82" s="47"/>
      <c r="D82" s="88"/>
      <c r="E82" s="86"/>
      <c r="F82" s="87"/>
      <c r="G82" s="86"/>
      <c r="H82" s="9"/>
      <c r="I82" s="86"/>
      <c r="J82" s="87"/>
      <c r="K82" s="86"/>
      <c r="L82" s="10"/>
    </row>
    <row r="83" spans="1:12" ht="15.9" customHeight="1" x14ac:dyDescent="0.35">
      <c r="A83" s="2"/>
      <c r="B83" s="60"/>
      <c r="C83" s="47"/>
      <c r="D83" s="97" t="s">
        <v>43</v>
      </c>
      <c r="E83" s="86"/>
      <c r="F83" s="89">
        <v>10000</v>
      </c>
      <c r="G83" s="86"/>
      <c r="H83" s="28" t="s">
        <v>19</v>
      </c>
      <c r="I83" s="86"/>
      <c r="J83" s="109" t="s">
        <v>7</v>
      </c>
      <c r="K83" s="86"/>
      <c r="L83" s="12" t="s">
        <v>20</v>
      </c>
    </row>
    <row r="84" spans="1:12" ht="5.15" customHeight="1" x14ac:dyDescent="0.4">
      <c r="A84" s="2"/>
      <c r="B84" s="60"/>
      <c r="C84" s="47"/>
      <c r="D84" s="25"/>
      <c r="E84" s="7"/>
      <c r="F84" s="94"/>
      <c r="G84" s="7"/>
      <c r="H84" s="6"/>
      <c r="I84" s="7"/>
      <c r="J84" s="94"/>
      <c r="K84" s="7"/>
      <c r="L84" s="49"/>
    </row>
    <row r="85" spans="1:12" ht="21.9" customHeight="1" x14ac:dyDescent="0.4">
      <c r="A85" s="2"/>
      <c r="B85" s="60"/>
      <c r="C85" s="47"/>
      <c r="D85" s="2"/>
      <c r="E85" s="2"/>
      <c r="F85" s="84"/>
      <c r="G85" s="2"/>
      <c r="H85" s="9"/>
      <c r="I85" s="2"/>
      <c r="J85" s="84"/>
      <c r="K85" s="2"/>
      <c r="L85" s="10"/>
    </row>
    <row r="86" spans="1:12" ht="5.15" customHeight="1" thickBot="1" x14ac:dyDescent="0.45">
      <c r="A86" s="2"/>
      <c r="B86" s="66"/>
      <c r="C86" s="50"/>
      <c r="D86" s="29"/>
      <c r="E86" s="29"/>
      <c r="F86" s="102"/>
      <c r="G86" s="29"/>
      <c r="H86" s="31"/>
      <c r="I86" s="29"/>
      <c r="J86" s="102"/>
      <c r="K86" s="29"/>
      <c r="L86" s="32"/>
    </row>
    <row r="87" spans="1:12" ht="24.65" customHeight="1" x14ac:dyDescent="0.4">
      <c r="A87" s="2"/>
      <c r="B87" s="2"/>
      <c r="C87" s="2"/>
      <c r="D87" s="2"/>
      <c r="E87" s="2"/>
      <c r="F87" s="84"/>
      <c r="G87" s="2"/>
      <c r="H87" s="2"/>
      <c r="I87" s="2"/>
      <c r="J87" s="84"/>
      <c r="K87" s="2"/>
      <c r="L87" s="2"/>
    </row>
    <row r="88" spans="1:12" ht="15" thickBot="1" x14ac:dyDescent="0.45">
      <c r="A88" s="2"/>
      <c r="B88" s="2"/>
      <c r="C88" s="2"/>
      <c r="D88" s="2"/>
      <c r="E88" s="2"/>
      <c r="F88" s="84"/>
      <c r="G88" s="2"/>
      <c r="H88" s="2"/>
      <c r="I88" s="2"/>
      <c r="J88" s="84"/>
      <c r="K88" s="2"/>
      <c r="L88" s="2"/>
    </row>
    <row r="89" spans="1:12" ht="28.4" customHeight="1" x14ac:dyDescent="0.35">
      <c r="A89" s="2"/>
      <c r="B89" s="68" t="s">
        <v>13</v>
      </c>
      <c r="C89" s="69"/>
      <c r="D89" s="69"/>
      <c r="E89" s="69"/>
      <c r="F89" s="69"/>
      <c r="G89" s="69"/>
      <c r="H89" s="69"/>
      <c r="I89" s="69"/>
      <c r="J89" s="69"/>
      <c r="K89" s="69"/>
      <c r="L89" s="70"/>
    </row>
    <row r="90" spans="1:12" ht="28.4" customHeight="1" x14ac:dyDescent="0.35">
      <c r="A90" s="2"/>
      <c r="B90" s="71"/>
      <c r="C90" s="72"/>
      <c r="D90" s="72"/>
      <c r="E90" s="72"/>
      <c r="F90" s="72"/>
      <c r="G90" s="72"/>
      <c r="H90" s="72"/>
      <c r="I90" s="72"/>
      <c r="J90" s="72"/>
      <c r="K90" s="72"/>
      <c r="L90" s="73"/>
    </row>
    <row r="91" spans="1:12" ht="21.75" customHeight="1" x14ac:dyDescent="0.4">
      <c r="A91" s="2"/>
      <c r="B91" s="75" t="s">
        <v>4</v>
      </c>
      <c r="C91" s="2"/>
      <c r="D91" s="2"/>
      <c r="E91" s="2"/>
      <c r="F91" s="84"/>
      <c r="G91" s="2"/>
      <c r="H91" s="2"/>
      <c r="I91" s="2"/>
      <c r="J91" s="84"/>
      <c r="K91" s="2"/>
      <c r="L91" s="10"/>
    </row>
    <row r="92" spans="1:12" ht="18" customHeight="1" x14ac:dyDescent="0.35">
      <c r="A92" s="2"/>
      <c r="B92" s="60"/>
      <c r="C92" s="5"/>
      <c r="D92" s="6"/>
      <c r="E92" s="61" t="s">
        <v>1</v>
      </c>
      <c r="F92" s="62"/>
      <c r="G92" s="63"/>
      <c r="H92" s="4" t="s">
        <v>2</v>
      </c>
      <c r="I92" s="61" t="s">
        <v>3</v>
      </c>
      <c r="J92" s="62"/>
      <c r="K92" s="63"/>
      <c r="L92" s="11" t="s">
        <v>2</v>
      </c>
    </row>
    <row r="93" spans="1:12" ht="5.15" customHeight="1" x14ac:dyDescent="0.4">
      <c r="A93" s="2"/>
      <c r="B93" s="60"/>
      <c r="C93" s="64"/>
      <c r="D93" s="2"/>
      <c r="E93" s="86"/>
      <c r="F93" s="87"/>
      <c r="G93" s="86"/>
      <c r="H93" s="8"/>
      <c r="I93" s="86"/>
      <c r="J93" s="87"/>
      <c r="K93" s="86"/>
      <c r="L93" s="10"/>
    </row>
    <row r="94" spans="1:12" ht="15.75" customHeight="1" x14ac:dyDescent="0.35">
      <c r="A94" s="2"/>
      <c r="B94" s="60"/>
      <c r="C94" s="65"/>
      <c r="D94" s="88" t="s">
        <v>14</v>
      </c>
      <c r="E94" s="86"/>
      <c r="F94" s="110">
        <v>10000</v>
      </c>
      <c r="G94" s="86"/>
      <c r="H94" s="28" t="s">
        <v>6</v>
      </c>
      <c r="I94" s="86"/>
      <c r="J94" s="93" t="s">
        <v>7</v>
      </c>
      <c r="K94" s="86"/>
      <c r="L94" s="12" t="s">
        <v>6</v>
      </c>
    </row>
    <row r="95" spans="1:12" ht="5.15" customHeight="1" x14ac:dyDescent="0.4">
      <c r="A95" s="2"/>
      <c r="B95" s="60"/>
      <c r="C95" s="74"/>
      <c r="D95" s="48"/>
      <c r="E95" s="7"/>
      <c r="F95" s="94"/>
      <c r="G95" s="7"/>
      <c r="H95" s="6"/>
      <c r="I95" s="7"/>
      <c r="J95" s="94"/>
      <c r="K95" s="7"/>
      <c r="L95" s="49"/>
    </row>
    <row r="96" spans="1:12" ht="5.15" customHeight="1" x14ac:dyDescent="0.4">
      <c r="A96" s="2"/>
      <c r="B96" s="60"/>
      <c r="C96" s="65"/>
      <c r="D96" s="2"/>
      <c r="E96" s="86"/>
      <c r="F96" s="87"/>
      <c r="G96" s="86"/>
      <c r="H96" s="9"/>
      <c r="I96" s="86"/>
      <c r="J96" s="87"/>
      <c r="K96" s="86"/>
      <c r="L96" s="10"/>
    </row>
    <row r="97" spans="1:12" ht="15.75" customHeight="1" x14ac:dyDescent="0.35">
      <c r="A97" s="2"/>
      <c r="B97" s="60"/>
      <c r="C97" s="65"/>
      <c r="D97" s="88" t="s">
        <v>15</v>
      </c>
      <c r="E97" s="86"/>
      <c r="F97" s="110">
        <v>10000</v>
      </c>
      <c r="G97" s="86"/>
      <c r="H97" s="28" t="s">
        <v>6</v>
      </c>
      <c r="I97" s="86"/>
      <c r="J97" s="93" t="s">
        <v>7</v>
      </c>
      <c r="K97" s="86"/>
      <c r="L97" s="12" t="s">
        <v>6</v>
      </c>
    </row>
    <row r="98" spans="1:12" ht="5.15" customHeight="1" x14ac:dyDescent="0.4">
      <c r="A98" s="2"/>
      <c r="B98" s="76"/>
      <c r="C98" s="74"/>
      <c r="D98" s="48"/>
      <c r="E98" s="7"/>
      <c r="F98" s="94"/>
      <c r="G98" s="7"/>
      <c r="H98" s="6"/>
      <c r="I98" s="7"/>
      <c r="J98" s="94"/>
      <c r="K98" s="7"/>
      <c r="L98" s="49"/>
    </row>
    <row r="99" spans="1:12" ht="21.75" customHeight="1" x14ac:dyDescent="0.4">
      <c r="A99" s="2"/>
      <c r="B99" s="75" t="s">
        <v>8</v>
      </c>
      <c r="C99" s="2"/>
      <c r="D99" s="2"/>
      <c r="E99" s="2"/>
      <c r="F99" s="84"/>
      <c r="G99" s="2"/>
      <c r="H99" s="2"/>
      <c r="I99" s="2"/>
      <c r="J99" s="84"/>
      <c r="K99" s="2"/>
      <c r="L99" s="10"/>
    </row>
    <row r="100" spans="1:12" ht="18" customHeight="1" x14ac:dyDescent="0.35">
      <c r="A100" s="2"/>
      <c r="B100" s="60"/>
      <c r="C100" s="5"/>
      <c r="D100" s="6"/>
      <c r="E100" s="61" t="s">
        <v>1</v>
      </c>
      <c r="F100" s="62"/>
      <c r="G100" s="63"/>
      <c r="H100" s="4" t="s">
        <v>2</v>
      </c>
      <c r="I100" s="61" t="s">
        <v>3</v>
      </c>
      <c r="J100" s="62"/>
      <c r="K100" s="63"/>
      <c r="L100" s="11" t="s">
        <v>2</v>
      </c>
    </row>
    <row r="101" spans="1:12" ht="5.15" customHeight="1" x14ac:dyDescent="0.4">
      <c r="A101" s="2"/>
      <c r="B101" s="60"/>
      <c r="C101" s="64"/>
      <c r="D101" s="2"/>
      <c r="E101" s="86"/>
      <c r="F101" s="87"/>
      <c r="G101" s="86"/>
      <c r="H101" s="8"/>
      <c r="I101" s="86"/>
      <c r="J101" s="87"/>
      <c r="K101" s="86"/>
      <c r="L101" s="10"/>
    </row>
    <row r="102" spans="1:12" ht="15.75" customHeight="1" x14ac:dyDescent="0.35">
      <c r="A102" s="2"/>
      <c r="B102" s="60"/>
      <c r="C102" s="65"/>
      <c r="D102" s="88" t="s">
        <v>14</v>
      </c>
      <c r="E102" s="86"/>
      <c r="F102" s="110">
        <v>10000</v>
      </c>
      <c r="G102" s="86"/>
      <c r="H102" s="28" t="s">
        <v>6</v>
      </c>
      <c r="I102" s="86"/>
      <c r="J102" s="93" t="s">
        <v>7</v>
      </c>
      <c r="K102" s="86"/>
      <c r="L102" s="12" t="s">
        <v>6</v>
      </c>
    </row>
    <row r="103" spans="1:12" ht="5.15" customHeight="1" x14ac:dyDescent="0.4">
      <c r="A103" s="2"/>
      <c r="B103" s="60"/>
      <c r="C103" s="74"/>
      <c r="D103" s="48"/>
      <c r="E103" s="7"/>
      <c r="F103" s="94"/>
      <c r="G103" s="7"/>
      <c r="H103" s="6"/>
      <c r="I103" s="7"/>
      <c r="J103" s="94"/>
      <c r="K103" s="7"/>
      <c r="L103" s="49"/>
    </row>
    <row r="104" spans="1:12" ht="5.15" customHeight="1" x14ac:dyDescent="0.4">
      <c r="A104" s="2"/>
      <c r="B104" s="60"/>
      <c r="C104" s="65"/>
      <c r="D104" s="2"/>
      <c r="E104" s="86"/>
      <c r="F104" s="87"/>
      <c r="G104" s="86"/>
      <c r="H104" s="9"/>
      <c r="I104" s="86"/>
      <c r="J104" s="87"/>
      <c r="K104" s="86"/>
      <c r="L104" s="10"/>
    </row>
    <row r="105" spans="1:12" ht="15.75" customHeight="1" x14ac:dyDescent="0.35">
      <c r="A105" s="2"/>
      <c r="B105" s="60"/>
      <c r="C105" s="65"/>
      <c r="D105" s="88" t="s">
        <v>15</v>
      </c>
      <c r="E105" s="86"/>
      <c r="F105" s="110">
        <v>10000</v>
      </c>
      <c r="G105" s="86"/>
      <c r="H105" s="28" t="s">
        <v>6</v>
      </c>
      <c r="I105" s="86"/>
      <c r="J105" s="93" t="s">
        <v>7</v>
      </c>
      <c r="K105" s="86"/>
      <c r="L105" s="12" t="s">
        <v>6</v>
      </c>
    </row>
    <row r="106" spans="1:12" ht="5.15" customHeight="1" thickBot="1" x14ac:dyDescent="0.45">
      <c r="A106" s="2"/>
      <c r="B106" s="66"/>
      <c r="C106" s="67"/>
      <c r="D106" s="29"/>
      <c r="E106" s="30"/>
      <c r="F106" s="91"/>
      <c r="G106" s="30"/>
      <c r="H106" s="31"/>
      <c r="I106" s="30"/>
      <c r="J106" s="91"/>
      <c r="K106" s="30"/>
      <c r="L106" s="32"/>
    </row>
    <row r="107" spans="1:12" ht="15" customHeight="1" x14ac:dyDescent="0.4">
      <c r="A107" s="2"/>
      <c r="B107" s="2"/>
      <c r="C107" s="2"/>
      <c r="D107" s="2"/>
      <c r="E107" s="2"/>
      <c r="F107" s="84"/>
      <c r="G107" s="2"/>
      <c r="H107" s="2"/>
      <c r="I107" s="2"/>
      <c r="J107" s="84"/>
      <c r="K107" s="2"/>
      <c r="L107" s="2"/>
    </row>
  </sheetData>
  <sheetProtection algorithmName="SHA-512" hashValue="VEj5/2wOoJWElf1vPh9oM/ULJMyylBpQ7DfhWwQ4EU0J4Bchvwjmkzdr2+8qxM6ecQa3ViqW4Ax3LcUjQgmYSA==" saltValue="1e67d7iGcxK4U6CA61N10Q=="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0266"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0266" r:id="rId5" name="cbApplyOddEvenFormatting"/>
      </mc:Fallback>
    </mc:AlternateContent>
    <mc:AlternateContent xmlns:mc="http://schemas.openxmlformats.org/markup-compatibility/2006">
      <mc:Choice Requires="x14">
        <control shapeId="10250"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0250" r:id="rId7" name="cbApplyMemberFormatting"/>
      </mc:Fallback>
    </mc:AlternateContent>
    <mc:AlternateContent xmlns:mc="http://schemas.openxmlformats.org/markup-compatibility/2006">
      <mc:Choice Requires="x14">
        <control shapeId="10241"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0241" r:id="rId9" name="cbApplyLevelFormatting"/>
      </mc:Fallback>
    </mc:AlternateContent>
    <mc:AlternateContent xmlns:mc="http://schemas.openxmlformats.org/markup-compatibility/2006">
      <mc:Choice Requires="x14">
        <control shapeId="10242"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0243"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0244"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0245"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0246"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0247"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0248"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0249"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0251"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0252"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0253"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0254"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0255"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0256"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0257"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0258"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0259"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0260"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0261"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0262"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0263"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0264"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0265"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0267"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0268"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0269"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0270"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0271"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0272"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0273"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0274"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0275"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0276"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0277"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0278"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0279"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0280"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0281"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0282"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0283"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0284"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0285"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0286"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0287"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0288"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0289"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0290"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0291"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0292"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0293"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0294"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0295"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0296"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0297"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0298"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0299"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0300"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0301"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0302"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0303"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0304"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0305"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0306"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0307"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0308"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0309"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7"/>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61328125" customWidth="1"/>
    <col min="8" max="8" width="9.61328125" bestFit="1" customWidth="1"/>
    <col min="9" max="9" width="11.84375" bestFit="1" customWidth="1"/>
    <col min="10" max="10" width="33.61328125" bestFit="1" customWidth="1"/>
    <col min="11" max="11" width="8.765625" bestFit="1" customWidth="1"/>
    <col min="12" max="12" width="9.3828125" bestFit="1" customWidth="1"/>
    <col min="13" max="13" width="8.61328125" bestFit="1" customWidth="1"/>
    <col min="14" max="14" width="8.15234375" bestFit="1" customWidth="1"/>
    <col min="15" max="15" width="9.15234375" bestFit="1" customWidth="1"/>
    <col min="16" max="16" width="8.3046875" bestFit="1" customWidth="1"/>
    <col min="17" max="17" width="8.765625" bestFit="1" customWidth="1"/>
    <col min="18" max="18" width="9.15234375" bestFit="1" customWidth="1"/>
    <col min="19" max="19" width="8.61328125" bestFit="1" customWidth="1"/>
    <col min="20" max="20" width="8.53515625" bestFit="1" customWidth="1"/>
    <col min="21" max="21" width="8.3828125" bestFit="1" customWidth="1"/>
    <col min="22" max="22" width="9.460937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customHeight="1" x14ac:dyDescent="0.4">
      <c r="A1" s="78" t="s">
        <v>28</v>
      </c>
      <c r="B1" s="79"/>
      <c r="C1" s="79"/>
      <c r="D1" s="79"/>
      <c r="E1" s="79"/>
      <c r="F1" s="79"/>
      <c r="G1" s="79"/>
      <c r="H1" s="79"/>
      <c r="I1" s="79"/>
      <c r="J1" s="79"/>
      <c r="K1" s="82" t="s">
        <v>32</v>
      </c>
      <c r="L1" s="82"/>
      <c r="M1" s="82"/>
      <c r="N1" s="82"/>
      <c r="O1" s="82"/>
      <c r="P1" s="82"/>
      <c r="Q1" s="83" t="str">
        <f>"User: "&amp;_xll.EPMUser()&amp;"   |    Planning Area: "&amp;IFERROR(SOP_Planning_Area,"Offline")&amp;"
"&amp;"Template: "&amp;IFERROR(SOP_Template_Name,"none")</f>
        <v>User: #Error, no current connection.   |    Planning Area: SAP6
Template: template name</v>
      </c>
      <c r="R1" s="83"/>
      <c r="S1" s="83"/>
      <c r="T1" s="83"/>
      <c r="U1" s="83"/>
      <c r="V1" s="83"/>
      <c r="W1" s="41"/>
      <c r="X1" s="41"/>
      <c r="Y1" s="41"/>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2" customFormat="1" ht="60" customHeight="1" x14ac:dyDescent="0.4">
      <c r="A2" s="8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Location ID = HD_DC_CA_E
</v>
      </c>
      <c r="B2" s="80"/>
      <c r="C2" s="80"/>
      <c r="D2" s="80"/>
      <c r="E2" s="80"/>
      <c r="F2" s="80"/>
      <c r="G2" s="80"/>
      <c r="H2" s="80"/>
      <c r="I2" s="80"/>
      <c r="J2" s="80"/>
      <c r="K2" s="81" t="str">
        <f>"  Last Refresh: "&amp;IFERROR(YEAR(SOP_Refresh_Timestamp)&amp;"-"&amp;TEXT(SOP_Refresh_Timestamp,"MMM")&amp;"-"&amp;DAY(SOP_Refresh_Timestamp)&amp;"   "&amp;TEXT(SOP_Refresh_Timestamp,"HH:MM:SS"),"Offline")</f>
        <v xml:space="preserve">  Last Refresh: 2022-Apr-29   14:37:40</v>
      </c>
      <c r="L2" s="81"/>
      <c r="M2" s="81"/>
      <c r="N2" s="81"/>
      <c r="O2" s="81"/>
      <c r="P2" s="81"/>
      <c r="Q2" s="81"/>
      <c r="R2" s="81"/>
      <c r="S2" s="81"/>
      <c r="T2" s="81"/>
      <c r="U2" s="81"/>
      <c r="V2" s="81"/>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1" customFormat="1" ht="60" customHeight="1" x14ac:dyDescent="0.4">
      <c r="A3" s="77"/>
      <c r="B3" s="77"/>
      <c r="C3" s="77"/>
      <c r="D3" s="77"/>
      <c r="E3" s="77"/>
      <c r="F3" s="77"/>
      <c r="G3" s="77"/>
      <c r="H3" s="77"/>
      <c r="I3" s="77"/>
      <c r="J3" s="77"/>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s="23" customFormat="1" x14ac:dyDescent="0.4">
      <c r="A4" s="40" t="str">
        <f>SOP_Heading10</f>
        <v xml:space="preserve"> </v>
      </c>
      <c r="B4" s="40" t="str">
        <f>SOP_Heading9</f>
        <v xml:space="preserve"> </v>
      </c>
      <c r="C4" s="40" t="str">
        <f>SOP_Heading8</f>
        <v xml:space="preserve"> </v>
      </c>
      <c r="D4" s="40" t="str">
        <f>SOP_Heading7</f>
        <v xml:space="preserve"> </v>
      </c>
      <c r="E4" s="40" t="str">
        <f>SOP_Heading6</f>
        <v xml:space="preserve"> </v>
      </c>
      <c r="F4" s="40" t="str">
        <f>SOP_Heading5</f>
        <v xml:space="preserve"> </v>
      </c>
      <c r="G4" s="40" t="str">
        <f>SOP_Heading4</f>
        <v xml:space="preserve"> </v>
      </c>
      <c r="H4" s="40" t="str">
        <f>SOP_Heading3</f>
        <v>Product ID</v>
      </c>
      <c r="I4" s="40" t="str">
        <f>SOP_Heading2</f>
        <v>Location ID</v>
      </c>
      <c r="J4" s="40" t="str">
        <f>SOP_Heading1</f>
        <v>Key Figure</v>
      </c>
      <c r="K4" s="45" t="str">
        <f xml:space="preserve"> _xll.EPMOlapMemberO("[PERIODID3].[].[70616]","","APR 2021","","000")</f>
        <v>APR 2021</v>
      </c>
      <c r="L4" s="45" t="str">
        <f xml:space="preserve"> _xll.EPMOlapMemberO("[PERIODID3].[].[70617]","","MAY 2021","","000")</f>
        <v>MAY 2021</v>
      </c>
      <c r="M4" s="45" t="str">
        <f xml:space="preserve"> _xll.EPMOlapMemberO("[PERIODID3].[].[70618]","","JUN 2021","","000")</f>
        <v>JUN 2021</v>
      </c>
      <c r="N4" s="45" t="str">
        <f xml:space="preserve"> _xll.EPMOlapMemberO("[PERIODID3].[].[70619]","","JUL 2021","","000")</f>
        <v>JUL 2021</v>
      </c>
      <c r="O4" s="45" t="str">
        <f xml:space="preserve"> _xll.EPMOlapMemberO("[PERIODID3].[].[70620]","","AUG 2021","","000")</f>
        <v>AUG 2021</v>
      </c>
      <c r="P4" s="45" t="str">
        <f xml:space="preserve"> _xll.EPMOlapMemberO("[PERIODID3].[].[70621]","","SEP 2021","","000")</f>
        <v>SEP 2021</v>
      </c>
      <c r="Q4" s="45" t="str">
        <f xml:space="preserve"> _xll.EPMOlapMemberO("[PERIODID3].[].[70622]","","OCT 2021","","000")</f>
        <v>OCT 2021</v>
      </c>
      <c r="R4" s="45" t="str">
        <f xml:space="preserve"> _xll.EPMOlapMemberO("[PERIODID3].[].[70623]","","NOV 2021","","000")</f>
        <v>NOV 2021</v>
      </c>
      <c r="S4" s="45" t="str">
        <f xml:space="preserve"> _xll.EPMOlapMemberO("[PERIODID3].[].[70624]","","DEC 2021","","000")</f>
        <v>DEC 2021</v>
      </c>
      <c r="T4" s="45" t="str">
        <f xml:space="preserve"> _xll.EPMOlapMemberO("[PERIODID3].[].[70625]","","JAN 2022","","000")</f>
        <v>JAN 2022</v>
      </c>
      <c r="U4" s="45" t="str">
        <f xml:space="preserve"> _xll.EPMOlapMemberO("[PERIODID3].[].[70626]","","FEB 2022","","000")</f>
        <v>FEB 2022</v>
      </c>
      <c r="V4"/>
      <c r="W4"/>
      <c r="X4"/>
      <c r="Y4"/>
      <c r="Z4"/>
      <c r="AA4"/>
      <c r="AB4"/>
      <c r="AC4"/>
      <c r="AD4"/>
      <c r="AE4"/>
      <c r="AF4"/>
      <c r="AG4"/>
      <c r="AH4"/>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row>
    <row r="5" spans="1:82" x14ac:dyDescent="0.4">
      <c r="A5" s="39"/>
      <c r="B5" s="39"/>
      <c r="C5" s="39"/>
      <c r="D5" s="39"/>
      <c r="E5" s="39"/>
      <c r="F5" s="39"/>
      <c r="H5" s="43" t="str">
        <f xml:space="preserve"> _xll.EPMOlapMemberO("[PRDID].[].[HT_002]","","HT_002","","000")</f>
        <v>HT_002</v>
      </c>
      <c r="I5" s="43" t="str">
        <f xml:space="preserve"> _xll.EPMOlapMemberO("[LOCID].[].[HD_DC_CA_E]","","HD_DC_CA_E","","000")</f>
        <v>HD_DC_CA_E</v>
      </c>
      <c r="J5" s="43" t="str">
        <f xml:space="preserve"> _xll.EPMOlapMemberO("[KEY_FIGURES].[].[CONSENSUSDEMAND]","","Consensus Demand without Promotion","","000")</f>
        <v>Consensus Demand without Promotion</v>
      </c>
      <c r="K5" s="46"/>
      <c r="L5" s="46"/>
      <c r="M5" s="46"/>
      <c r="N5" s="46">
        <v>175</v>
      </c>
      <c r="O5" s="46">
        <v>175.00200000000001</v>
      </c>
      <c r="P5" s="46">
        <v>175</v>
      </c>
      <c r="Q5" s="46">
        <v>175</v>
      </c>
      <c r="R5" s="46">
        <v>175</v>
      </c>
      <c r="S5" s="46">
        <v>175</v>
      </c>
      <c r="T5" s="46">
        <v>25.692</v>
      </c>
      <c r="U5" s="46"/>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row>
    <row r="6" spans="1:82" x14ac:dyDescent="0.4">
      <c r="A6" s="39"/>
      <c r="B6" s="39"/>
      <c r="C6" s="39"/>
      <c r="D6" s="39"/>
      <c r="E6" s="39"/>
      <c r="F6" s="39"/>
      <c r="H6" s="20"/>
      <c r="I6" s="20"/>
      <c r="J6" s="20" t="s">
        <v>29</v>
      </c>
      <c r="K6" s="27"/>
      <c r="L6" s="27"/>
      <c r="M6" s="27"/>
      <c r="N6" s="27"/>
      <c r="O6" s="27"/>
      <c r="P6" s="27"/>
      <c r="Q6" s="27"/>
      <c r="R6" s="27"/>
      <c r="S6" s="27"/>
      <c r="T6" s="27"/>
      <c r="U6" s="27"/>
      <c r="V6" s="42"/>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row>
    <row r="7" spans="1:82" x14ac:dyDescent="0.4">
      <c r="A7" s="39"/>
      <c r="B7" s="39"/>
      <c r="C7" s="39"/>
      <c r="D7" s="39"/>
      <c r="E7" s="39"/>
      <c r="F7" s="39"/>
      <c r="H7" s="43"/>
      <c r="I7" s="43"/>
      <c r="J7" s="43" t="str">
        <f xml:space="preserve"> _xll.EPMOlapMemberO("[KEY_FIGURES].[].[DEMANDPLANNINGQTY]","","Demand Planning Qty","","000")</f>
        <v>Demand Planning Qty</v>
      </c>
      <c r="K7" s="44">
        <v>0</v>
      </c>
      <c r="L7" s="44">
        <v>0</v>
      </c>
      <c r="M7" s="44"/>
      <c r="N7" s="44"/>
      <c r="O7" s="44"/>
      <c r="P7" s="44"/>
      <c r="Q7" s="44"/>
      <c r="R7" s="44">
        <v>150</v>
      </c>
      <c r="S7" s="44">
        <v>150</v>
      </c>
      <c r="T7" s="44">
        <v>150</v>
      </c>
      <c r="U7" s="44">
        <v>175</v>
      </c>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row>
    <row r="8" spans="1:82" x14ac:dyDescent="0.4">
      <c r="A8" s="39"/>
      <c r="B8" s="39"/>
      <c r="C8" s="39"/>
      <c r="D8" s="39"/>
      <c r="E8" s="39"/>
      <c r="F8" s="39"/>
      <c r="H8" s="20"/>
      <c r="I8" s="20"/>
      <c r="J8" s="20" t="s">
        <v>30</v>
      </c>
      <c r="K8" s="24"/>
      <c r="L8" s="24"/>
      <c r="M8" s="24"/>
      <c r="N8" s="24"/>
      <c r="O8" s="24"/>
      <c r="P8" s="24"/>
      <c r="Q8" s="24"/>
      <c r="R8" s="24"/>
      <c r="S8" s="24"/>
      <c r="T8" s="24"/>
      <c r="U8" s="24"/>
      <c r="V8" s="24"/>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row>
    <row r="9" spans="1:82" x14ac:dyDescent="0.4">
      <c r="A9" s="39"/>
      <c r="B9" s="39"/>
      <c r="C9" s="39"/>
      <c r="D9" s="39"/>
      <c r="E9" s="39"/>
      <c r="F9" s="39"/>
      <c r="H9" s="43"/>
      <c r="I9" s="43"/>
      <c r="J9" s="43" t="str">
        <f xml:space="preserve"> _xll.EPMOlapMemberO("[KEY_FIGURES].[].[ACTUALSREV]","","Actuals Revenue","","000")</f>
        <v>Actuals Revenue</v>
      </c>
      <c r="K9" s="46"/>
      <c r="L9" s="46"/>
      <c r="M9" s="46"/>
      <c r="N9" s="46"/>
      <c r="O9" s="46"/>
      <c r="P9" s="46"/>
      <c r="Q9" s="46"/>
      <c r="R9" s="46"/>
      <c r="S9" s="46"/>
      <c r="T9" s="46"/>
      <c r="U9" s="46"/>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row>
    <row r="10" spans="1:82" x14ac:dyDescent="0.4">
      <c r="A10" s="39"/>
      <c r="B10" s="39"/>
      <c r="C10" s="39"/>
      <c r="D10" s="39"/>
      <c r="E10" s="39"/>
      <c r="F10" s="39"/>
      <c r="H10" s="43"/>
      <c r="I10" s="43"/>
      <c r="J10" s="43" t="str">
        <f xml:space="preserve"> _xll.EPMOlapMemberO("[KEY_FIGURES].[].[CONFQTY]","","Confirmed Qty","","000")</f>
        <v>Confirmed Qty</v>
      </c>
      <c r="K10" s="44"/>
      <c r="L10" s="44"/>
      <c r="M10" s="44"/>
      <c r="N10" s="44"/>
      <c r="O10" s="44"/>
      <c r="P10" s="44"/>
      <c r="Q10" s="44"/>
      <c r="R10" s="44"/>
      <c r="S10" s="44"/>
      <c r="T10" s="44"/>
      <c r="U10" s="44"/>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row>
    <row r="11" spans="1:82" x14ac:dyDescent="0.4">
      <c r="A11" s="39"/>
      <c r="B11" s="39"/>
      <c r="C11" s="39"/>
      <c r="D11" s="39"/>
      <c r="E11" s="39"/>
      <c r="F11" s="39"/>
      <c r="J11" t="s">
        <v>31</v>
      </c>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row>
    <row r="12" spans="1:82" x14ac:dyDescent="0.4">
      <c r="A12" s="39"/>
      <c r="B12" s="39"/>
      <c r="C12" s="39"/>
      <c r="D12" s="39"/>
      <c r="E12" s="39"/>
      <c r="F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row>
    <row r="13" spans="1:82" x14ac:dyDescent="0.4">
      <c r="A13" s="39"/>
      <c r="B13" s="39"/>
      <c r="C13" s="39"/>
      <c r="D13" s="39"/>
      <c r="E13" s="39"/>
      <c r="F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row>
    <row r="14" spans="1:82" x14ac:dyDescent="0.4">
      <c r="A14" s="39"/>
      <c r="B14" s="39"/>
      <c r="C14" s="39"/>
      <c r="D14" s="39"/>
      <c r="E14" s="39"/>
      <c r="F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row>
    <row r="15" spans="1:82" x14ac:dyDescent="0.4">
      <c r="A15" s="39"/>
      <c r="B15" s="39"/>
      <c r="C15" s="39"/>
      <c r="D15" s="39"/>
      <c r="E15" s="39"/>
      <c r="F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row>
    <row r="16" spans="1:82" x14ac:dyDescent="0.4">
      <c r="A16" s="39"/>
      <c r="B16" s="39"/>
      <c r="C16" s="39"/>
      <c r="D16" s="39"/>
      <c r="E16" s="39"/>
      <c r="F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row>
    <row r="17" spans="1:82" x14ac:dyDescent="0.4">
      <c r="A17" s="39"/>
      <c r="B17" s="39"/>
      <c r="C17" s="39"/>
      <c r="D17" s="39"/>
      <c r="E17" s="39"/>
      <c r="F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row>
    <row r="18" spans="1:82" x14ac:dyDescent="0.4">
      <c r="A18" s="39"/>
      <c r="B18" s="39"/>
      <c r="C18" s="39"/>
      <c r="D18" s="39"/>
      <c r="E18" s="39"/>
      <c r="F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row>
    <row r="19" spans="1:82" x14ac:dyDescent="0.4">
      <c r="A19" s="39"/>
      <c r="B19" s="39"/>
      <c r="C19" s="39"/>
      <c r="D19" s="39"/>
      <c r="E19" s="39"/>
      <c r="F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row>
    <row r="20" spans="1:82" x14ac:dyDescent="0.4">
      <c r="A20" s="39"/>
      <c r="B20" s="39"/>
      <c r="C20" s="39"/>
      <c r="D20" s="39"/>
      <c r="E20" s="39"/>
      <c r="F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row>
    <row r="21" spans="1:82" x14ac:dyDescent="0.4">
      <c r="A21" s="39"/>
      <c r="B21" s="39"/>
      <c r="C21" s="39"/>
      <c r="D21" s="39"/>
      <c r="E21" s="39"/>
      <c r="F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row>
    <row r="22" spans="1:82" x14ac:dyDescent="0.4">
      <c r="A22" s="39"/>
      <c r="B22" s="39"/>
      <c r="C22" s="39"/>
      <c r="D22" s="39"/>
      <c r="E22" s="39"/>
      <c r="F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row>
    <row r="23" spans="1:82" x14ac:dyDescent="0.4">
      <c r="A23" s="39"/>
      <c r="B23" s="39"/>
      <c r="C23" s="39"/>
      <c r="D23" s="39"/>
      <c r="E23" s="39"/>
      <c r="F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row>
    <row r="24" spans="1:82" x14ac:dyDescent="0.4">
      <c r="A24" s="39"/>
      <c r="B24" s="39"/>
      <c r="C24" s="39"/>
      <c r="D24" s="39"/>
      <c r="E24" s="39"/>
      <c r="F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row>
    <row r="25" spans="1:82" x14ac:dyDescent="0.4">
      <c r="A25" s="39"/>
      <c r="B25" s="39"/>
      <c r="C25" s="39"/>
      <c r="D25" s="39"/>
      <c r="E25" s="39"/>
      <c r="F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row>
    <row r="26" spans="1:82" x14ac:dyDescent="0.4">
      <c r="A26" s="39"/>
      <c r="B26" s="39"/>
      <c r="C26" s="39"/>
      <c r="D26" s="39"/>
      <c r="E26" s="39"/>
      <c r="F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row>
    <row r="27" spans="1:82" x14ac:dyDescent="0.4">
      <c r="A27" s="39"/>
      <c r="B27" s="39"/>
      <c r="C27" s="39"/>
      <c r="D27" s="39"/>
      <c r="E27" s="39"/>
      <c r="F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row>
    <row r="28" spans="1:82" x14ac:dyDescent="0.4">
      <c r="A28" s="39"/>
      <c r="B28" s="39"/>
      <c r="C28" s="39"/>
      <c r="D28" s="39"/>
      <c r="E28" s="39"/>
      <c r="F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row>
    <row r="29" spans="1:82" x14ac:dyDescent="0.4">
      <c r="A29" s="39"/>
      <c r="B29" s="39"/>
      <c r="C29" s="39"/>
      <c r="D29" s="39"/>
      <c r="E29" s="39"/>
      <c r="F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row>
    <row r="30" spans="1:82" x14ac:dyDescent="0.4">
      <c r="A30" s="39"/>
      <c r="B30" s="39"/>
      <c r="C30" s="39"/>
      <c r="D30" s="39"/>
      <c r="E30" s="39"/>
      <c r="F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row>
    <row r="31" spans="1:82" x14ac:dyDescent="0.4">
      <c r="A31" s="39"/>
      <c r="B31" s="39"/>
      <c r="C31" s="39"/>
      <c r="D31" s="39"/>
      <c r="E31" s="39"/>
      <c r="F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row>
    <row r="32" spans="1:82" x14ac:dyDescent="0.4">
      <c r="A32" s="39"/>
      <c r="B32" s="39"/>
      <c r="C32" s="39"/>
      <c r="D32" s="39"/>
      <c r="E32" s="39"/>
      <c r="F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row>
    <row r="33" spans="1:82" x14ac:dyDescent="0.4">
      <c r="A33" s="39"/>
      <c r="B33" s="39"/>
      <c r="C33" s="39"/>
      <c r="D33" s="39"/>
      <c r="E33" s="39"/>
      <c r="F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row>
    <row r="34" spans="1:82" x14ac:dyDescent="0.4">
      <c r="A34" s="39"/>
      <c r="B34" s="39"/>
      <c r="C34" s="39"/>
      <c r="D34" s="39"/>
      <c r="E34" s="39"/>
      <c r="F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row>
    <row r="35" spans="1:82" x14ac:dyDescent="0.4">
      <c r="A35" s="39"/>
      <c r="B35" s="39"/>
      <c r="C35" s="39"/>
      <c r="D35" s="39"/>
      <c r="E35" s="39"/>
      <c r="F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row>
    <row r="36" spans="1:82" x14ac:dyDescent="0.4">
      <c r="A36" s="39"/>
      <c r="B36" s="39"/>
      <c r="C36" s="39"/>
      <c r="D36" s="39"/>
      <c r="E36" s="39"/>
      <c r="F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row>
    <row r="37" spans="1:82" x14ac:dyDescent="0.4">
      <c r="A37" s="39"/>
      <c r="B37" s="39"/>
      <c r="C37" s="39"/>
      <c r="D37" s="39"/>
      <c r="E37" s="39"/>
      <c r="F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row>
  </sheetData>
  <sheetProtection autoFilter="0"/>
  <mergeCells count="6">
    <mergeCell ref="A3:J3"/>
    <mergeCell ref="A1:J1"/>
    <mergeCell ref="A2:J2"/>
    <mergeCell ref="K2:V2"/>
    <mergeCell ref="K1:P1"/>
    <mergeCell ref="Q1:V1"/>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134" r:id="rId9" name="ReportSubmitControl_1tb1">
          <controlPr defaultSize="0" autoLine="0" autoPict="0" r:id="rId10">
            <anchor moveWithCells="1" sizeWithCells="1">
              <from>
                <xdr:col>0</xdr:col>
                <xdr:colOff>0</xdr:colOff>
                <xdr:row>0</xdr:row>
                <xdr:rowOff>0</xdr:rowOff>
              </from>
              <to>
                <xdr:col>6</xdr:col>
                <xdr:colOff>97971</xdr:colOff>
                <xdr:row>0</xdr:row>
                <xdr:rowOff>0</xdr:rowOff>
              </to>
            </anchor>
          </controlPr>
        </control>
      </mc:Choice>
      <mc:Fallback>
        <control shapeId="3134" r:id="rId9" name="ReportSubmitControl_1tb1"/>
      </mc:Fallback>
    </mc:AlternateContent>
    <mc:AlternateContent xmlns:mc="http://schemas.openxmlformats.org/markup-compatibility/2006">
      <mc:Choice Requires="x14">
        <control shapeId="3133" r:id="rId11" name="ReportSubmitManagerControltb1">
          <controlPr defaultSize="0" autoLine="0" autoPict="0" r:id="rId12">
            <anchor moveWithCells="1" sizeWithCells="1">
              <from>
                <xdr:col>0</xdr:col>
                <xdr:colOff>0</xdr:colOff>
                <xdr:row>0</xdr:row>
                <xdr:rowOff>0</xdr:rowOff>
              </from>
              <to>
                <xdr:col>6</xdr:col>
                <xdr:colOff>97971</xdr:colOff>
                <xdr:row>0</xdr:row>
                <xdr:rowOff>0</xdr:rowOff>
              </to>
            </anchor>
          </controlPr>
        </control>
      </mc:Choice>
      <mc:Fallback>
        <control shapeId="3133" r:id="rId11" name="ReportSubmitManagerControltb1"/>
      </mc:Fallback>
    </mc:AlternateContent>
    <mc:AlternateContent xmlns:mc="http://schemas.openxmlformats.org/markup-compatibility/2006">
      <mc:Choice Requires="x14">
        <control shapeId="3132" r:id="rId13" name="MultipleReportManagerInfotb1">
          <controlPr defaultSize="0" autoLine="0" autoPict="0" r:id="rId14">
            <anchor moveWithCells="1" sizeWithCells="1">
              <from>
                <xdr:col>0</xdr:col>
                <xdr:colOff>0</xdr:colOff>
                <xdr:row>0</xdr:row>
                <xdr:rowOff>0</xdr:rowOff>
              </from>
              <to>
                <xdr:col>6</xdr:col>
                <xdr:colOff>97971</xdr:colOff>
                <xdr:row>0</xdr:row>
                <xdr:rowOff>0</xdr:rowOff>
              </to>
            </anchor>
          </controlPr>
        </control>
      </mc:Choice>
      <mc:Fallback>
        <control shapeId="3132" r:id="rId13" name="MultipleReportManagerInfotb1"/>
      </mc:Fallback>
    </mc:AlternateContent>
    <mc:AlternateContent xmlns:mc="http://schemas.openxmlformats.org/markup-compatibility/2006">
      <mc:Choice Requires="x14">
        <control shapeId="3131" r:id="rId15" name="ConnectionDescriptorsInfotb1">
          <controlPr defaultSize="0" autoLine="0" autoPict="0" r:id="rId16">
            <anchor moveWithCells="1" sizeWithCells="1">
              <from>
                <xdr:col>0</xdr:col>
                <xdr:colOff>0</xdr:colOff>
                <xdr:row>0</xdr:row>
                <xdr:rowOff>0</xdr:rowOff>
              </from>
              <to>
                <xdr:col>6</xdr:col>
                <xdr:colOff>97971</xdr:colOff>
                <xdr:row>0</xdr:row>
                <xdr:rowOff>0</xdr:rowOff>
              </to>
            </anchor>
          </controlPr>
        </control>
      </mc:Choice>
      <mc:Fallback>
        <control shapeId="3131" r:id="rId15" name="ConnectionDescriptorsInfotb1"/>
      </mc:Fallback>
    </mc:AlternateContent>
    <mc:AlternateContent xmlns:mc="http://schemas.openxmlformats.org/markup-compatibility/2006">
      <mc:Choice Requires="x14">
        <control shapeId="3130" r:id="rId17" name="AnalyzerDynReport000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3130" r:id="rId17" name="AnalyzerDynReport000tb1"/>
      </mc:Fallback>
    </mc:AlternateContent>
    <mc:AlternateContent xmlns:mc="http://schemas.openxmlformats.org/markup-compatibility/2006">
      <mc:Choice Requires="x14">
        <control shapeId="3119" r:id="rId19" name="TextBox2">
          <controlPr defaultSize="0" disabled="1" autoLine="0" r:id="rId20">
            <anchor>
              <from>
                <xdr:col>9</xdr:col>
                <xdr:colOff>555171</xdr:colOff>
                <xdr:row>2</xdr:row>
                <xdr:rowOff>152400</xdr:rowOff>
              </from>
              <to>
                <xdr:col>9</xdr:col>
                <xdr:colOff>560614</xdr:colOff>
                <xdr:row>2</xdr:row>
                <xdr:rowOff>157843</xdr:rowOff>
              </to>
            </anchor>
          </controlPr>
        </control>
      </mc:Choice>
      <mc:Fallback>
        <control shapeId="3119" r:id="rId19" name="TextBox2"/>
      </mc:Fallback>
    </mc:AlternateContent>
    <mc:AlternateContent xmlns:mc="http://schemas.openxmlformats.org/markup-compatibility/2006">
      <mc:Choice Requires="x14">
        <control shapeId="3115" r:id="rId21" name="TextBox1">
          <controlPr defaultSize="0" disabled="1" autoLine="0" r:id="rId22">
            <anchor>
              <from>
                <xdr:col>0</xdr:col>
                <xdr:colOff>38100</xdr:colOff>
                <xdr:row>2</xdr:row>
                <xdr:rowOff>152400</xdr:rowOff>
              </from>
              <to>
                <xdr:col>0</xdr:col>
                <xdr:colOff>43543</xdr:colOff>
                <xdr:row>2</xdr:row>
                <xdr:rowOff>157843</xdr:rowOff>
              </to>
            </anchor>
          </controlPr>
        </control>
      </mc:Choice>
      <mc:Fallback>
        <control shapeId="3115" r:id="rId21" name="TextBox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526" r:id="rId25" name="RefreshList">
          <controlPr defaultSize="0" autoLine="0" r:id="rId26">
            <anchor moveWithCells="1">
              <from>
                <xdr:col>10</xdr:col>
                <xdr:colOff>212271</xdr:colOff>
                <xdr:row>2</xdr:row>
                <xdr:rowOff>130629</xdr:rowOff>
              </from>
              <to>
                <xdr:col>12</xdr:col>
                <xdr:colOff>386443</xdr:colOff>
                <xdr:row>2</xdr:row>
                <xdr:rowOff>549729</xdr:rowOff>
              </to>
            </anchor>
          </controlPr>
        </control>
      </mc:Choice>
      <mc:Fallback>
        <control shapeId="3526" r:id="rId25" name="RefreshList"/>
      </mc:Fallback>
    </mc:AlternateContent>
    <mc:AlternateContent xmlns:mc="http://schemas.openxmlformats.org/markup-compatibility/2006">
      <mc:Choice Requires="x14">
        <control shapeId="3527" r:id="rId27" name="NextItem">
          <controlPr defaultSize="0" autoLine="0" r:id="rId28">
            <anchor moveWithCells="1">
              <from>
                <xdr:col>15</xdr:col>
                <xdr:colOff>533400</xdr:colOff>
                <xdr:row>2</xdr:row>
                <xdr:rowOff>136071</xdr:rowOff>
              </from>
              <to>
                <xdr:col>18</xdr:col>
                <xdr:colOff>136071</xdr:colOff>
                <xdr:row>2</xdr:row>
                <xdr:rowOff>555171</xdr:rowOff>
              </to>
            </anchor>
          </controlPr>
        </control>
      </mc:Choice>
      <mc:Fallback>
        <control shapeId="3527" r:id="rId27" name="NextItem"/>
      </mc:Fallback>
    </mc:AlternateContent>
    <mc:AlternateContent xmlns:mc="http://schemas.openxmlformats.org/markup-compatibility/2006">
      <mc:Choice Requires="x14">
        <control shapeId="3528" r:id="rId29" name="SaveAndNext">
          <controlPr defaultSize="0" autoLine="0" r:id="rId30">
            <anchor moveWithCells="1">
              <from>
                <xdr:col>18</xdr:col>
                <xdr:colOff>517071</xdr:colOff>
                <xdr:row>2</xdr:row>
                <xdr:rowOff>81643</xdr:rowOff>
              </from>
              <to>
                <xdr:col>21</xdr:col>
                <xdr:colOff>168729</xdr:colOff>
                <xdr:row>2</xdr:row>
                <xdr:rowOff>587829</xdr:rowOff>
              </to>
            </anchor>
          </controlPr>
        </control>
      </mc:Choice>
      <mc:Fallback>
        <control shapeId="3528" r:id="rId29" name="SaveAndNext"/>
      </mc:Fallback>
    </mc:AlternateContent>
    <mc:AlternateContent xmlns:mc="http://schemas.openxmlformats.org/markup-compatibility/2006">
      <mc:Choice Requires="x14">
        <control shapeId="3561" r:id="rId31" name="PreviousItem">
          <controlPr defaultSize="0" autoLine="0" r:id="rId32">
            <anchor moveWithCells="1">
              <from>
                <xdr:col>13</xdr:col>
                <xdr:colOff>70757</xdr:colOff>
                <xdr:row>2</xdr:row>
                <xdr:rowOff>130629</xdr:rowOff>
              </from>
              <to>
                <xdr:col>15</xdr:col>
                <xdr:colOff>304800</xdr:colOff>
                <xdr:row>2</xdr:row>
                <xdr:rowOff>549729</xdr:rowOff>
              </to>
            </anchor>
          </controlPr>
        </control>
      </mc:Choice>
      <mc:Fallback>
        <control shapeId="3561" r:id="rId31" name="PreviousItem"/>
      </mc:Fallback>
    </mc:AlternateContent>
    <mc:AlternateContent xmlns:mc="http://schemas.openxmlformats.org/markup-compatibility/2006">
      <mc:Choice Requires="x14">
        <control shapeId="3562" r:id="rId33" name="ConnectionDescriptorsInfoHCtb1">
          <controlPr defaultSize="0" autoLine="0" autoPict="0" r:id="rId34">
            <anchor moveWithCells="1">
              <from>
                <xdr:col>0</xdr:col>
                <xdr:colOff>0</xdr:colOff>
                <xdr:row>0</xdr:row>
                <xdr:rowOff>0</xdr:rowOff>
              </from>
              <to>
                <xdr:col>7</xdr:col>
                <xdr:colOff>206829</xdr:colOff>
                <xdr:row>0</xdr:row>
                <xdr:rowOff>0</xdr:rowOff>
              </to>
            </anchor>
          </controlPr>
        </control>
      </mc:Choice>
      <mc:Fallback>
        <control shapeId="3562" r:id="rId33" name="ConnectionDescriptorsInfoHCtb1"/>
      </mc:Fallback>
    </mc:AlternateContent>
    <mc:AlternateContent xmlns:mc="http://schemas.openxmlformats.org/markup-compatibility/2006">
      <mc:Choice Requires="x14">
        <control shapeId="3563" r:id="rId35" name="ConnectionDescriptorsInfoDCtb1">
          <controlPr defaultSize="0" autoLine="0" autoPict="0" r:id="rId36">
            <anchor moveWithCells="1">
              <from>
                <xdr:col>0</xdr:col>
                <xdr:colOff>0</xdr:colOff>
                <xdr:row>0</xdr:row>
                <xdr:rowOff>0</xdr:rowOff>
              </from>
              <to>
                <xdr:col>7</xdr:col>
                <xdr:colOff>206829</xdr:colOff>
                <xdr:row>0</xdr:row>
                <xdr:rowOff>0</xdr:rowOff>
              </to>
            </anchor>
          </controlPr>
        </control>
      </mc:Choice>
      <mc:Fallback>
        <control shapeId="3563" r:id="rId35" name="ConnectionDescriptorsInfoDCtb1"/>
      </mc:Fallback>
    </mc:AlternateContent>
    <mc:AlternateContent xmlns:mc="http://schemas.openxmlformats.org/markup-compatibility/2006">
      <mc:Choice Requires="x14">
        <control shapeId="3564" r:id="rId37" name="MultipleReportManagerInfoHCtb1">
          <controlPr defaultSize="0" autoLine="0" autoPict="0" r:id="rId38">
            <anchor moveWithCells="1">
              <from>
                <xdr:col>0</xdr:col>
                <xdr:colOff>0</xdr:colOff>
                <xdr:row>0</xdr:row>
                <xdr:rowOff>0</xdr:rowOff>
              </from>
              <to>
                <xdr:col>7</xdr:col>
                <xdr:colOff>206829</xdr:colOff>
                <xdr:row>0</xdr:row>
                <xdr:rowOff>0</xdr:rowOff>
              </to>
            </anchor>
          </controlPr>
        </control>
      </mc:Choice>
      <mc:Fallback>
        <control shapeId="3564" r:id="rId37" name="MultipleReportManagerInfoHCtb1"/>
      </mc:Fallback>
    </mc:AlternateContent>
    <mc:AlternateContent xmlns:mc="http://schemas.openxmlformats.org/markup-compatibility/2006">
      <mc:Choice Requires="x14">
        <control shapeId="3565" r:id="rId39" name="MultipleReportManagerInfoDCtb1">
          <controlPr defaultSize="0" autoLine="0" autoPict="0" r:id="rId40">
            <anchor moveWithCells="1">
              <from>
                <xdr:col>0</xdr:col>
                <xdr:colOff>0</xdr:colOff>
                <xdr:row>0</xdr:row>
                <xdr:rowOff>0</xdr:rowOff>
              </from>
              <to>
                <xdr:col>7</xdr:col>
                <xdr:colOff>206829</xdr:colOff>
                <xdr:row>0</xdr:row>
                <xdr:rowOff>0</xdr:rowOff>
              </to>
            </anchor>
          </controlPr>
        </control>
      </mc:Choice>
      <mc:Fallback>
        <control shapeId="3565" r:id="rId39" name="MultipleReportManagerInfoDCtb1"/>
      </mc:Fallback>
    </mc:AlternateContent>
    <mc:AlternateContent xmlns:mc="http://schemas.openxmlformats.org/markup-compatibility/2006">
      <mc:Choice Requires="x14">
        <control shapeId="3566" r:id="rId41" name="ReportSubmitManagerControlHCtb1">
          <controlPr defaultSize="0" autoLine="0" autoPict="0" r:id="rId42">
            <anchor moveWithCells="1">
              <from>
                <xdr:col>0</xdr:col>
                <xdr:colOff>0</xdr:colOff>
                <xdr:row>0</xdr:row>
                <xdr:rowOff>0</xdr:rowOff>
              </from>
              <to>
                <xdr:col>7</xdr:col>
                <xdr:colOff>206829</xdr:colOff>
                <xdr:row>0</xdr:row>
                <xdr:rowOff>0</xdr:rowOff>
              </to>
            </anchor>
          </controlPr>
        </control>
      </mc:Choice>
      <mc:Fallback>
        <control shapeId="3566" r:id="rId41" name="ReportSubmitManagerControlHCtb1"/>
      </mc:Fallback>
    </mc:AlternateContent>
    <mc:AlternateContent xmlns:mc="http://schemas.openxmlformats.org/markup-compatibility/2006">
      <mc:Choice Requires="x14">
        <control shapeId="3567" r:id="rId43" name="ReportSubmitManagerControlDCtb1">
          <controlPr defaultSize="0" autoLine="0" autoPict="0" r:id="rId44">
            <anchor moveWithCells="1">
              <from>
                <xdr:col>0</xdr:col>
                <xdr:colOff>0</xdr:colOff>
                <xdr:row>0</xdr:row>
                <xdr:rowOff>0</xdr:rowOff>
              </from>
              <to>
                <xdr:col>7</xdr:col>
                <xdr:colOff>206829</xdr:colOff>
                <xdr:row>0</xdr:row>
                <xdr:rowOff>0</xdr:rowOff>
              </to>
            </anchor>
          </controlPr>
        </control>
      </mc:Choice>
      <mc:Fallback>
        <control shapeId="3567" r:id="rId43" name="ReportSubmitManagerControlDCtb1"/>
      </mc:Fallback>
    </mc:AlternateContent>
    <mc:AlternateContent xmlns:mc="http://schemas.openxmlformats.org/markup-compatibility/2006">
      <mc:Choice Requires="x14">
        <control shapeId="3568" r:id="rId45" name="ReportSubmitControl_1HCtb1">
          <controlPr defaultSize="0" autoLine="0" autoPict="0" r:id="rId46">
            <anchor moveWithCells="1">
              <from>
                <xdr:col>0</xdr:col>
                <xdr:colOff>0</xdr:colOff>
                <xdr:row>0</xdr:row>
                <xdr:rowOff>0</xdr:rowOff>
              </from>
              <to>
                <xdr:col>7</xdr:col>
                <xdr:colOff>206829</xdr:colOff>
                <xdr:row>0</xdr:row>
                <xdr:rowOff>0</xdr:rowOff>
              </to>
            </anchor>
          </controlPr>
        </control>
      </mc:Choice>
      <mc:Fallback>
        <control shapeId="3568" r:id="rId45" name="ReportSubmitControl_1HCtb1"/>
      </mc:Fallback>
    </mc:AlternateContent>
    <mc:AlternateContent xmlns:mc="http://schemas.openxmlformats.org/markup-compatibility/2006">
      <mc:Choice Requires="x14">
        <control shapeId="3569" r:id="rId47" name="ReportSubmitControl_1DCtb1">
          <controlPr defaultSize="0" autoLine="0" autoPict="0" r:id="rId48">
            <anchor moveWithCells="1">
              <from>
                <xdr:col>0</xdr:col>
                <xdr:colOff>0</xdr:colOff>
                <xdr:row>0</xdr:row>
                <xdr:rowOff>0</xdr:rowOff>
              </from>
              <to>
                <xdr:col>7</xdr:col>
                <xdr:colOff>206829</xdr:colOff>
                <xdr:row>0</xdr:row>
                <xdr:rowOff>0</xdr:rowOff>
              </to>
            </anchor>
          </controlPr>
        </control>
      </mc:Choice>
      <mc:Fallback>
        <control shapeId="3569" r:id="rId47" name="ReportSubmitControl_1DCtb1"/>
      </mc:Fallback>
    </mc:AlternateContent>
    <mc:AlternateContent xmlns:mc="http://schemas.openxmlformats.org/markup-compatibility/2006">
      <mc:Choice Requires="x14">
        <control shapeId="3570" r:id="rId49" name="AnalyzerDynReportHC000tb1">
          <controlPr defaultSize="0" autoLine="0" autoPict="0" r:id="rId50">
            <anchor moveWithCells="1">
              <from>
                <xdr:col>0</xdr:col>
                <xdr:colOff>0</xdr:colOff>
                <xdr:row>0</xdr:row>
                <xdr:rowOff>0</xdr:rowOff>
              </from>
              <to>
                <xdr:col>7</xdr:col>
                <xdr:colOff>206829</xdr:colOff>
                <xdr:row>0</xdr:row>
                <xdr:rowOff>0</xdr:rowOff>
              </to>
            </anchor>
          </controlPr>
        </control>
      </mc:Choice>
      <mc:Fallback>
        <control shapeId="3570" r:id="rId49" name="AnalyzerDynReportHC000tb1"/>
      </mc:Fallback>
    </mc:AlternateContent>
    <mc:AlternateContent xmlns:mc="http://schemas.openxmlformats.org/markup-compatibility/2006">
      <mc:Choice Requires="x14">
        <control shapeId="3571" r:id="rId51" name="AnalyzerDynReportDC000tb1">
          <controlPr defaultSize="0" autoLine="0" autoPict="0" r:id="rId52">
            <anchor moveWithCells="1">
              <from>
                <xdr:col>0</xdr:col>
                <xdr:colOff>0</xdr:colOff>
                <xdr:row>0</xdr:row>
                <xdr:rowOff>0</xdr:rowOff>
              </from>
              <to>
                <xdr:col>7</xdr:col>
                <xdr:colOff>206829</xdr:colOff>
                <xdr:row>0</xdr:row>
                <xdr:rowOff>0</xdr:rowOff>
              </to>
            </anchor>
          </controlPr>
        </control>
      </mc:Choice>
      <mc:Fallback>
        <control shapeId="3571" r:id="rId51" name="AnalyzerDynReportDC000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9.61328125" bestFit="1" customWidth="1"/>
    <col min="9" max="9" width="12.61328125" bestFit="1" customWidth="1"/>
    <col min="10" max="10" width="33.61328125" bestFit="1" customWidth="1"/>
    <col min="11" max="11" width="8.765625" bestFit="1" customWidth="1"/>
    <col min="12" max="12" width="9.3828125" bestFit="1" customWidth="1"/>
    <col min="13" max="13" width="8.61328125" bestFit="1" customWidth="1"/>
    <col min="14" max="14" width="8.15234375" bestFit="1" customWidth="1"/>
    <col min="15" max="15" width="9.15234375" bestFit="1" customWidth="1"/>
    <col min="16" max="16" width="8.3046875" bestFit="1" customWidth="1"/>
    <col min="17" max="17" width="8.765625" bestFit="1" customWidth="1"/>
    <col min="18" max="18" width="9.15234375" bestFit="1" customWidth="1"/>
    <col min="19" max="19" width="8.61328125" bestFit="1" customWidth="1"/>
    <col min="20" max="20" width="8.53515625" bestFit="1" customWidth="1"/>
    <col min="21" max="22" width="8.38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customHeight="1" x14ac:dyDescent="0.4">
      <c r="A1" s="78" t="s">
        <v>28</v>
      </c>
      <c r="B1" s="79"/>
      <c r="C1" s="79"/>
      <c r="D1" s="79"/>
      <c r="E1" s="79"/>
      <c r="F1" s="79"/>
      <c r="G1" s="79"/>
      <c r="H1" s="79"/>
      <c r="I1" s="79"/>
      <c r="J1" s="79"/>
      <c r="K1" s="82" t="str">
        <f>" "&amp;IFERROR(IF(SOP_Favorite_Name&lt;&gt;" ",SOP_Favorite_Name,IF(SOP_Template_Name&lt;&gt;" ",SOP_Template_Name,"Ad Hoc Planning View")),"Offline")</f>
        <v xml:space="preserve"> Combination-based Planning with Status</v>
      </c>
      <c r="L1" s="82"/>
      <c r="M1" s="82"/>
      <c r="N1" s="82"/>
      <c r="O1" s="82"/>
      <c r="P1" s="82"/>
      <c r="Q1" s="83" t="str">
        <f>"User: "&amp;_xll.EPMUser()&amp;"   |    Planning Area: "&amp;IFERROR(SOP_Planning_Area,"Offline")&amp;"
"&amp;"Template: "&amp;IFERROR(SOP_Template_Name,"none")</f>
        <v>User: #Error, no current connection.   |    Planning Area: SAP6
Template: template name</v>
      </c>
      <c r="R1" s="83"/>
      <c r="S1" s="83"/>
      <c r="T1" s="83"/>
      <c r="U1" s="83"/>
      <c r="V1" s="8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2" customFormat="1" ht="60" customHeight="1" x14ac:dyDescent="0.4">
      <c r="A2" s="8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HT_003
Status of the Planning = Open
</v>
      </c>
      <c r="B2" s="80"/>
      <c r="C2" s="80"/>
      <c r="D2" s="80"/>
      <c r="E2" s="80"/>
      <c r="F2" s="80"/>
      <c r="G2" s="80"/>
      <c r="H2" s="80"/>
      <c r="I2" s="80"/>
      <c r="J2" s="80"/>
      <c r="K2" s="81" t="str">
        <f>"  Last Refresh: "&amp;IFERROR(YEAR(SOP_Refresh_Timestamp)&amp;"-"&amp;TEXT(SOP_Refresh_Timestamp,"MMM")&amp;"-"&amp;DAY(SOP_Refresh_Timestamp)&amp;"   "&amp;TEXT(SOP_Refresh_Timestamp,"HH:MM:SS"),"Offline")</f>
        <v xml:space="preserve">  Last Refresh: 2022-Apr-29   14:37:40</v>
      </c>
      <c r="L2" s="81"/>
      <c r="M2" s="81"/>
      <c r="N2" s="81"/>
      <c r="O2" s="81"/>
      <c r="P2" s="81"/>
      <c r="Q2" s="81"/>
      <c r="R2" s="81"/>
      <c r="S2" s="81"/>
      <c r="T2" s="81"/>
      <c r="U2" s="81"/>
      <c r="V2" s="81"/>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3" customFormat="1" ht="14.6" customHeight="1" x14ac:dyDescent="0.4">
      <c r="A3" s="40" t="str">
        <f>SOP_Heading10</f>
        <v xml:space="preserve"> </v>
      </c>
      <c r="B3" s="40" t="str">
        <f>SOP_Heading9</f>
        <v xml:space="preserve"> </v>
      </c>
      <c r="C3" s="40" t="str">
        <f>SOP_Heading8</f>
        <v xml:space="preserve"> </v>
      </c>
      <c r="D3" s="40" t="str">
        <f>SOP_Heading7</f>
        <v xml:space="preserve"> </v>
      </c>
      <c r="E3" s="40" t="str">
        <f>SOP_Heading6</f>
        <v xml:space="preserve"> </v>
      </c>
      <c r="F3" s="40" t="str">
        <f>SOP_Heading5</f>
        <v xml:space="preserve"> </v>
      </c>
      <c r="G3" s="40" t="str">
        <f>SOP_Heading4</f>
        <v xml:space="preserve"> </v>
      </c>
      <c r="H3" s="40" t="str">
        <f>SOP_Heading3</f>
        <v>Product ID</v>
      </c>
      <c r="I3" s="40" t="str">
        <f>SOP_Heading2</f>
        <v>Location ID</v>
      </c>
      <c r="J3" s="40" t="str">
        <f>SOP_Heading1</f>
        <v>Key Figure</v>
      </c>
      <c r="K3" s="45" t="str">
        <f xml:space="preserve"> _xll.EPMOlapMemberO("[PERIODID3].[].[70616]","","APR 2021","","000")</f>
        <v>APR 2021</v>
      </c>
      <c r="L3" s="45" t="str">
        <f xml:space="preserve"> _xll.EPMOlapMemberO("[PERIODID3].[].[70617]","","MAY 2021","","000")</f>
        <v>MAY 2021</v>
      </c>
      <c r="M3" s="45" t="str">
        <f xml:space="preserve"> _xll.EPMOlapMemberO("[PERIODID3].[].[70618]","","JUN 2021","","000")</f>
        <v>JUN 2021</v>
      </c>
      <c r="N3" s="45" t="str">
        <f xml:space="preserve"> _xll.EPMOlapMemberO("[PERIODID3].[].[70619]","","JUL 2021","","000")</f>
        <v>JUL 2021</v>
      </c>
      <c r="O3" s="45" t="str">
        <f xml:space="preserve"> _xll.EPMOlapMemberO("[PERIODID3].[].[70620]","","AUG 2021","","000")</f>
        <v>AUG 2021</v>
      </c>
      <c r="P3" s="45" t="str">
        <f xml:space="preserve"> _xll.EPMOlapMemberO("[PERIODID3].[].[70621]","","SEP 2021","","000")</f>
        <v>SEP 2021</v>
      </c>
      <c r="Q3" s="45" t="str">
        <f xml:space="preserve"> _xll.EPMOlapMemberO("[PERIODID3].[].[70622]","","OCT 2021","","000")</f>
        <v>OCT 2021</v>
      </c>
      <c r="R3" s="45" t="str">
        <f xml:space="preserve"> _xll.EPMOlapMemberO("[PERIODID3].[].[70623]","","NOV 2021","","000")</f>
        <v>NOV 2021</v>
      </c>
      <c r="S3" s="45" t="str">
        <f xml:space="preserve"> _xll.EPMOlapMemberO("[PERIODID3].[].[70624]","","DEC 2021","","000")</f>
        <v>DEC 2021</v>
      </c>
      <c r="T3" s="45" t="str">
        <f xml:space="preserve"> _xll.EPMOlapMemberO("[PERIODID3].[].[70625]","","JAN 2022","","000")</f>
        <v>JAN 2022</v>
      </c>
      <c r="U3" s="45" t="str">
        <f xml:space="preserve"> _xll.EPMOlapMemberO("[PERIODID3].[].[70626]","","FEB 2022","","000")</f>
        <v>FEB 2022</v>
      </c>
      <c r="V3"/>
      <c r="W3"/>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row>
    <row r="4" spans="1:82" ht="14.6" customHeight="1" x14ac:dyDescent="0.4">
      <c r="A4" s="39"/>
      <c r="B4" s="39"/>
      <c r="C4" s="39"/>
      <c r="D4" s="39"/>
      <c r="E4" s="39"/>
      <c r="F4" s="39"/>
      <c r="H4" s="43" t="str">
        <f xml:space="preserve"> _xll.EPMOlapMemberO("[PRDID].[].[HT_002]","","HT_002","","000")</f>
        <v>HT_002</v>
      </c>
      <c r="I4" s="43" t="str">
        <f xml:space="preserve"> _xll.EPMOlapMemberO("[LOCID].[].[HD_DC_CA_E]","","HD_DC_CA_E","","000")</f>
        <v>HD_DC_CA_E</v>
      </c>
      <c r="J4" s="43" t="str">
        <f xml:space="preserve"> _xll.EPMOlapMemberO("[KEY_FIGURES].[].[CONSENSUSDEMAND]","","Consensus Demand without Promotion","","000")</f>
        <v>Consensus Demand without Promotion</v>
      </c>
      <c r="K4" s="46"/>
      <c r="L4" s="46"/>
      <c r="M4" s="46"/>
      <c r="N4" s="46">
        <v>175</v>
      </c>
      <c r="O4" s="46">
        <v>175.00200000000001</v>
      </c>
      <c r="P4" s="46">
        <v>175</v>
      </c>
      <c r="Q4" s="46">
        <v>175</v>
      </c>
      <c r="R4" s="46">
        <v>175</v>
      </c>
      <c r="S4" s="46">
        <v>175</v>
      </c>
      <c r="T4" s="46">
        <v>25.692</v>
      </c>
      <c r="U4" s="46"/>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row>
    <row r="5" spans="1:82" x14ac:dyDescent="0.4">
      <c r="A5" s="39"/>
      <c r="B5" s="39"/>
      <c r="C5" s="39"/>
      <c r="D5" s="39"/>
      <c r="E5" s="39"/>
      <c r="F5" s="39"/>
      <c r="H5" s="43"/>
      <c r="I5" s="43" t="str">
        <f xml:space="preserve"> _xll.EPMOlapMemberO("[LOCID].[].[HD_DC_FR]","","HD_DC_FR","","000")</f>
        <v>HD_DC_FR</v>
      </c>
      <c r="J5" s="43" t="str">
        <f xml:space="preserve"> _xll.EPMOlapMemberO("[KEY_FIGURES].[].[CONSENSUSDEMAND]","","Consensus Demand without Promotion","","000")</f>
        <v>Consensus Demand without Promotion</v>
      </c>
      <c r="K5" s="46"/>
      <c r="L5" s="46"/>
      <c r="M5" s="46">
        <v>6000</v>
      </c>
      <c r="N5" s="46">
        <v>175</v>
      </c>
      <c r="O5" s="46">
        <v>174.99600000000001</v>
      </c>
      <c r="P5" s="46">
        <v>175</v>
      </c>
      <c r="Q5" s="46">
        <v>175</v>
      </c>
      <c r="R5" s="46">
        <v>175</v>
      </c>
      <c r="S5" s="46">
        <v>700</v>
      </c>
      <c r="T5" s="46">
        <v>4699.9250000000002</v>
      </c>
      <c r="U5" s="46"/>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row>
    <row r="6" spans="1:82" x14ac:dyDescent="0.4">
      <c r="A6" s="39"/>
      <c r="B6" s="39"/>
      <c r="C6" s="39"/>
      <c r="D6" s="39"/>
      <c r="E6" s="39"/>
      <c r="F6" s="39"/>
      <c r="H6" s="43"/>
      <c r="I6" s="43" t="str">
        <f xml:space="preserve"> _xll.EPMOlapMemberO("[LOCID].[].[HD_DC_US_W]","","HD_DC_US_W","","000")</f>
        <v>HD_DC_US_W</v>
      </c>
      <c r="J6" s="43" t="str">
        <f xml:space="preserve"> _xll.EPMOlapMemberO("[KEY_FIGURES].[].[CONSENSUSDEMAND]","","Consensus Demand without Promotion","","000")</f>
        <v>Consensus Demand without Promotion</v>
      </c>
      <c r="K6" s="46"/>
      <c r="L6" s="46"/>
      <c r="M6" s="46"/>
      <c r="N6" s="46">
        <v>600</v>
      </c>
      <c r="O6" s="46">
        <v>175</v>
      </c>
      <c r="P6" s="46">
        <v>175</v>
      </c>
      <c r="Q6" s="46">
        <v>175</v>
      </c>
      <c r="R6" s="46">
        <v>175</v>
      </c>
      <c r="S6" s="46">
        <v>175</v>
      </c>
      <c r="T6" s="46">
        <v>25.690999999999999</v>
      </c>
      <c r="U6" s="46"/>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row>
    <row r="7" spans="1:82" x14ac:dyDescent="0.4">
      <c r="A7" s="39"/>
      <c r="B7" s="39"/>
      <c r="C7" s="39"/>
      <c r="D7" s="39"/>
      <c r="E7" s="39"/>
      <c r="F7" s="39"/>
      <c r="H7" s="43" t="str">
        <f xml:space="preserve"> _xll.EPMOlapMemberO("[PRDID].[].[HT_003]","","HT_003","","000")</f>
        <v>HT_003</v>
      </c>
      <c r="I7" s="43" t="str">
        <f xml:space="preserve"> _xll.EPMOlapMemberO("[LOCID].[].[HD_DC_CA_E]","","HD_DC_CA_E","","000")</f>
        <v>HD_DC_CA_E</v>
      </c>
      <c r="J7" s="43" t="str">
        <f xml:space="preserve"> _xll.EPMOlapMemberO("[KEY_FIGURES].[].[CONSENSUSDEMAND]","","Consensus Demand without Promotion","","000")</f>
        <v>Consensus Demand without Promotion</v>
      </c>
      <c r="K7" s="46">
        <v>93.5</v>
      </c>
      <c r="L7" s="46">
        <v>57</v>
      </c>
      <c r="M7" s="46">
        <v>58</v>
      </c>
      <c r="N7" s="46">
        <v>100</v>
      </c>
      <c r="O7" s="46">
        <v>35.003999999999998</v>
      </c>
      <c r="P7" s="46">
        <v>58.005000000000003</v>
      </c>
      <c r="Q7" s="46">
        <v>99.754999999999995</v>
      </c>
      <c r="R7" s="46">
        <v>37.75</v>
      </c>
      <c r="S7" s="46">
        <v>85.5</v>
      </c>
      <c r="T7" s="46"/>
      <c r="U7" s="46"/>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row>
    <row r="8" spans="1:82" x14ac:dyDescent="0.4">
      <c r="A8" s="39"/>
      <c r="B8" s="39"/>
      <c r="C8" s="39"/>
      <c r="D8" s="39"/>
      <c r="E8" s="39"/>
      <c r="F8" s="39"/>
      <c r="H8" s="43"/>
      <c r="I8" s="43" t="str">
        <f xml:space="preserve"> _xll.EPMOlapMemberO("[LOCID].[].[HD_DC_FR]","","HD_DC_FR","","000")</f>
        <v>HD_DC_FR</v>
      </c>
      <c r="J8" s="43" t="str">
        <f xml:space="preserve"> _xll.EPMOlapMemberO("[KEY_FIGURES].[].[CONSENSUSDEMAND]","","Consensus Demand without Promotion","","000")</f>
        <v>Consensus Demand without Promotion</v>
      </c>
      <c r="K8" s="46">
        <v>93.51</v>
      </c>
      <c r="L8" s="46">
        <v>57</v>
      </c>
      <c r="M8" s="46">
        <v>58</v>
      </c>
      <c r="N8" s="46">
        <v>100</v>
      </c>
      <c r="O8" s="46">
        <v>35.003999999999998</v>
      </c>
      <c r="P8" s="46">
        <v>58.01</v>
      </c>
      <c r="Q8" s="46">
        <v>99.765000000000001</v>
      </c>
      <c r="R8" s="46">
        <v>37.75</v>
      </c>
      <c r="S8" s="46">
        <v>85.5</v>
      </c>
      <c r="T8" s="46"/>
      <c r="U8" s="46"/>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row>
    <row r="9" spans="1:82" x14ac:dyDescent="0.4">
      <c r="A9" s="39"/>
      <c r="B9" s="39"/>
      <c r="C9" s="39"/>
      <c r="D9" s="39"/>
      <c r="E9" s="39"/>
      <c r="F9" s="39"/>
      <c r="H9" s="43"/>
      <c r="I9" s="43" t="str">
        <f xml:space="preserve"> _xll.EPMOlapMemberO("[LOCID].[].[HD_DC_US_E]","","HD_DC_US_E","","000")</f>
        <v>HD_DC_US_E</v>
      </c>
      <c r="J9" s="43" t="str">
        <f xml:space="preserve"> _xll.EPMOlapMemberO("[KEY_FIGURES].[].[CONSENSUSDEMAND]","","Consensus Demand without Promotion","","000")</f>
        <v>Consensus Demand without Promotion</v>
      </c>
      <c r="K9" s="46">
        <v>93.49</v>
      </c>
      <c r="L9" s="46">
        <v>57</v>
      </c>
      <c r="M9" s="46">
        <v>58</v>
      </c>
      <c r="N9" s="46">
        <v>100</v>
      </c>
      <c r="O9" s="46">
        <v>35</v>
      </c>
      <c r="P9" s="46">
        <v>57.99</v>
      </c>
      <c r="Q9" s="46">
        <v>99.734999999999999</v>
      </c>
      <c r="R9" s="46">
        <v>37.75</v>
      </c>
      <c r="S9" s="46">
        <v>85.5</v>
      </c>
      <c r="T9" s="46"/>
      <c r="U9" s="46"/>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row>
    <row r="10" spans="1:82" x14ac:dyDescent="0.4">
      <c r="A10" s="39"/>
      <c r="B10" s="39"/>
      <c r="C10" s="39"/>
      <c r="D10" s="39"/>
      <c r="E10" s="39"/>
      <c r="F10" s="39"/>
      <c r="H10" s="43"/>
      <c r="I10" s="43" t="str">
        <f xml:space="preserve"> _xll.EPMOlapMemberO("[LOCID].[].[HD_DC_US_W]","","HD_DC_US_W","","000")</f>
        <v>HD_DC_US_W</v>
      </c>
      <c r="J10" s="43" t="str">
        <f xml:space="preserve"> _xll.EPMOlapMemberO("[KEY_FIGURES].[].[CONSENSUSDEMAND]","","Consensus Demand without Promotion","","000")</f>
        <v>Consensus Demand without Promotion</v>
      </c>
      <c r="K10" s="46">
        <v>93.5</v>
      </c>
      <c r="L10" s="46">
        <v>57</v>
      </c>
      <c r="M10" s="46">
        <v>58</v>
      </c>
      <c r="N10" s="46">
        <v>100</v>
      </c>
      <c r="O10" s="46">
        <v>34.991999999999997</v>
      </c>
      <c r="P10" s="46">
        <v>57.994999999999997</v>
      </c>
      <c r="Q10" s="46">
        <v>99.745000000000005</v>
      </c>
      <c r="R10" s="46">
        <v>37.75</v>
      </c>
      <c r="S10" s="46">
        <v>85.5</v>
      </c>
      <c r="T10" s="46"/>
      <c r="U10" s="46"/>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row>
    <row r="11" spans="1:82" x14ac:dyDescent="0.4">
      <c r="A11" s="39"/>
      <c r="B11" s="39"/>
      <c r="C11" s="39"/>
      <c r="D11" s="39"/>
      <c r="E11" s="39"/>
      <c r="F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row>
    <row r="12" spans="1:82" x14ac:dyDescent="0.4">
      <c r="A12" s="39"/>
      <c r="B12" s="39"/>
      <c r="C12" s="39"/>
      <c r="D12" s="39"/>
      <c r="E12" s="39"/>
      <c r="F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row>
    <row r="13" spans="1:82" x14ac:dyDescent="0.4">
      <c r="A13" s="39"/>
      <c r="B13" s="39"/>
      <c r="C13" s="39"/>
      <c r="D13" s="39"/>
      <c r="E13" s="39"/>
      <c r="F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row>
    <row r="14" spans="1:82" x14ac:dyDescent="0.4">
      <c r="A14" s="39"/>
      <c r="B14" s="39"/>
      <c r="C14" s="39"/>
      <c r="D14" s="39"/>
      <c r="E14" s="39"/>
      <c r="F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row>
    <row r="15" spans="1:82" x14ac:dyDescent="0.4">
      <c r="A15" s="39"/>
      <c r="B15" s="39"/>
      <c r="C15" s="39"/>
      <c r="D15" s="39"/>
      <c r="E15" s="39"/>
      <c r="F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row>
    <row r="16" spans="1:82" x14ac:dyDescent="0.4">
      <c r="A16" s="39"/>
      <c r="B16" s="39"/>
      <c r="C16" s="39"/>
      <c r="D16" s="39"/>
      <c r="E16" s="39"/>
      <c r="F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row>
    <row r="17" spans="1:82" x14ac:dyDescent="0.4">
      <c r="A17" s="39"/>
      <c r="B17" s="39"/>
      <c r="C17" s="39"/>
      <c r="D17" s="39"/>
      <c r="E17" s="39"/>
      <c r="F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row>
    <row r="18" spans="1:82" x14ac:dyDescent="0.4">
      <c r="A18" s="39"/>
      <c r="B18" s="39"/>
      <c r="C18" s="39"/>
      <c r="D18" s="39"/>
      <c r="E18" s="39"/>
      <c r="F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row>
    <row r="19" spans="1:82" x14ac:dyDescent="0.4">
      <c r="A19" s="39"/>
      <c r="B19" s="39"/>
      <c r="C19" s="39"/>
      <c r="D19" s="39"/>
      <c r="E19" s="39"/>
      <c r="F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row>
    <row r="20" spans="1:82" x14ac:dyDescent="0.4">
      <c r="A20" s="39"/>
      <c r="B20" s="39"/>
      <c r="C20" s="39"/>
      <c r="D20" s="39"/>
      <c r="E20" s="39"/>
      <c r="F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row>
    <row r="21" spans="1:82" x14ac:dyDescent="0.4">
      <c r="A21" s="39"/>
      <c r="B21" s="39"/>
      <c r="C21" s="39"/>
      <c r="D21" s="39"/>
      <c r="E21" s="39"/>
      <c r="F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row>
    <row r="22" spans="1:82" x14ac:dyDescent="0.4">
      <c r="A22" s="39"/>
      <c r="B22" s="39"/>
      <c r="C22" s="39"/>
      <c r="D22" s="39"/>
      <c r="E22" s="39"/>
      <c r="F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row>
    <row r="23" spans="1:82" x14ac:dyDescent="0.4">
      <c r="A23" s="39"/>
      <c r="B23" s="39"/>
      <c r="C23" s="39"/>
      <c r="D23" s="39"/>
      <c r="E23" s="39"/>
      <c r="F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row>
    <row r="24" spans="1:82" x14ac:dyDescent="0.4">
      <c r="A24" s="39"/>
      <c r="B24" s="39"/>
      <c r="C24" s="39"/>
      <c r="D24" s="39"/>
      <c r="E24" s="39"/>
      <c r="F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row>
    <row r="25" spans="1:82" x14ac:dyDescent="0.4">
      <c r="A25" s="39"/>
      <c r="B25" s="39"/>
      <c r="C25" s="39"/>
      <c r="D25" s="39"/>
      <c r="E25" s="39"/>
      <c r="F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row>
    <row r="26" spans="1:82" x14ac:dyDescent="0.4">
      <c r="A26" s="39"/>
      <c r="B26" s="39"/>
      <c r="C26" s="39"/>
      <c r="D26" s="39"/>
      <c r="E26" s="39"/>
      <c r="F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row>
    <row r="27" spans="1:82" x14ac:dyDescent="0.4">
      <c r="A27" s="39"/>
      <c r="B27" s="39"/>
      <c r="C27" s="39"/>
      <c r="D27" s="39"/>
      <c r="E27" s="39"/>
      <c r="F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row>
    <row r="28" spans="1:82" x14ac:dyDescent="0.4">
      <c r="A28" s="39"/>
      <c r="B28" s="39"/>
      <c r="C28" s="39"/>
      <c r="D28" s="39"/>
      <c r="E28" s="39"/>
      <c r="F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row>
    <row r="29" spans="1:82" x14ac:dyDescent="0.4">
      <c r="A29" s="39"/>
      <c r="B29" s="39"/>
      <c r="C29" s="39"/>
      <c r="D29" s="39"/>
      <c r="E29" s="39"/>
      <c r="F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row>
    <row r="30" spans="1:82" x14ac:dyDescent="0.4">
      <c r="A30" s="39"/>
      <c r="B30" s="39"/>
      <c r="C30" s="39"/>
      <c r="D30" s="39"/>
      <c r="E30" s="39"/>
      <c r="F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row>
    <row r="31" spans="1:82" x14ac:dyDescent="0.4">
      <c r="A31" s="39"/>
      <c r="B31" s="39"/>
      <c r="C31" s="39"/>
      <c r="D31" s="39"/>
      <c r="E31" s="39"/>
      <c r="F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row>
    <row r="32" spans="1:82" x14ac:dyDescent="0.4">
      <c r="A32" s="39"/>
      <c r="B32" s="39"/>
      <c r="C32" s="39"/>
      <c r="D32" s="39"/>
      <c r="E32" s="39"/>
      <c r="F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row>
    <row r="33" spans="1:82" x14ac:dyDescent="0.4">
      <c r="A33" s="39"/>
      <c r="B33" s="39"/>
      <c r="C33" s="39"/>
      <c r="D33" s="39"/>
      <c r="E33" s="39"/>
      <c r="F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row>
    <row r="34" spans="1:82" x14ac:dyDescent="0.4">
      <c r="A34" s="39"/>
      <c r="B34" s="39"/>
      <c r="C34" s="39"/>
      <c r="D34" s="39"/>
      <c r="E34" s="39"/>
      <c r="F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row>
    <row r="35" spans="1:82" x14ac:dyDescent="0.4">
      <c r="A35" s="39"/>
      <c r="B35" s="39"/>
      <c r="C35" s="39"/>
      <c r="D35" s="39"/>
      <c r="E35" s="39"/>
      <c r="F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row>
  </sheetData>
  <sheetProtection autoFilter="0"/>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57" r:id="rId7" name="ReportSubmitControl_1DCtb1">
          <controlPr defaultSize="0" autoLine="0" autoPict="0" r:id="rId8">
            <anchor moveWithCells="1">
              <from>
                <xdr:col>0</xdr:col>
                <xdr:colOff>0</xdr:colOff>
                <xdr:row>0</xdr:row>
                <xdr:rowOff>0</xdr:rowOff>
              </from>
              <to>
                <xdr:col>6</xdr:col>
                <xdr:colOff>326571</xdr:colOff>
                <xdr:row>0</xdr:row>
                <xdr:rowOff>0</xdr:rowOff>
              </to>
            </anchor>
          </controlPr>
        </control>
      </mc:Choice>
      <mc:Fallback>
        <control shapeId="9257" r:id="rId7" name="ReportSubmitControl_1DCtb1"/>
      </mc:Fallback>
    </mc:AlternateContent>
    <mc:AlternateContent xmlns:mc="http://schemas.openxmlformats.org/markup-compatibility/2006">
      <mc:Choice Requires="x14">
        <control shapeId="9256" r:id="rId9" name="ReportSubmitControl_1HCtb1">
          <controlPr defaultSize="0" autoLine="0" autoPict="0" r:id="rId10">
            <anchor moveWithCells="1">
              <from>
                <xdr:col>0</xdr:col>
                <xdr:colOff>0</xdr:colOff>
                <xdr:row>0</xdr:row>
                <xdr:rowOff>0</xdr:rowOff>
              </from>
              <to>
                <xdr:col>6</xdr:col>
                <xdr:colOff>326571</xdr:colOff>
                <xdr:row>0</xdr:row>
                <xdr:rowOff>0</xdr:rowOff>
              </to>
            </anchor>
          </controlPr>
        </control>
      </mc:Choice>
      <mc:Fallback>
        <control shapeId="9256" r:id="rId9" name="ReportSubmitControl_1HCtb1"/>
      </mc:Fallback>
    </mc:AlternateContent>
    <mc:AlternateContent xmlns:mc="http://schemas.openxmlformats.org/markup-compatibility/2006">
      <mc:Choice Requires="x14">
        <control shapeId="9255" r:id="rId11" name="AnalyzerDynReportDC000tb1">
          <controlPr defaultSize="0" autoLine="0" autoPict="0" r:id="rId12">
            <anchor moveWithCells="1">
              <from>
                <xdr:col>0</xdr:col>
                <xdr:colOff>0</xdr:colOff>
                <xdr:row>0</xdr:row>
                <xdr:rowOff>0</xdr:rowOff>
              </from>
              <to>
                <xdr:col>6</xdr:col>
                <xdr:colOff>342900</xdr:colOff>
                <xdr:row>0</xdr:row>
                <xdr:rowOff>0</xdr:rowOff>
              </to>
            </anchor>
          </controlPr>
        </control>
      </mc:Choice>
      <mc:Fallback>
        <control shapeId="9255" r:id="rId11" name="AnalyzerDynReportDC000tb1"/>
      </mc:Fallback>
    </mc:AlternateContent>
    <mc:AlternateContent xmlns:mc="http://schemas.openxmlformats.org/markup-compatibility/2006">
      <mc:Choice Requires="x14">
        <control shapeId="9254" r:id="rId13" name="AnalyzerDynReportHC000tb1">
          <controlPr defaultSize="0" autoLine="0" autoPict="0" r:id="rId14">
            <anchor moveWithCells="1">
              <from>
                <xdr:col>0</xdr:col>
                <xdr:colOff>0</xdr:colOff>
                <xdr:row>0</xdr:row>
                <xdr:rowOff>0</xdr:rowOff>
              </from>
              <to>
                <xdr:col>6</xdr:col>
                <xdr:colOff>342900</xdr:colOff>
                <xdr:row>0</xdr:row>
                <xdr:rowOff>0</xdr:rowOff>
              </to>
            </anchor>
          </controlPr>
        </control>
      </mc:Choice>
      <mc:Fallback>
        <control shapeId="9254" r:id="rId13" name="AnalyzerDynReportHC000tb1"/>
      </mc:Fallback>
    </mc:AlternateContent>
    <mc:AlternateContent xmlns:mc="http://schemas.openxmlformats.org/markup-compatibility/2006">
      <mc:Choice Requires="x14">
        <control shapeId="9217" r:id="rId15" name="FPMExcelClientSheetOptions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9217" r:id="rId15" name="FPMExcelClientSheetOptionstb1"/>
      </mc:Fallback>
    </mc:AlternateContent>
    <mc:AlternateContent xmlns:mc="http://schemas.openxmlformats.org/markup-compatibility/2006">
      <mc:Choice Requires="x14">
        <control shapeId="9218" r:id="rId17" name="TextBox1">
          <controlPr defaultSize="0" disabled="1" autoLine="0" r:id="rId18">
            <anchor>
              <from>
                <xdr:col>0</xdr:col>
                <xdr:colOff>38100</xdr:colOff>
                <xdr:row>2</xdr:row>
                <xdr:rowOff>152400</xdr:rowOff>
              </from>
              <to>
                <xdr:col>0</xdr:col>
                <xdr:colOff>43543</xdr:colOff>
                <xdr:row>2</xdr:row>
                <xdr:rowOff>157843</xdr:rowOff>
              </to>
            </anchor>
          </controlPr>
        </control>
      </mc:Choice>
      <mc:Fallback>
        <control shapeId="9218" r:id="rId17" name="TextBox1"/>
      </mc:Fallback>
    </mc:AlternateContent>
    <mc:AlternateContent xmlns:mc="http://schemas.openxmlformats.org/markup-compatibility/2006">
      <mc:Choice Requires="x14">
        <control shapeId="9219" r:id="rId19" name="TextBox2">
          <controlPr defaultSize="0" disabled="1" autoLine="0" r:id="rId20">
            <anchor>
              <from>
                <xdr:col>8</xdr:col>
                <xdr:colOff>789214</xdr:colOff>
                <xdr:row>2</xdr:row>
                <xdr:rowOff>152400</xdr:rowOff>
              </from>
              <to>
                <xdr:col>8</xdr:col>
                <xdr:colOff>794657</xdr:colOff>
                <xdr:row>2</xdr:row>
                <xdr:rowOff>157843</xdr:rowOff>
              </to>
            </anchor>
          </controlPr>
        </control>
      </mc:Choice>
      <mc:Fallback>
        <control shapeId="9219" r:id="rId19" name="TextBox2"/>
      </mc:Fallback>
    </mc:AlternateContent>
    <mc:AlternateContent xmlns:mc="http://schemas.openxmlformats.org/markup-compatibility/2006">
      <mc:Choice Requires="x14">
        <control shapeId="9220" r:id="rId21" name="AnalyzerDynReport000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0" r:id="rId21" name="AnalyzerDynReport000tb1"/>
      </mc:Fallback>
    </mc:AlternateContent>
    <mc:AlternateContent xmlns:mc="http://schemas.openxmlformats.org/markup-compatibility/2006">
      <mc:Choice Requires="x14">
        <control shapeId="9221" r:id="rId23" name="ConnectionDescriptorsInfotb1">
          <controlPr defaultSize="0" autoLine="0" autoPict="0" r:id="rId24">
            <anchor moveWithCells="1" sizeWithCells="1">
              <from>
                <xdr:col>0</xdr:col>
                <xdr:colOff>0</xdr:colOff>
                <xdr:row>0</xdr:row>
                <xdr:rowOff>0</xdr:rowOff>
              </from>
              <to>
                <xdr:col>6</xdr:col>
                <xdr:colOff>97971</xdr:colOff>
                <xdr:row>0</xdr:row>
                <xdr:rowOff>0</xdr:rowOff>
              </to>
            </anchor>
          </controlPr>
        </control>
      </mc:Choice>
      <mc:Fallback>
        <control shapeId="9221" r:id="rId23" name="ConnectionDescriptorsInfotb1"/>
      </mc:Fallback>
    </mc:AlternateContent>
    <mc:AlternateContent xmlns:mc="http://schemas.openxmlformats.org/markup-compatibility/2006">
      <mc:Choice Requires="x14">
        <control shapeId="9222" r:id="rId25" name="MultipleReportManagerInfotb1">
          <controlPr defaultSize="0" autoLine="0" autoPict="0" r:id="rId26">
            <anchor moveWithCells="1" sizeWithCells="1">
              <from>
                <xdr:col>0</xdr:col>
                <xdr:colOff>0</xdr:colOff>
                <xdr:row>0</xdr:row>
                <xdr:rowOff>0</xdr:rowOff>
              </from>
              <to>
                <xdr:col>6</xdr:col>
                <xdr:colOff>97971</xdr:colOff>
                <xdr:row>0</xdr:row>
                <xdr:rowOff>0</xdr:rowOff>
              </to>
            </anchor>
          </controlPr>
        </control>
      </mc:Choice>
      <mc:Fallback>
        <control shapeId="9222" r:id="rId25" name="MultipleReportManagerInfotb1"/>
      </mc:Fallback>
    </mc:AlternateContent>
    <mc:AlternateContent xmlns:mc="http://schemas.openxmlformats.org/markup-compatibility/2006">
      <mc:Choice Requires="x14">
        <control shapeId="9223" r:id="rId27" name="ReportSubmitManagerControl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3" r:id="rId27" name="ReportSubmitManagerControltb1"/>
      </mc:Fallback>
    </mc:AlternateContent>
    <mc:AlternateContent xmlns:mc="http://schemas.openxmlformats.org/markup-compatibility/2006">
      <mc:Choice Requires="x14">
        <control shapeId="9224" r:id="rId29" name="ReportSubmitControl_1tb1">
          <controlPr defaultSize="0" autoLine="0" autoPict="0" r:id="rId30">
            <anchor moveWithCells="1" sizeWithCells="1">
              <from>
                <xdr:col>0</xdr:col>
                <xdr:colOff>0</xdr:colOff>
                <xdr:row>0</xdr:row>
                <xdr:rowOff>0</xdr:rowOff>
              </from>
              <to>
                <xdr:col>6</xdr:col>
                <xdr:colOff>97971</xdr:colOff>
                <xdr:row>0</xdr:row>
                <xdr:rowOff>0</xdr:rowOff>
              </to>
            </anchor>
          </controlPr>
        </control>
      </mc:Choice>
      <mc:Fallback>
        <control shapeId="9224" r:id="rId29" name="ReportSubmitControl_1tb1"/>
      </mc:Fallback>
    </mc:AlternateContent>
    <mc:AlternateContent xmlns:mc="http://schemas.openxmlformats.org/markup-compatibility/2006">
      <mc:Choice Requires="x14">
        <control shapeId="9248" r:id="rId31" name="ConnectionDescriptorsInfoHCtb1">
          <controlPr defaultSize="0" autoLine="0" autoPict="0" r:id="rId32">
            <anchor moveWithCells="1">
              <from>
                <xdr:col>0</xdr:col>
                <xdr:colOff>0</xdr:colOff>
                <xdr:row>0</xdr:row>
                <xdr:rowOff>0</xdr:rowOff>
              </from>
              <to>
                <xdr:col>6</xdr:col>
                <xdr:colOff>326571</xdr:colOff>
                <xdr:row>0</xdr:row>
                <xdr:rowOff>0</xdr:rowOff>
              </to>
            </anchor>
          </controlPr>
        </control>
      </mc:Choice>
      <mc:Fallback>
        <control shapeId="9248" r:id="rId31" name="ConnectionDescriptorsInfoHCtb1"/>
      </mc:Fallback>
    </mc:AlternateContent>
    <mc:AlternateContent xmlns:mc="http://schemas.openxmlformats.org/markup-compatibility/2006">
      <mc:Choice Requires="x14">
        <control shapeId="9249" r:id="rId33" name="ConnectionDescriptorsInfoDCtb1">
          <controlPr defaultSize="0" autoLine="0" autoPict="0" r:id="rId34">
            <anchor moveWithCells="1">
              <from>
                <xdr:col>0</xdr:col>
                <xdr:colOff>0</xdr:colOff>
                <xdr:row>0</xdr:row>
                <xdr:rowOff>0</xdr:rowOff>
              </from>
              <to>
                <xdr:col>6</xdr:col>
                <xdr:colOff>326571</xdr:colOff>
                <xdr:row>0</xdr:row>
                <xdr:rowOff>0</xdr:rowOff>
              </to>
            </anchor>
          </controlPr>
        </control>
      </mc:Choice>
      <mc:Fallback>
        <control shapeId="9249" r:id="rId33" name="ConnectionDescriptorsInfoDCtb1"/>
      </mc:Fallback>
    </mc:AlternateContent>
    <mc:AlternateContent xmlns:mc="http://schemas.openxmlformats.org/markup-compatibility/2006">
      <mc:Choice Requires="x14">
        <control shapeId="9250" r:id="rId35" name="MultipleReportManagerInfoHCtb1">
          <controlPr defaultSize="0" autoLine="0" autoPict="0" r:id="rId36">
            <anchor moveWithCells="1">
              <from>
                <xdr:col>0</xdr:col>
                <xdr:colOff>0</xdr:colOff>
                <xdr:row>0</xdr:row>
                <xdr:rowOff>0</xdr:rowOff>
              </from>
              <to>
                <xdr:col>6</xdr:col>
                <xdr:colOff>326571</xdr:colOff>
                <xdr:row>0</xdr:row>
                <xdr:rowOff>0</xdr:rowOff>
              </to>
            </anchor>
          </controlPr>
        </control>
      </mc:Choice>
      <mc:Fallback>
        <control shapeId="9250" r:id="rId35" name="MultipleReportManagerInfoHCtb1"/>
      </mc:Fallback>
    </mc:AlternateContent>
    <mc:AlternateContent xmlns:mc="http://schemas.openxmlformats.org/markup-compatibility/2006">
      <mc:Choice Requires="x14">
        <control shapeId="9251" r:id="rId37" name="MultipleReportManagerInfoDCtb1">
          <controlPr defaultSize="0" autoLine="0" autoPict="0" r:id="rId38">
            <anchor moveWithCells="1">
              <from>
                <xdr:col>0</xdr:col>
                <xdr:colOff>0</xdr:colOff>
                <xdr:row>0</xdr:row>
                <xdr:rowOff>0</xdr:rowOff>
              </from>
              <to>
                <xdr:col>6</xdr:col>
                <xdr:colOff>326571</xdr:colOff>
                <xdr:row>0</xdr:row>
                <xdr:rowOff>0</xdr:rowOff>
              </to>
            </anchor>
          </controlPr>
        </control>
      </mc:Choice>
      <mc:Fallback>
        <control shapeId="9251" r:id="rId37" name="MultipleReportManagerInfoDCtb1"/>
      </mc:Fallback>
    </mc:AlternateContent>
    <mc:AlternateContent xmlns:mc="http://schemas.openxmlformats.org/markup-compatibility/2006">
      <mc:Choice Requires="x14">
        <control shapeId="9252" r:id="rId39" name="ReportSubmitManagerControlHCtb1">
          <controlPr defaultSize="0" autoLine="0" autoPict="0" r:id="rId40">
            <anchor moveWithCells="1">
              <from>
                <xdr:col>0</xdr:col>
                <xdr:colOff>0</xdr:colOff>
                <xdr:row>0</xdr:row>
                <xdr:rowOff>0</xdr:rowOff>
              </from>
              <to>
                <xdr:col>6</xdr:col>
                <xdr:colOff>326571</xdr:colOff>
                <xdr:row>0</xdr:row>
                <xdr:rowOff>0</xdr:rowOff>
              </to>
            </anchor>
          </controlPr>
        </control>
      </mc:Choice>
      <mc:Fallback>
        <control shapeId="9252" r:id="rId39" name="ReportSubmitManagerControlHCtb1"/>
      </mc:Fallback>
    </mc:AlternateContent>
    <mc:AlternateContent xmlns:mc="http://schemas.openxmlformats.org/markup-compatibility/2006">
      <mc:Choice Requires="x14">
        <control shapeId="9253" r:id="rId41" name="ReportSubmitManagerControlDCtb1">
          <controlPr defaultSize="0" autoLine="0" autoPict="0" r:id="rId42">
            <anchor moveWithCells="1">
              <from>
                <xdr:col>0</xdr:col>
                <xdr:colOff>0</xdr:colOff>
                <xdr:row>0</xdr:row>
                <xdr:rowOff>0</xdr:rowOff>
              </from>
              <to>
                <xdr:col>6</xdr:col>
                <xdr:colOff>326571</xdr:colOff>
                <xdr:row>0</xdr:row>
                <xdr:rowOff>0</xdr:rowOff>
              </to>
            </anchor>
          </controlPr>
        </control>
      </mc:Choice>
      <mc:Fallback>
        <control shapeId="9253" r:id="rId41" name="ReportSubmitManagerControlDC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Combination-based Planning</favorite>
  <bookSettings xmlns="">
    <scenarios>
      <value>__BASELINE</value>
    </scenarios>
    <simulations>
      <value>__PLAN</value>
    </simulations>
    <planningUnits>
      <planningVersion>__BASELINE</planningVersion>
      <planningScenario>__PLAN</planningScenario>
      <timeRelativeFromDays>0</timeRelativeFromDays>
      <timeRelativeToDays>611</timeRelativeToDays>
    </planningUnits>
  </bookSettings>
  <report_Sheet2 xmlns="">
    <settings>
      <time>
        <dimension>PERIODID3</dimension>
        <rolling>false</rolling>
        <realTime>false</realTime>
        <fromAbsolute>70616</fromAbsolute>
        <toAbsolute>70626</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s>
          <relations/>
        </condition>
        <condition>
          <dimension>LOCID</dimension>
          <operator>EQ</operator>
          <values>
            <value>HD_DC_CA_E</value>
          </values>
          <relations/>
        </condition>
      </conditions>
    </filter>
  </report_Sheet2>
  <report_Sheet5 xmlns="">
    <settings>
      <time>
        <dimension>PERIODID3</dimension>
        <rolling>true</rolling>
        <realTime>false</realTime>
        <fromAbsolute/>
        <toAbsolute/>
        <fromRelative>-12</fromRelative>
        <toRelative>-2</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HT_003</value>
          </values>
          <relations/>
        </condition>
        <condition>
          <dimension>RBPLANSTATUS</dimension>
          <operator>EQ</operator>
          <values>
            <value>Open</value>
          </values>
          <relations/>
        </condition>
      </conditions>
    </filter>
  </report_Sheet5>
</config>
</file>

<file path=customXml/itemProps1.xml><?xml version="1.0" encoding="utf-8"?>
<ds:datastoreItem xmlns:ds="http://schemas.openxmlformats.org/officeDocument/2006/customXml" ds:itemID="{FD996A8A-D0B3-430C-B8B5-980FD34E90B0}">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2023-08-16T13:30:49Z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59ea6f08-e151-480b-ba3b-50ce7b9310f3</vt:lpwstr>
  </property>
</Properties>
</file>