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omments1.xml" ContentType="application/vnd.openxmlformats-officedocument.spreadsheetml.comment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customProperty6.bin" ContentType="application/vnd.openxmlformats-officedocument.spreadsheetml.customProperty"/>
  <Override PartName="/xl/customProperty7.bin" ContentType="application/vnd.openxmlformats-officedocument.spreadsheetml.customProperty"/>
  <Override PartName="/xl/drawings/drawing3.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sap-my.sharepoint.com/personal/julia_votteler_sap_com/Documents/Excel UI/Doku/VBA Enhancements/VBA Samples/Samples for SAP IBP APIs released with 2205.2.0/1.4_Combination-Based Planning with Changing the Status/"/>
    </mc:Choice>
  </mc:AlternateContent>
  <xr:revisionPtr revIDLastSave="353" documentId="6_{DA9703FA-074B-4189-AB52-F169DC9C0D9E}" xr6:coauthVersionLast="47" xr6:coauthVersionMax="47" xr10:uidLastSave="{DC1ADF67-4F9D-4290-A888-AF50BF7DEBF1}"/>
  <bookViews>
    <workbookView xWindow="-103" yWindow="-103" windowWidth="22149" windowHeight="11949" tabRatio="374" firstSheet="1" activeTab="1" xr2:uid="{00000000-000D-0000-FFFF-FFFF00000000}"/>
  </bookViews>
  <sheets>
    <sheet name="IBPFormattingSheet" sheetId="7" state="hidden" r:id="rId1"/>
    <sheet name="Planning" sheetId="5" r:id="rId2"/>
    <sheet name="List" sheetId="9" r:id="rId3"/>
  </sheets>
  <definedNames>
    <definedName name="__FPMExcelClient_CellBasedFunctionStatus" localSheetId="2" hidden="1">"2_1_2_2_2_2"</definedName>
    <definedName name="__FPMExcelClient_CellBasedFunctionStatus" localSheetId="1" hidden="1">"2_1_2_2_2_2"</definedName>
    <definedName name="__FPMExcelClient_Connection" localSheetId="2">"{A63CB8EE-6674-452e-ACA5-65D5174D689E}_[https://pt6-001.wdf.sap.corp/sap/sop/sopfnd/services/addin/excel/]_[SOP]_[RBSAP6]_[]_[]_[false]_[True]\1"</definedName>
    <definedName name="__FPMExcelClient_Connection" localSheetId="1">"{A63CB8EE-6674-452e-ACA5-65D5174D689E}_[https://pt6-001.wdf.sap.corp/sap/sop/sopfnd/services/addin/excel/]_[SOP]_[RBSAP6]_[]_[]_[false]_[True]\1"</definedName>
    <definedName name="_xlnm._FilterDatabase" localSheetId="2" hidden="1">List!$A$1:$V$11</definedName>
    <definedName name="_xlnm._FilterDatabase" localSheetId="1" hidden="1">Planning!$A$4:$V$11</definedName>
    <definedName name="_SOP">2</definedName>
    <definedName name="AddDimension" localSheetId="0" hidden="1">IBPFormattingSheet!#REF!</definedName>
    <definedName name="AddLevelFirst" localSheetId="0" hidden="1">IBPFormattingSheet!$A$2</definedName>
    <definedName name="AddLevelSecond" localSheetId="0" hidden="1">IBPFormattingSheet!#REF!</definedName>
    <definedName name="AddMemberFirst" localSheetId="0" hidden="1">IBPFormattingSheet!$D$61</definedName>
    <definedName name="AddMemberFirst_1" localSheetId="0" hidden="1">IBPFormattingSheet!$D$59</definedName>
    <definedName name="AddMemberSecond" localSheetId="0" hidden="1">IBPFormattingSheet!$D$40</definedName>
    <definedName name="DataFirst" localSheetId="0" hidden="1">IBPFormattingSheet!$E$43:$G$43</definedName>
    <definedName name="DataSecond" localSheetId="0" hidden="1">IBPFormattingSheet!$E$76:$G$76</definedName>
    <definedName name="DataUseFirst" localSheetId="0" hidden="1">IBPFormattingSheet!$H$43</definedName>
    <definedName name="DataUseSecond" localSheetId="0" hidden="1">IBPFormattingSheet!$H$76</definedName>
    <definedName name="EPMWorkbookOptions_1" hidden="1">"TgEAAB+LCAAAAAAABACFkE0LgkAQhu9B/2HZe64WdBA/DnUJEgOhuk466qLtxu7W+vOTwiI9dH3meWeGN4i7a0seqDSXIqSe41KCIpcFF1VI76ZceGsaR/NZcJKquUjZpDfTq5r0OaH9TvOQ1sbcfMastY5dOVJVbOm6Hjsn+yyv8QoLLrQBkSP9pIr/KdpfJSTYtAhqCwZSkcEDoxJajQEb45c7/HhQ0mBusBjs6eDXtwVhb7TTR1AcLi0m"</definedName>
    <definedName name="EPMWorkbookOptions_2" hidden="1">"qKrvhgnvK2GjTqInXuXyk04BAAA="</definedName>
    <definedName name="EvenDataFirst" localSheetId="0" hidden="1">IBPFormattingSheet!$F$73</definedName>
    <definedName name="EvenDataSecond" localSheetId="0" hidden="1">IBPFormattingSheet!$F$81</definedName>
    <definedName name="EvenDataUseFirst" localSheetId="0" hidden="1">IBPFormattingSheet!$H$73</definedName>
    <definedName name="EvenDataUseSecond" localSheetId="0" hidden="1">IBPFormattingSheet!$H$81</definedName>
    <definedName name="EvenHeaderFirst" localSheetId="0" hidden="1">IBPFormattingSheet!$J$73</definedName>
    <definedName name="EvenHeaderSecond" localSheetId="0" hidden="1">IBPFormattingSheet!$J$81</definedName>
    <definedName name="EvenHeaderUseFirst" localSheetId="0" hidden="1">IBPFormattingSheet!$L$73</definedName>
    <definedName name="EvenHeaderUseSecond" localSheetId="0" hidden="1">IBPFormattingSheet!$L$81</definedName>
    <definedName name="HeaderFirst" localSheetId="0" hidden="1">IBPFormattingSheet!$I$43:$K$43</definedName>
    <definedName name="HeaderSecond" localSheetId="0" hidden="1">IBPFormattingSheet!$I$76:$K$76</definedName>
    <definedName name="HeaderSmallGrid" localSheetId="0" hidden="1">IBPFormattingSheet!$A$1</definedName>
    <definedName name="HeaderUseFirst" localSheetId="0" hidden="1">IBPFormattingSheet!$L$43</definedName>
    <definedName name="HeaderUseSecond" localSheetId="0" hidden="1">IBPFormattingSheet!$L$76</definedName>
    <definedName name="HeaderUseSmallGrid" localSheetId="0" hidden="1">IBPFormattingSheet!$A$1</definedName>
    <definedName name="IBP_Migrated" localSheetId="0">TRUE</definedName>
    <definedName name="IBPClientFormattingSheet" localSheetId="0" hidden="1">"3_2"</definedName>
    <definedName name="LevelEndBlock" localSheetId="0" hidden="1">IBPFormattingSheet!$B$19</definedName>
    <definedName name="LevelFirstBlock" localSheetId="0" hidden="1">IBPFormattingSheet!$B$13:$B$18</definedName>
    <definedName name="LevelFirstDataDefault" localSheetId="0" hidden="1">IBPFormattingSheet!$F$17</definedName>
    <definedName name="LevelFirstDataLeaf" localSheetId="0" hidden="1">IBPFormattingSheet!#REF!</definedName>
    <definedName name="LevelFirstDataLevel_1" localSheetId="0" hidden="1">IBPFormattingSheet!#REF!</definedName>
    <definedName name="LevelFirstDataLevel_2" localSheetId="0" hidden="1">IBPFormattingSheet!#REF!</definedName>
    <definedName name="LevelFirstDataLevel_3" localSheetId="0" hidden="1">IBPFormattingSheet!#REF!</definedName>
    <definedName name="LevelFirstDataUseDefault" localSheetId="0" hidden="1">IBPFormattingSheet!$H$17</definedName>
    <definedName name="LevelFirstDataUseLeaf" localSheetId="0" hidden="1">IBPFormattingSheet!#REF!</definedName>
    <definedName name="LevelFirstDataUseLevel_1" localSheetId="0" hidden="1">IBPFormattingSheet!#REF!</definedName>
    <definedName name="LevelFirstDataUseLevel_2" localSheetId="0" hidden="1">IBPFormattingSheet!#REF!</definedName>
    <definedName name="LevelFirstDataUseLevel_3" localSheetId="0" hidden="1">IBPFormattingSheet!#REF!</definedName>
    <definedName name="LevelFirstHeaderDefault" localSheetId="0" hidden="1">IBPFormattingSheet!$J$17</definedName>
    <definedName name="LevelFirstHeaderLeaf" localSheetId="0" hidden="1">IBPFormattingSheet!#REF!</definedName>
    <definedName name="LevelFirstHeaderLevel_1" localSheetId="0" hidden="1">IBPFormattingSheet!#REF!</definedName>
    <definedName name="LevelFirstHeaderLevel_2" localSheetId="0" hidden="1">IBPFormattingSheet!#REF!</definedName>
    <definedName name="LevelFirstHeaderLevel_3" localSheetId="0" hidden="1">IBPFormattingSheet!#REF!</definedName>
    <definedName name="LevelFirstHeaderUseDefault" localSheetId="0" hidden="1">IBPFormattingSheet!$L$17</definedName>
    <definedName name="LevelFirstHeaderUseLeaf" localSheetId="0" hidden="1">IBPFormattingSheet!#REF!</definedName>
    <definedName name="LevelFirstHeaderUseLevel_1" localSheetId="0" hidden="1">IBPFormattingSheet!#REF!</definedName>
    <definedName name="LevelFirstHeaderUseLevel_2" localSheetId="0" hidden="1">IBPFormattingSheet!#REF!</definedName>
    <definedName name="LevelFirstHeaderUseLevel_3" localSheetId="0" hidden="1">IBPFormattingSheet!#REF!</definedName>
    <definedName name="LevelSecondBlock" localSheetId="0" hidden="1">IBPFormattingSheet!$B$7:$B$12</definedName>
    <definedName name="LevelSecondDataDefault" localSheetId="0" hidden="1">IBPFormattingSheet!$F$11</definedName>
    <definedName name="LevelSecondDataLeaf" localSheetId="0" hidden="1">IBPFormattingSheet!#REF!</definedName>
    <definedName name="LevelSecondDataLevel_1" localSheetId="0" hidden="1">IBPFormattingSheet!#REF!</definedName>
    <definedName name="LevelSecondDataLevel_2" localSheetId="0" hidden="1">IBPFormattingSheet!#REF!</definedName>
    <definedName name="LevelSecondDataLevel_3" localSheetId="0" hidden="1">IBPFormattingSheet!#REF!</definedName>
    <definedName name="LevelSecondDataUseDefault" localSheetId="0" hidden="1">IBPFormattingSheet!$H$11</definedName>
    <definedName name="LevelSecondDataUseLeaf" localSheetId="0" hidden="1">IBPFormattingSheet!#REF!</definedName>
    <definedName name="LevelSecondDataUseLevel_1" localSheetId="0" hidden="1">IBPFormattingSheet!#REF!</definedName>
    <definedName name="LevelSecondDataUseLevel_2" localSheetId="0" hidden="1">IBPFormattingSheet!#REF!</definedName>
    <definedName name="LevelSecondDataUseLevel_3" localSheetId="0" hidden="1">IBPFormattingSheet!#REF!</definedName>
    <definedName name="LevelSecondHeaderDefault" localSheetId="0" hidden="1">IBPFormattingSheet!$J$11</definedName>
    <definedName name="LevelSecondHeaderLeaf" localSheetId="0" hidden="1">IBPFormattingSheet!#REF!</definedName>
    <definedName name="LevelSecondHeaderLevel_1" localSheetId="0" hidden="1">IBPFormattingSheet!#REF!</definedName>
    <definedName name="LevelSecondHeaderLevel_2" localSheetId="0" hidden="1">IBPFormattingSheet!#REF!</definedName>
    <definedName name="LevelSecondHeaderLevel_3" localSheetId="0" hidden="1">IBPFormattingSheet!#REF!</definedName>
    <definedName name="LevelSecondHeaderUseDefault" localSheetId="0" hidden="1">IBPFormattingSheet!$L$11</definedName>
    <definedName name="LevelSecondHeaderUseLeaf" localSheetId="0" hidden="1">IBPFormattingSheet!#REF!</definedName>
    <definedName name="LevelSecondHeaderUseLevel_1" localSheetId="0" hidden="1">IBPFormattingSheet!#REF!</definedName>
    <definedName name="LevelSecondHeaderUseLevel_2" localSheetId="0" hidden="1">IBPFormattingSheet!#REF!</definedName>
    <definedName name="LevelSecondHeaderUseLevel_3" localSheetId="0" hidden="1">IBPFormattingSheet!#REF!</definedName>
    <definedName name="MemberEndBlock" localSheetId="0" hidden="1">IBPFormattingSheet!$B$63</definedName>
    <definedName name="MemberFirstBlock" localSheetId="0" hidden="1">IBPFormattingSheet!$B$42:$B$62</definedName>
    <definedName name="MemberFirstDataCalculated" localSheetId="0" hidden="1">IBPFormattingSheet!$F$45</definedName>
    <definedName name="MemberFirstDataChanged" localSheetId="0" hidden="1">IBPFormattingSheet!$F$54</definedName>
    <definedName name="MemberFirstDataCustom" localSheetId="0" hidden="1">IBPFormattingSheet!#REF!</definedName>
    <definedName name="MemberFirstDataInputable" localSheetId="0" hidden="1">IBPFormattingSheet!$F$48</definedName>
    <definedName name="MemberFirstDataItem_1" localSheetId="0" hidden="1">IBPFormattingSheet!$F$59</definedName>
    <definedName name="MemberFirstDataLocal" localSheetId="0" hidden="1">IBPFormattingSheet!$F$51</definedName>
    <definedName name="MemberFirstDataUseCalculated" localSheetId="0" hidden="1">IBPFormattingSheet!$H$45</definedName>
    <definedName name="MemberFirstDataUseChanged" localSheetId="0" hidden="1">IBPFormattingSheet!$H$54</definedName>
    <definedName name="MemberFirstDataUseCustom" localSheetId="0" hidden="1">IBPFormattingSheet!#REF!</definedName>
    <definedName name="MemberFirstDataUseInputable" localSheetId="0" hidden="1">IBPFormattingSheet!$H$48</definedName>
    <definedName name="MemberFirstDataUseItem_1" localSheetId="0" hidden="1">IBPFormattingSheet!$H$59</definedName>
    <definedName name="MemberFirstDataUseLocal" localSheetId="0" hidden="1">IBPFormattingSheet!$H$51</definedName>
    <definedName name="MemberFirstHeaderCalculated" localSheetId="0" hidden="1">IBPFormattingSheet!$J$45</definedName>
    <definedName name="MemberFirstHeaderChanged" localSheetId="0" hidden="1">IBPFormattingSheet!$J$54</definedName>
    <definedName name="MemberFirstHeaderCustom" localSheetId="0" hidden="1">IBPFormattingSheet!#REF!</definedName>
    <definedName name="MemberFirstHeaderInputable" localSheetId="0" hidden="1">IBPFormattingSheet!$J$48</definedName>
    <definedName name="MemberFirstHeaderItem_1" localSheetId="0" hidden="1">IBPFormattingSheet!$J$59</definedName>
    <definedName name="MemberFirstHeaderLocal" localSheetId="0" hidden="1">IBPFormattingSheet!$J$51</definedName>
    <definedName name="MemberFirstHeaderUseCalculated" localSheetId="0" hidden="1">IBPFormattingSheet!$L$45</definedName>
    <definedName name="MemberFirstHeaderUseChanged" localSheetId="0" hidden="1">IBPFormattingSheet!$L$54</definedName>
    <definedName name="MemberFirstHeaderUseCustom" localSheetId="0" hidden="1">IBPFormattingSheet!#REF!</definedName>
    <definedName name="MemberFirstHeaderUseInputable" localSheetId="0" hidden="1">IBPFormattingSheet!$L$48</definedName>
    <definedName name="MemberFirstHeaderUseItem_1" localSheetId="0" hidden="1">IBPFormattingSheet!$L$59</definedName>
    <definedName name="MemberFirstHeaderUseLocal" localSheetId="0" hidden="1">IBPFormattingSheet!$L$51</definedName>
    <definedName name="MemberSecondBlock" localSheetId="0" hidden="1">IBPFormattingSheet!$B$24:$B$41</definedName>
    <definedName name="MemberSecondDataCalculated" localSheetId="0" hidden="1">IBPFormattingSheet!$F$27</definedName>
    <definedName name="MemberSecondDataChanged" localSheetId="0" hidden="1">IBPFormattingSheet!$F$36</definedName>
    <definedName name="MemberSecondDataCustom" localSheetId="0" hidden="1">IBPFormattingSheet!#REF!</definedName>
    <definedName name="MemberSecondDataInputable" localSheetId="0" hidden="1">IBPFormattingSheet!$F$30</definedName>
    <definedName name="MemberSecondDataLocal" localSheetId="0" hidden="1">IBPFormattingSheet!$F$33</definedName>
    <definedName name="MemberSecondDataUseCalculated" localSheetId="0" hidden="1">IBPFormattingSheet!$H$27</definedName>
    <definedName name="MemberSecondDataUseChanged" localSheetId="0" hidden="1">IBPFormattingSheet!$H$36</definedName>
    <definedName name="MemberSecondDataUseCustom" localSheetId="0" hidden="1">IBPFormattingSheet!#REF!</definedName>
    <definedName name="MemberSecondDataUseInputable" localSheetId="0" hidden="1">IBPFormattingSheet!$H$30</definedName>
    <definedName name="MemberSecondDataUseLocal" localSheetId="0" hidden="1">IBPFormattingSheet!$H$33</definedName>
    <definedName name="MemberSecondHeaderCalculated" localSheetId="0" hidden="1">IBPFormattingSheet!$J$27</definedName>
    <definedName name="MemberSecondHeaderChanged" localSheetId="0" hidden="1">IBPFormattingSheet!$J$36</definedName>
    <definedName name="MemberSecondHeaderCustom" localSheetId="0" hidden="1">IBPFormattingSheet!#REF!</definedName>
    <definedName name="MemberSecondHeaderInputable" localSheetId="0" hidden="1">IBPFormattingSheet!$J$30</definedName>
    <definedName name="MemberSecondHeaderLocal" localSheetId="0" hidden="1">IBPFormattingSheet!$J$33</definedName>
    <definedName name="MemberSecondHeaderUseCalculated" localSheetId="0" hidden="1">IBPFormattingSheet!$L$27</definedName>
    <definedName name="MemberSecondHeaderUseChanged" localSheetId="0" hidden="1">IBPFormattingSheet!$L$36</definedName>
    <definedName name="MemberSecondHeaderUseCustom" localSheetId="0" hidden="1">IBPFormattingSheet!#REF!</definedName>
    <definedName name="MemberSecondHeaderUseInputable" localSheetId="0" hidden="1">IBPFormattingSheet!$L$30</definedName>
    <definedName name="MemberSecondHeaderUseLocal" localSheetId="0" hidden="1">IBPFormattingSheet!$L$33</definedName>
    <definedName name="OddDataFirst" localSheetId="0" hidden="1">IBPFormattingSheet!$F$70</definedName>
    <definedName name="OddDataSecond" localSheetId="0" hidden="1">IBPFormattingSheet!$F$78</definedName>
    <definedName name="OddDataUseFirst" localSheetId="0" hidden="1">IBPFormattingSheet!$H$70</definedName>
    <definedName name="OddDataUseSecond" localSheetId="0" hidden="1">IBPFormattingSheet!$H$78</definedName>
    <definedName name="OddEvenEndBlock" localSheetId="0" hidden="1">IBPFormattingSheet!$B$83</definedName>
    <definedName name="OddEvenFirstBlock" localSheetId="0" hidden="1">IBPFormattingSheet!$B$67:$B$74</definedName>
    <definedName name="OddEvenSecondBlock" localSheetId="0" hidden="1">IBPFormattingSheet!$B$75:$B$82</definedName>
    <definedName name="OddHeaderFirst" localSheetId="0" hidden="1">IBPFormattingSheet!$J$70</definedName>
    <definedName name="OddHeaderSecond" localSheetId="0" hidden="1">IBPFormattingSheet!$J$78</definedName>
    <definedName name="OddHeaderUseFirst" localSheetId="0" hidden="1">IBPFormattingSheet!$L$70</definedName>
    <definedName name="OddHeaderUseSecond" localSheetId="0" hidden="1">IBPFormattingSheet!$L$78</definedName>
    <definedName name="PageHeaderDefaultHeader" localSheetId="0" hidden="1">IBPFormattingSheet!#REF!</definedName>
    <definedName name="PageHeaderDefaultHeaderUse" localSheetId="0" hidden="1">IBPFormattingSheet!#REF!</definedName>
    <definedName name="RemoveLevelFirst" localSheetId="0" hidden="1">IBPFormattingSheet!#REF!</definedName>
    <definedName name="RemoveLevelSecond" localSheetId="0" hidden="1">IBPFormattingSheet!#REF!</definedName>
    <definedName name="SOP_Connection_Name">"System ID"</definedName>
    <definedName name="SOP_CurrencyToID" localSheetId="2">"EUR"</definedName>
    <definedName name="SOP_CurrencyToID" localSheetId="1">"EUR"</definedName>
    <definedName name="SOP_CURRTOID" localSheetId="2">"EUR"</definedName>
    <definedName name="SOP_CURRTOID" localSheetId="1">"EUR"</definedName>
    <definedName name="SOP_Favorite_Name">"Combination-based Planning with Status"</definedName>
    <definedName name="SOP_Filter" localSheetId="2">{"Product ID = HT_002; HT_003","Status of the Planning = Open"}</definedName>
    <definedName name="SOP_Filter" localSheetId="1">{"Product ID = HT_002","Location ID = HD_DC_CA_E"}</definedName>
    <definedName name="SOP_Filter">{" "}</definedName>
    <definedName name="SOP_Filter_Criteria_Count" localSheetId="2">2</definedName>
    <definedName name="SOP_Filter_Criteria_Count" localSheetId="1">2</definedName>
    <definedName name="SOP_Filter_Name" localSheetId="2">"(Ad Hoc Filter)"</definedName>
    <definedName name="SOP_Filter_Name" localSheetId="1">"(Ad Hoc Filter)"</definedName>
    <definedName name="SOP_Heading1" localSheetId="2">"Key Figure"</definedName>
    <definedName name="SOP_Heading1" localSheetId="1">"Key Figure"</definedName>
    <definedName name="SOP_Heading10" localSheetId="2">" "</definedName>
    <definedName name="SOP_Heading10" localSheetId="1">" "</definedName>
    <definedName name="SOP_Heading11" localSheetId="2">" "</definedName>
    <definedName name="SOP_Heading11" localSheetId="1">" "</definedName>
    <definedName name="SOP_Heading12" localSheetId="2">" "</definedName>
    <definedName name="SOP_Heading12" localSheetId="1">" "</definedName>
    <definedName name="SOP_Heading13" localSheetId="2">" "</definedName>
    <definedName name="SOP_Heading13" localSheetId="1">" "</definedName>
    <definedName name="SOP_Heading14" localSheetId="2">" "</definedName>
    <definedName name="SOP_Heading14" localSheetId="1">" "</definedName>
    <definedName name="SOP_Heading15" localSheetId="2">" "</definedName>
    <definedName name="SOP_Heading15" localSheetId="1">" "</definedName>
    <definedName name="SOP_Heading2" localSheetId="2">"Location ID"</definedName>
    <definedName name="SOP_Heading2" localSheetId="1">"Location ID"</definedName>
    <definedName name="SOP_Heading3" localSheetId="2">"Product ID"</definedName>
    <definedName name="SOP_Heading3" localSheetId="1">"Product ID"</definedName>
    <definedName name="SOP_Heading4" localSheetId="2">" "</definedName>
    <definedName name="SOP_Heading4" localSheetId="1">" "</definedName>
    <definedName name="SOP_Heading5" localSheetId="2">" "</definedName>
    <definedName name="SOP_Heading5" localSheetId="1">" "</definedName>
    <definedName name="SOP_Heading6" localSheetId="2">" "</definedName>
    <definedName name="SOP_Heading6" localSheetId="1">" "</definedName>
    <definedName name="SOP_Heading7" localSheetId="2">" "</definedName>
    <definedName name="SOP_Heading7" localSheetId="1">" "</definedName>
    <definedName name="SOP_Heading8" localSheetId="2">" "</definedName>
    <definedName name="SOP_Heading8" localSheetId="1">" "</definedName>
    <definedName name="SOP_Heading9" localSheetId="2">" "</definedName>
    <definedName name="SOP_Heading9" localSheetId="1">" "</definedName>
    <definedName name="SOP_Planning_Area">"SAP6"</definedName>
    <definedName name="SOP_Planning_Scope">"29.04.2022 - 31.12.2023 | Baseline | Base Version"</definedName>
    <definedName name="SOP_Refresh_Timestamp">44680.6094907407</definedName>
    <definedName name="SOP_TargetCurrency" localSheetId="2">"EUR"</definedName>
    <definedName name="SOP_TargetCurrency" localSheetId="1">"EUR"</definedName>
    <definedName name="SOP_TargetUoM" localSheetId="2">"PC"</definedName>
    <definedName name="SOP_TargetUoM" localSheetId="1">"PC"</definedName>
    <definedName name="SOP_Template_Name">"template name"</definedName>
    <definedName name="SOP_UOMToID" localSheetId="2">"PC"</definedName>
    <definedName name="SOP_UOMToID" localSheetId="1">"PC"</definedName>
    <definedName name="SOP_Value_Based_Filter" localSheetId="2">{" "}</definedName>
    <definedName name="SOP_Value_Based_Filter" localSheetId="1">{" "}</definedName>
    <definedName name="SOP_Value_Based_Filter_Name" localSheetId="2">"(None)"</definedName>
    <definedName name="SOP_Value_Based_Filter_Name" localSheetId="1">"(None)"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1" i="5" l="1"/>
  <c r="H5" i="5"/>
  <c r="I5" i="5"/>
  <c r="J5" i="5"/>
  <c r="J10" i="5"/>
  <c r="J7" i="5"/>
  <c r="J9" i="5"/>
  <c r="P4" i="5"/>
  <c r="Q4" i="5"/>
  <c r="R4" i="5"/>
  <c r="K4" i="5"/>
  <c r="S4" i="5"/>
  <c r="L4" i="5"/>
  <c r="T4" i="5"/>
  <c r="M4" i="5"/>
  <c r="U4" i="5"/>
  <c r="N4" i="5"/>
  <c r="O4" i="5"/>
  <c r="I5" i="9"/>
  <c r="J8" i="9"/>
  <c r="I9" i="9"/>
  <c r="I6" i="9"/>
  <c r="I4" i="9"/>
  <c r="J4" i="9"/>
  <c r="J5" i="9"/>
  <c r="J9" i="9"/>
  <c r="I8" i="9"/>
  <c r="J6" i="9"/>
  <c r="I10" i="9"/>
  <c r="H7" i="9"/>
  <c r="J10" i="9"/>
  <c r="H4" i="9"/>
  <c r="I7" i="9"/>
  <c r="J7" i="9"/>
  <c r="N3" i="9"/>
  <c r="O3" i="9"/>
  <c r="S3" i="9"/>
  <c r="T3" i="9"/>
  <c r="P3" i="9"/>
  <c r="M3" i="9"/>
  <c r="Q3" i="9"/>
  <c r="R3" i="9"/>
  <c r="K3" i="9"/>
  <c r="L3" i="9"/>
  <c r="U3" i="9"/>
  <c r="A2" i="5" l="1"/>
  <c r="J3" i="9" l="1"/>
  <c r="H3" i="9"/>
  <c r="I3" i="9"/>
  <c r="A3" i="9"/>
  <c r="B3" i="9"/>
  <c r="C3" i="9"/>
  <c r="D3" i="9"/>
  <c r="E3" i="9"/>
  <c r="F3" i="9"/>
  <c r="G3" i="9"/>
  <c r="A2" i="9"/>
  <c r="K2" i="9"/>
  <c r="K1" i="9"/>
  <c r="J4" i="5"/>
  <c r="H4" i="5"/>
  <c r="I4" i="5"/>
  <c r="A4" i="5"/>
  <c r="B4" i="5"/>
  <c r="C4" i="5"/>
  <c r="D4" i="5"/>
  <c r="E4" i="5"/>
  <c r="F4" i="5"/>
  <c r="G4" i="5"/>
  <c r="K2" i="5"/>
  <c r="Q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Rabel, Balazs</author>
  </authors>
  <commentList>
    <comment ref="D59" authorId="0" shapeId="0" xr:uid="{ED5824A3-757A-4C83-8EA0-EC585C489C8E}">
      <text>
        <r>
          <rPr>
            <sz val="9"/>
            <color indexed="81"/>
            <rFont val="Tahoma"/>
            <family val="2"/>
          </rPr>
          <t>#NEW_TOTALMEMBER</t>
        </r>
      </text>
    </comment>
  </commentList>
</comments>
</file>

<file path=xl/sharedStrings.xml><?xml version="1.0" encoding="utf-8"?>
<sst xmlns="http://schemas.openxmlformats.org/spreadsheetml/2006/main" count="109" uniqueCount="36">
  <si>
    <t>Note: The format settings in lower sections overrides the ones in upper section if there are conflicts.</t>
  </si>
  <si>
    <t>Data</t>
  </si>
  <si>
    <t>Use</t>
  </si>
  <si>
    <t>Header</t>
  </si>
  <si>
    <t>Row</t>
  </si>
  <si>
    <t>Default Format</t>
  </si>
  <si>
    <t>All</t>
  </si>
  <si>
    <t>Label</t>
  </si>
  <si>
    <t>Column</t>
  </si>
  <si>
    <t>Dimension Member/Property Formatting</t>
  </si>
  <si>
    <t>Local Member Default Format</t>
  </si>
  <si>
    <t>Changed Member Default Format</t>
  </si>
  <si>
    <t>Formatting on Specific Member/Property:</t>
  </si>
  <si>
    <t>Row and Column Banding</t>
  </si>
  <si>
    <t>Odd Formatting</t>
  </si>
  <si>
    <t>Even Formatting</t>
  </si>
  <si>
    <t>Help</t>
  </si>
  <si>
    <t>Formatting and "Use" Column:</t>
  </si>
  <si>
    <t xml:space="preserve">In the "1000" and "Label" cells, define the format you want by using the standard Microsoft Office Excel cell formatting functions._x000D_
By default, all the format settings are applied and "ALL" is displayed in the "Use" column._x000D_
_x000D_
You can then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</si>
  <si>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Priority to Row or Column</t>
  </si>
  <si>
    <t>None</t>
  </si>
  <si>
    <t>Pattern</t>
  </si>
  <si>
    <t>FontColorIndex | Pattern</t>
  </si>
  <si>
    <t>Version_1_1</t>
  </si>
  <si>
    <t>Balazs EPM Formatting Sheet Demo</t>
  </si>
  <si>
    <t>Default Formatting</t>
  </si>
  <si>
    <t>Default Format for Non-Editable Cells</t>
  </si>
  <si>
    <t>Default Format for Editable Cells</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</si>
  <si>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</si>
  <si>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Total Member</t>
  </si>
  <si>
    <t>FontBold</t>
  </si>
  <si>
    <t xml:space="preserve">Integrated Business Planning
</t>
  </si>
  <si>
    <t>Consensus Demand</t>
  </si>
  <si>
    <t>Delivered Qty Adjusted</t>
  </si>
  <si>
    <t>Actuals Price</t>
  </si>
  <si>
    <t xml:space="preserve"> Combination-based Planning with 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</si>
</sst>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sz val="10"/>
      <name val="Arial"/>
      <family val="2"/>
    </font>
    <font>
      <sz val="8"/>
      <color rgb="FF000000"/>
      <name val="Tahoma"/>
      <family val="2"/>
    </font>
    <font>
      <sz val="11"/>
      <color rgb="FF000000"/>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sz val="11"/>
      <color rgb="FF000000"/>
      <name val="Calibri"/>
      <family val="2"/>
      <scheme val="minor"/>
    </font>
    <font>
      <b/>
      <sz val="16"/>
      <color theme="0" tint="-4.9989318521683403E-2"/>
      <name val="Calibri"/>
      <family val="2"/>
      <scheme val="minor"/>
    </font>
  </fonts>
  <fills count="13">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FFFFFF"/>
        <bgColor indexed="64"/>
      </patternFill>
    </fill>
  </fills>
  <borders count="39">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auto="1"/>
      </bottom>
      <diagonal/>
    </border>
    <border>
      <left style="thin">
        <color indexed="64"/>
      </left>
      <right style="thin">
        <color indexed="64"/>
      </right>
      <top/>
      <bottom style="medium">
        <color auto="1"/>
      </bottom>
      <diagonal/>
    </border>
    <border>
      <left/>
      <right/>
      <top/>
      <bottom style="medium">
        <color auto="1"/>
      </bottom>
      <diagonal/>
    </border>
    <border>
      <left/>
      <right style="thin">
        <color indexed="64"/>
      </right>
      <top/>
      <bottom style="medium">
        <color auto="1"/>
      </bottom>
      <diagonal/>
    </border>
    <border>
      <left/>
      <right style="medium">
        <color indexed="64"/>
      </right>
      <top/>
      <bottom style="medium">
        <color auto="1"/>
      </bottom>
      <diagonal/>
    </border>
  </borders>
  <cellStyleXfs count="2">
    <xf numFmtId="0" fontId="0" fillId="0" borderId="0"/>
    <xf numFmtId="0" fontId="15" fillId="8" borderId="0" applyNumberFormat="0" applyBorder="0" applyAlignment="0" applyProtection="0"/>
  </cellStyleXfs>
  <cellXfs count="104">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0"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1" borderId="0" xfId="0" applyFont="1" applyFill="1" applyBorder="1" applyAlignment="1">
      <alignment horizontal="center"/>
    </xf>
    <xf numFmtId="0" fontId="1" fillId="0" borderId="0" xfId="0" applyFont="1" applyFill="1" applyBorder="1" applyAlignment="1" applyProtection="1">
      <alignment horizontal="right" vertical="center"/>
      <protection locked="0"/>
    </xf>
    <xf numFmtId="0" fontId="1" fillId="0" borderId="0" xfId="0" applyFont="1" applyFill="1" applyBorder="1" applyAlignment="1" applyProtection="1">
      <alignment horizontal="left" vertical="center"/>
      <protection locked="0"/>
    </xf>
    <xf numFmtId="0" fontId="1" fillId="0" borderId="19" xfId="0" applyFont="1" applyBorder="1" applyAlignment="1" applyProtection="1">
      <alignment horizontal="left" vertical="center"/>
      <protection locked="0"/>
    </xf>
    <xf numFmtId="0" fontId="1" fillId="0" borderId="25" xfId="0" applyFont="1" applyBorder="1" applyAlignment="1">
      <alignment horizontal="center"/>
    </xf>
    <xf numFmtId="0" fontId="1" fillId="0" borderId="26" xfId="0" applyFont="1" applyBorder="1" applyAlignment="1">
      <alignment horizontal="center"/>
    </xf>
    <xf numFmtId="0" fontId="1" fillId="0" borderId="27" xfId="0" applyFont="1" applyBorder="1" applyAlignment="1">
      <alignment horizontal="center"/>
    </xf>
    <xf numFmtId="0" fontId="1" fillId="0" borderId="29" xfId="0" applyFont="1" applyBorder="1" applyAlignment="1">
      <alignment horizontal="center"/>
    </xf>
    <xf numFmtId="0" fontId="1" fillId="0" borderId="32" xfId="0" applyFont="1" applyBorder="1" applyAlignment="1">
      <alignment horizontal="center"/>
    </xf>
    <xf numFmtId="0" fontId="1" fillId="1" borderId="25" xfId="0" applyFont="1" applyFill="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9" fillId="0" borderId="0"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3" fontId="13" fillId="7" borderId="0" xfId="0" applyNumberFormat="1" applyFont="1" applyFill="1" applyBorder="1" applyAlignment="1" applyProtection="1">
      <alignment horizontal="right" vertical="center"/>
      <protection locked="0"/>
    </xf>
    <xf numFmtId="0" fontId="0" fillId="6" borderId="0" xfId="0" applyFill="1"/>
    <xf numFmtId="0" fontId="15" fillId="10" borderId="0" xfId="0" applyFont="1" applyFill="1" applyBorder="1"/>
    <xf numFmtId="0" fontId="0" fillId="11" borderId="0" xfId="0" applyFill="1"/>
    <xf numFmtId="3" fontId="13" fillId="9" borderId="0" xfId="0" applyNumberFormat="1" applyFont="1" applyFill="1" applyBorder="1" applyAlignment="1" applyProtection="1">
      <alignment horizontal="right" vertical="center"/>
      <protection locked="0"/>
    </xf>
    <xf numFmtId="3" fontId="14" fillId="0" borderId="0" xfId="0" applyNumberFormat="1" applyFont="1" applyFill="1" applyBorder="1" applyAlignment="1" applyProtection="1">
      <alignment horizontal="right" vertical="center"/>
      <protection locked="0"/>
    </xf>
    <xf numFmtId="0" fontId="4" fillId="0" borderId="9" xfId="0" applyFont="1" applyBorder="1" applyAlignment="1">
      <alignment horizontal="left" vertical="center"/>
    </xf>
    <xf numFmtId="0" fontId="16" fillId="0" borderId="0" xfId="0" quotePrefix="1" applyFont="1" applyBorder="1" applyAlignment="1">
      <alignment horizontal="left" vertical="center"/>
    </xf>
    <xf numFmtId="0" fontId="12" fillId="11" borderId="0" xfId="0" applyFont="1" applyFill="1" applyBorder="1" applyAlignment="1" applyProtection="1">
      <alignment horizontal="right" vertical="center"/>
      <protection locked="0"/>
    </xf>
    <xf numFmtId="0" fontId="18" fillId="0" borderId="0" xfId="0" applyFont="1" applyAlignment="1">
      <alignment horizontal="center"/>
    </xf>
    <xf numFmtId="3" fontId="22" fillId="12" borderId="0" xfId="0" applyNumberFormat="1" applyFont="1" applyFill="1" applyBorder="1" applyAlignment="1" applyProtection="1">
      <alignment horizontal="right" vertical="center"/>
      <protection locked="0"/>
    </xf>
    <xf numFmtId="0" fontId="1" fillId="0" borderId="12" xfId="0" applyFont="1" applyBorder="1" applyAlignment="1">
      <alignment horizontal="center"/>
    </xf>
    <xf numFmtId="0" fontId="4" fillId="0" borderId="0" xfId="0" applyFont="1" applyBorder="1" applyAlignment="1">
      <alignment horizontal="left" vertic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7" xfId="0" applyFont="1" applyBorder="1" applyAlignment="1" applyProtection="1">
      <alignment horizontal="left" vertical="center"/>
      <protection locked="0"/>
    </xf>
    <xf numFmtId="0" fontId="1" fillId="0" borderId="24" xfId="0" applyFont="1" applyBorder="1" applyAlignment="1">
      <alignment horizontal="center"/>
    </xf>
    <xf numFmtId="0" fontId="1" fillId="0" borderId="12" xfId="0" applyFont="1" applyBorder="1" applyAlignment="1">
      <alignment horizontal="center"/>
    </xf>
    <xf numFmtId="0" fontId="1" fillId="0" borderId="22" xfId="0" applyFont="1" applyBorder="1" applyAlignment="1">
      <alignment horizontal="center"/>
    </xf>
    <xf numFmtId="0" fontId="1" fillId="0" borderId="36" xfId="0" applyFont="1" applyBorder="1" applyAlignment="1">
      <alignment horizontal="center"/>
    </xf>
    <xf numFmtId="0" fontId="1" fillId="1" borderId="36" xfId="0" applyFont="1" applyFill="1" applyBorder="1" applyAlignment="1">
      <alignment horizontal="center"/>
    </xf>
    <xf numFmtId="0" fontId="1" fillId="0" borderId="37" xfId="0" applyFont="1" applyBorder="1" applyAlignment="1">
      <alignment horizontal="center"/>
    </xf>
    <xf numFmtId="0" fontId="1" fillId="0" borderId="38" xfId="0" applyFont="1" applyBorder="1" applyAlignment="1">
      <alignment horizontal="center"/>
    </xf>
    <xf numFmtId="0" fontId="2" fillId="0" borderId="0" xfId="0" applyFont="1" applyFill="1" applyBorder="1" applyAlignment="1" applyProtection="1">
      <alignment horizontal="right" vertical="center"/>
      <protection locked="0"/>
    </xf>
    <xf numFmtId="0" fontId="2" fillId="0" borderId="0" xfId="0" applyFont="1" applyFill="1" applyBorder="1" applyAlignment="1" applyProtection="1">
      <alignment horizontal="left" vertical="center"/>
      <protection locked="0"/>
    </xf>
    <xf numFmtId="0" fontId="15" fillId="10" borderId="0" xfId="0" applyFont="1" applyFill="1" applyBorder="1" applyAlignment="1" applyProtection="1">
      <alignment horizontal="right" vertical="center"/>
    </xf>
    <xf numFmtId="0" fontId="12" fillId="10" borderId="0" xfId="0" applyFont="1" applyFill="1" applyBorder="1" applyAlignment="1" applyProtection="1">
      <alignment horizontal="left" vertical="center"/>
    </xf>
    <xf numFmtId="0" fontId="15" fillId="10" borderId="0" xfId="0" applyFont="1" applyFill="1" applyProtection="1"/>
    <xf numFmtId="0" fontId="15" fillId="10" borderId="0" xfId="0" applyFont="1" applyFill="1" applyBorder="1" applyProtection="1"/>
    <xf numFmtId="0" fontId="15" fillId="10" borderId="0" xfId="1" applyFont="1" applyFill="1" applyBorder="1" applyAlignment="1" applyProtection="1"/>
    <xf numFmtId="0" fontId="0" fillId="6" borderId="0" xfId="0" applyFill="1" applyProtection="1"/>
    <xf numFmtId="0" fontId="0" fillId="0" borderId="0" xfId="0" applyProtection="1"/>
    <xf numFmtId="0" fontId="12" fillId="11" borderId="0" xfId="0" applyFont="1" applyFill="1" applyProtection="1"/>
    <xf numFmtId="0" fontId="20" fillId="10" borderId="0" xfId="0" applyFont="1" applyFill="1" applyAlignment="1">
      <alignment vertical="top" wrapText="1"/>
    </xf>
    <xf numFmtId="0" fontId="0" fillId="0" borderId="0" xfId="0"/>
    <xf numFmtId="0" fontId="13" fillId="0" borderId="0" xfId="0" applyFont="1" applyFill="1" applyBorder="1" applyAlignment="1" applyProtection="1">
      <alignment horizontal="left" vertical="center"/>
      <protection locked="0"/>
    </xf>
    <xf numFmtId="3" fontId="14" fillId="0" borderId="0" xfId="0" applyNumberFormat="1" applyFont="1" applyFill="1" applyBorder="1" applyAlignment="1" applyProtection="1">
      <alignment horizontal="right" vertical="center"/>
      <protection locked="0"/>
    </xf>
    <xf numFmtId="0" fontId="12" fillId="11" borderId="0" xfId="0" applyFont="1" applyFill="1" applyBorder="1" applyAlignment="1" applyProtection="1">
      <alignment horizontal="right" vertical="center"/>
      <protection locked="0"/>
    </xf>
    <xf numFmtId="3" fontId="22" fillId="12" borderId="0" xfId="0" applyNumberFormat="1" applyFont="1" applyFill="1" applyBorder="1" applyAlignment="1" applyProtection="1">
      <alignment horizontal="right" vertical="center"/>
      <protection locked="0"/>
    </xf>
    <xf numFmtId="0" fontId="6" fillId="5" borderId="1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6" fillId="5" borderId="23"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8" xfId="0" applyFont="1" applyBorder="1" applyAlignment="1">
      <alignment horizontal="center"/>
    </xf>
    <xf numFmtId="0" fontId="1" fillId="0" borderId="24" xfId="0" applyFont="1" applyBorder="1" applyAlignment="1">
      <alignment horizontal="center"/>
    </xf>
    <xf numFmtId="0" fontId="5" fillId="3" borderId="30" xfId="0" applyFont="1" applyFill="1" applyBorder="1" applyAlignment="1">
      <alignment horizontal="center" vertical="center"/>
    </xf>
    <xf numFmtId="0" fontId="5" fillId="3" borderId="27" xfId="0" applyFont="1" applyFill="1" applyBorder="1" applyAlignment="1">
      <alignment horizontal="center" vertical="center"/>
    </xf>
    <xf numFmtId="0" fontId="5" fillId="3" borderId="29" xfId="0" applyFont="1" applyFill="1" applyBorder="1" applyAlignment="1">
      <alignment horizontal="center" vertical="center"/>
    </xf>
    <xf numFmtId="0" fontId="1" fillId="0" borderId="31"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6" fillId="5" borderId="33" xfId="0" applyFont="1" applyFill="1" applyBorder="1" applyAlignment="1" applyProtection="1">
      <alignment horizontal="center" vertical="center"/>
      <protection hidden="1"/>
    </xf>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6" fillId="5" borderId="28" xfId="0" applyFont="1" applyFill="1" applyBorder="1" applyAlignment="1" applyProtection="1">
      <alignment horizontal="center" vertical="center"/>
      <protection hidden="1"/>
    </xf>
    <xf numFmtId="0" fontId="6" fillId="5" borderId="34" xfId="0" applyFont="1" applyFill="1" applyBorder="1" applyAlignment="1" applyProtection="1">
      <alignment horizontal="center" vertical="center"/>
      <protection hidden="1"/>
    </xf>
    <xf numFmtId="0" fontId="1" fillId="0" borderId="35" xfId="0" applyFont="1" applyBorder="1" applyAlignment="1">
      <alignment horizontal="center"/>
    </xf>
    <xf numFmtId="0" fontId="0" fillId="6" borderId="0" xfId="0" applyFill="1" applyAlignment="1" applyProtection="1">
      <alignment horizontal="left" vertical="top" wrapText="1"/>
    </xf>
    <xf numFmtId="0" fontId="19" fillId="10" borderId="0" xfId="0" quotePrefix="1" applyFont="1" applyFill="1" applyBorder="1" applyAlignment="1" applyProtection="1">
      <alignment horizontal="left" vertical="top" wrapText="1" indent="5"/>
    </xf>
    <xf numFmtId="0" fontId="19" fillId="10" borderId="0" xfId="0" quotePrefix="1" applyFont="1" applyFill="1" applyBorder="1" applyAlignment="1" applyProtection="1">
      <alignment horizontal="left" vertical="top" indent="5"/>
    </xf>
    <xf numFmtId="0" fontId="21" fillId="10" borderId="0" xfId="0" quotePrefix="1" applyFont="1" applyFill="1" applyBorder="1" applyAlignment="1" applyProtection="1">
      <alignment horizontal="left" vertical="top" wrapText="1" indent="5"/>
    </xf>
    <xf numFmtId="0" fontId="20" fillId="10" borderId="0" xfId="0" applyFont="1" applyFill="1" applyBorder="1" applyAlignment="1" applyProtection="1">
      <alignment horizontal="left" vertical="top"/>
    </xf>
    <xf numFmtId="0" fontId="23" fillId="10" borderId="0" xfId="0" applyFont="1" applyFill="1" applyBorder="1" applyAlignment="1" applyProtection="1">
      <alignment horizontal="left" vertical="center"/>
    </xf>
    <xf numFmtId="0" fontId="20" fillId="10" borderId="0" xfId="0" applyFont="1" applyFill="1" applyBorder="1" applyAlignment="1" applyProtection="1">
      <alignment horizontal="right" vertical="top" wrapText="1"/>
    </xf>
  </cellXfs>
  <cellStyles count="2">
    <cellStyle name="Accent6" xfId="1" builtinId="49"/>
    <cellStyle name="Normal" xfId="0" builtinId="0"/>
  </cellStyles>
  <dxfs count="0"/>
  <tableStyles count="0" defaultTableStyle="TableStyleMedium2" defaultPivotStyle="PivotStyleLight16"/>
  <colors>
    <mruColors>
      <color rgb="FFCDEBFF"/>
      <color rgb="FF003283"/>
      <color rgb="FF970A82"/>
      <color rgb="FFFF9124"/>
      <color rgb="FF21A3F1"/>
      <color rgb="FF79B51A"/>
      <color rgb="FF008FD3"/>
      <color rgb="FF464646"/>
      <color rgb="FFF0AB00"/>
      <color rgb="FFE35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8BD21D10-EC42-11CE-9E0D-00AA006002F3}" ax:persistence="persistStreamInit" r:id="rId1"/>
</file>

<file path=xl/activeX/activeX35.xml><?xml version="1.0" encoding="utf-8"?>
<ax:ocx xmlns:ax="http://schemas.microsoft.com/office/2006/activeX" xmlns:r="http://schemas.openxmlformats.org/officeDocument/2006/relationships" ax:classid="{8BD21D10-EC42-11CE-9E0D-00AA006002F3}"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activeX/activeX38.xml><?xml version="1.0" encoding="utf-8"?>
<ax:ocx xmlns:ax="http://schemas.microsoft.com/office/2006/activeX" xmlns:r="http://schemas.openxmlformats.org/officeDocument/2006/relationships" ax:classid="{8BD21D10-EC42-11CE-9E0D-00AA006002F3}" ax:persistence="persistStreamInit" r:id="rId1"/>
</file>

<file path=xl/activeX/activeX39.xml><?xml version="1.0" encoding="utf-8"?>
<ax:ocx xmlns:ax="http://schemas.microsoft.com/office/2006/activeX" xmlns:r="http://schemas.openxmlformats.org/officeDocument/2006/relationships" ax:classid="{8BD21D10-EC42-11CE-9E0D-00AA006002F3}" ax:persistence="persistStreamInit" r:id="rId1"/>
</file>

<file path=xl/activeX/activeX40.xml><?xml version="1.0" encoding="utf-8"?>
<ax:ocx xmlns:ax="http://schemas.microsoft.com/office/2006/activeX" xmlns:r="http://schemas.openxmlformats.org/officeDocument/2006/relationships" ax:classid="{8BD21D10-EC42-11CE-9E0D-00AA006002F3}" ax:persistence="persistStreamInit" r:id="rId1"/>
</file>

<file path=xl/activeX/activeX41.xml><?xml version="1.0" encoding="utf-8"?>
<ax:ocx xmlns:ax="http://schemas.microsoft.com/office/2006/activeX" xmlns:r="http://schemas.openxmlformats.org/officeDocument/2006/relationships" ax:classid="{8BD21D10-EC42-11CE-9E0D-00AA006002F3}" ax:persistence="persistStreamInit" r:id="rId1"/>
</file>

<file path=xl/activeX/activeX42.xml><?xml version="1.0" encoding="utf-8"?>
<ax:ocx xmlns:ax="http://schemas.microsoft.com/office/2006/activeX" xmlns:r="http://schemas.openxmlformats.org/officeDocument/2006/relationships" ax:classid="{8BD21D10-EC42-11CE-9E0D-00AA006002F3}" ax:persistence="persistStreamInit" r:id="rId1"/>
</file>

<file path=xl/activeX/activeX43.xml><?xml version="1.0" encoding="utf-8"?>
<ax:ocx xmlns:ax="http://schemas.microsoft.com/office/2006/activeX" xmlns:r="http://schemas.openxmlformats.org/officeDocument/2006/relationships" ax:classid="{8BD21D10-EC42-11CE-9E0D-00AA006002F3}" ax:persistence="persistStreamInit" r:id="rId1"/>
</file>

<file path=xl/activeX/activeX44.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fmlaLink="#REF!"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REF!"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Label" lockText="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firstButton="1"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Radio" checked="Checked" firstButton="1"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Radio" firstButton="1" lockText="1" noThreeD="1"/>
</file>

<file path=xl/ctrlProps/ctrlProp41.xml><?xml version="1.0" encoding="utf-8"?>
<formControlPr xmlns="http://schemas.microsoft.com/office/spreadsheetml/2009/9/main" objectType="Radio"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8.png"/></Relationships>
</file>

<file path=xl/drawings/_rels/drawing3.xml.rels><?xml version="1.0" encoding="UTF-8" standalone="yes"?>
<Relationships xmlns="http://schemas.openxmlformats.org/package/2006/relationships"><Relationship Id="rId1" Type="http://schemas.openxmlformats.org/officeDocument/2006/relationships/image" Target="../media/image2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27.emf"/><Relationship Id="rId13" Type="http://schemas.openxmlformats.org/officeDocument/2006/relationships/image" Target="../media/image15.emf"/><Relationship Id="rId18" Type="http://schemas.openxmlformats.org/officeDocument/2006/relationships/image" Target="../media/image10.emf"/><Relationship Id="rId3" Type="http://schemas.openxmlformats.org/officeDocument/2006/relationships/image" Target="../media/image22.emf"/><Relationship Id="rId21" Type="http://schemas.openxmlformats.org/officeDocument/2006/relationships/image" Target="../media/image7.emf"/><Relationship Id="rId7" Type="http://schemas.openxmlformats.org/officeDocument/2006/relationships/image" Target="../media/image26.emf"/><Relationship Id="rId12" Type="http://schemas.openxmlformats.org/officeDocument/2006/relationships/image" Target="../media/image16.emf"/><Relationship Id="rId17" Type="http://schemas.openxmlformats.org/officeDocument/2006/relationships/image" Target="../media/image11.emf"/><Relationship Id="rId2" Type="http://schemas.openxmlformats.org/officeDocument/2006/relationships/image" Target="../media/image21.emf"/><Relationship Id="rId16" Type="http://schemas.openxmlformats.org/officeDocument/2006/relationships/image" Target="../media/image12.emf"/><Relationship Id="rId20" Type="http://schemas.openxmlformats.org/officeDocument/2006/relationships/image" Target="../media/image8.emf"/><Relationship Id="rId1" Type="http://schemas.openxmlformats.org/officeDocument/2006/relationships/image" Target="../media/image20.emf"/><Relationship Id="rId6" Type="http://schemas.openxmlformats.org/officeDocument/2006/relationships/image" Target="../media/image25.emf"/><Relationship Id="rId11" Type="http://schemas.openxmlformats.org/officeDocument/2006/relationships/image" Target="../media/image17.emf"/><Relationship Id="rId5" Type="http://schemas.openxmlformats.org/officeDocument/2006/relationships/image" Target="../media/image24.emf"/><Relationship Id="rId15" Type="http://schemas.openxmlformats.org/officeDocument/2006/relationships/image" Target="../media/image13.emf"/><Relationship Id="rId10" Type="http://schemas.openxmlformats.org/officeDocument/2006/relationships/image" Target="../media/image18.emf"/><Relationship Id="rId19" Type="http://schemas.openxmlformats.org/officeDocument/2006/relationships/image" Target="../media/image9.emf"/><Relationship Id="rId4" Type="http://schemas.openxmlformats.org/officeDocument/2006/relationships/image" Target="../media/image23.emf"/><Relationship Id="rId9" Type="http://schemas.openxmlformats.org/officeDocument/2006/relationships/image" Target="../media/image19.emf"/><Relationship Id="rId14" Type="http://schemas.openxmlformats.org/officeDocument/2006/relationships/image" Target="../media/image14.emf"/><Relationship Id="rId22"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36.emf"/><Relationship Id="rId13" Type="http://schemas.openxmlformats.org/officeDocument/2006/relationships/image" Target="../media/image31.emf"/><Relationship Id="rId18" Type="http://schemas.openxmlformats.org/officeDocument/2006/relationships/image" Target="../media/image46.emf"/><Relationship Id="rId3" Type="http://schemas.openxmlformats.org/officeDocument/2006/relationships/image" Target="../media/image22.emf"/><Relationship Id="rId7" Type="http://schemas.openxmlformats.org/officeDocument/2006/relationships/image" Target="../media/image37.emf"/><Relationship Id="rId12" Type="http://schemas.openxmlformats.org/officeDocument/2006/relationships/image" Target="../media/image32.emf"/><Relationship Id="rId17" Type="http://schemas.openxmlformats.org/officeDocument/2006/relationships/image" Target="../media/image45.emf"/><Relationship Id="rId2" Type="http://schemas.openxmlformats.org/officeDocument/2006/relationships/image" Target="../media/image41.emf"/><Relationship Id="rId16" Type="http://schemas.openxmlformats.org/officeDocument/2006/relationships/image" Target="../media/image44.emf"/><Relationship Id="rId1" Type="http://schemas.openxmlformats.org/officeDocument/2006/relationships/image" Target="../media/image42.emf"/><Relationship Id="rId6" Type="http://schemas.openxmlformats.org/officeDocument/2006/relationships/image" Target="../media/image38.emf"/><Relationship Id="rId11" Type="http://schemas.openxmlformats.org/officeDocument/2006/relationships/image" Target="../media/image33.emf"/><Relationship Id="rId5" Type="http://schemas.openxmlformats.org/officeDocument/2006/relationships/image" Target="../media/image39.emf"/><Relationship Id="rId15" Type="http://schemas.openxmlformats.org/officeDocument/2006/relationships/image" Target="../media/image43.emf"/><Relationship Id="rId10" Type="http://schemas.openxmlformats.org/officeDocument/2006/relationships/image" Target="../media/image34.emf"/><Relationship Id="rId4" Type="http://schemas.openxmlformats.org/officeDocument/2006/relationships/image" Target="../media/image40.emf"/><Relationship Id="rId9" Type="http://schemas.openxmlformats.org/officeDocument/2006/relationships/image" Target="../media/image3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65314</xdr:rowOff>
        </xdr:from>
        <xdr:to>
          <xdr:col>7</xdr:col>
          <xdr:colOff>1611086</xdr:colOff>
          <xdr:row>4</xdr:row>
          <xdr:rowOff>353786</xdr:rowOff>
        </xdr:to>
        <xdr:sp macro="" textlink="">
          <xdr:nvSpPr>
            <xdr:cNvPr id="4097" name="cbApplyLevelFormatting"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2803071</xdr:colOff>
          <xdr:row>6</xdr:row>
          <xdr:rowOff>0</xdr:rowOff>
        </xdr:to>
        <xdr:sp macro="" textlink="">
          <xdr:nvSpPr>
            <xdr:cNvPr id="4098" name="Group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5</xdr:row>
          <xdr:rowOff>59871</xdr:rowOff>
        </xdr:from>
        <xdr:to>
          <xdr:col>3</xdr:col>
          <xdr:colOff>2612571</xdr:colOff>
          <xdr:row>5</xdr:row>
          <xdr:rowOff>277586</xdr:rowOff>
        </xdr:to>
        <xdr:sp macro="" textlink="">
          <xdr:nvSpPr>
            <xdr:cNvPr id="4099" name="obLevelRowFirst"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5</xdr:row>
          <xdr:rowOff>59871</xdr:rowOff>
        </xdr:from>
        <xdr:to>
          <xdr:col>3</xdr:col>
          <xdr:colOff>446314</xdr:colOff>
          <xdr:row>5</xdr:row>
          <xdr:rowOff>277586</xdr:rowOff>
        </xdr:to>
        <xdr:sp macro="" textlink="">
          <xdr:nvSpPr>
            <xdr:cNvPr id="4100" name="obLevelColumnFirst"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2754086</xdr:colOff>
          <xdr:row>5</xdr:row>
          <xdr:rowOff>0</xdr:rowOff>
        </xdr:from>
        <xdr:to>
          <xdr:col>8</xdr:col>
          <xdr:colOff>179614</xdr:colOff>
          <xdr:row>6</xdr:row>
          <xdr:rowOff>0</xdr:rowOff>
        </xdr:to>
        <xdr:sp macro="" textlink="">
          <xdr:nvSpPr>
            <xdr:cNvPr id="4101" name="Group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59871</xdr:rowOff>
        </xdr:from>
        <xdr:to>
          <xdr:col>4</xdr:col>
          <xdr:colOff>179614</xdr:colOff>
          <xdr:row>5</xdr:row>
          <xdr:rowOff>277586</xdr:rowOff>
        </xdr:to>
        <xdr:sp macro="" textlink="">
          <xdr:nvSpPr>
            <xdr:cNvPr id="4102" name="obRelativeLevelHierarchy"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2770414</xdr:colOff>
          <xdr:row>5</xdr:row>
          <xdr:rowOff>59871</xdr:rowOff>
        </xdr:from>
        <xdr:to>
          <xdr:col>3</xdr:col>
          <xdr:colOff>4201886</xdr:colOff>
          <xdr:row>5</xdr:row>
          <xdr:rowOff>277586</xdr:rowOff>
        </xdr:to>
        <xdr:sp macro="" textlink="">
          <xdr:nvSpPr>
            <xdr:cNvPr id="4103" name="obDatabaseLevelHierarchy"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21771</xdr:colOff>
          <xdr:row>5</xdr:row>
          <xdr:rowOff>0</xdr:rowOff>
        </xdr:from>
        <xdr:to>
          <xdr:col>11</xdr:col>
          <xdr:colOff>2422071</xdr:colOff>
          <xdr:row>5</xdr:row>
          <xdr:rowOff>326571</xdr:rowOff>
        </xdr:to>
        <xdr:sp macro="" textlink="">
          <xdr:nvSpPr>
            <xdr:cNvPr id="4104" name="cbApplyLevelFromTopToBottom"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21771</xdr:colOff>
          <xdr:row>12</xdr:row>
          <xdr:rowOff>136071</xdr:rowOff>
        </xdr:from>
        <xdr:to>
          <xdr:col>11</xdr:col>
          <xdr:colOff>1132114</xdr:colOff>
          <xdr:row>13</xdr:row>
          <xdr:rowOff>125186</xdr:rowOff>
        </xdr:to>
        <xdr:sp macro="" textlink="">
          <xdr:nvSpPr>
            <xdr:cNvPr id="4105" name="LVL1tbFormattingByLevel"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36576" tIns="27432"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12</xdr:row>
          <xdr:rowOff>0</xdr:rowOff>
        </xdr:from>
        <xdr:to>
          <xdr:col>12</xdr:col>
          <xdr:colOff>0</xdr:colOff>
          <xdr:row>14</xdr:row>
          <xdr:rowOff>0</xdr:rowOff>
        </xdr:to>
        <xdr:sp macro="" textlink="">
          <xdr:nvSpPr>
            <xdr:cNvPr id="4106" name="Group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12</xdr:row>
          <xdr:rowOff>228600</xdr:rowOff>
        </xdr:from>
        <xdr:to>
          <xdr:col>11</xdr:col>
          <xdr:colOff>2106386</xdr:colOff>
          <xdr:row>13</xdr:row>
          <xdr:rowOff>152400</xdr:rowOff>
        </xdr:to>
        <xdr:sp macro="" textlink="">
          <xdr:nvSpPr>
            <xdr:cNvPr id="4107" name="obLevelOuterFirst"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12</xdr:row>
          <xdr:rowOff>21771</xdr:rowOff>
        </xdr:from>
        <xdr:to>
          <xdr:col>11</xdr:col>
          <xdr:colOff>2106386</xdr:colOff>
          <xdr:row>12</xdr:row>
          <xdr:rowOff>239486</xdr:rowOff>
        </xdr:to>
        <xdr:sp macro="" textlink="">
          <xdr:nvSpPr>
            <xdr:cNvPr id="4108" name="obLevelInnerFirst"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14</xdr:row>
          <xdr:rowOff>201386</xdr:rowOff>
        </xdr:from>
        <xdr:to>
          <xdr:col>2</xdr:col>
          <xdr:colOff>1017814</xdr:colOff>
          <xdr:row>17</xdr:row>
          <xdr:rowOff>38100</xdr:rowOff>
        </xdr:to>
        <xdr:sp macro="" textlink="">
          <xdr:nvSpPr>
            <xdr:cNvPr id="4109" name="cbUseDefaultLevelFirst"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18</xdr:row>
          <xdr:rowOff>0</xdr:rowOff>
        </xdr:from>
        <xdr:to>
          <xdr:col>2</xdr:col>
          <xdr:colOff>1017814</xdr:colOff>
          <xdr:row>19</xdr:row>
          <xdr:rowOff>179614</xdr:rowOff>
        </xdr:to>
        <xdr:sp macro="" textlink="">
          <xdr:nvSpPr>
            <xdr:cNvPr id="4110" name="cbUseLeafLevelFirst"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18</xdr:row>
          <xdr:rowOff>0</xdr:rowOff>
        </xdr:from>
        <xdr:to>
          <xdr:col>2</xdr:col>
          <xdr:colOff>1017814</xdr:colOff>
          <xdr:row>19</xdr:row>
          <xdr:rowOff>97971</xdr:rowOff>
        </xdr:to>
        <xdr:sp macro="" textlink="">
          <xdr:nvSpPr>
            <xdr:cNvPr id="4111" name="cbUseSpecificLevelFirst"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21771</xdr:colOff>
          <xdr:row>6</xdr:row>
          <xdr:rowOff>141514</xdr:rowOff>
        </xdr:from>
        <xdr:to>
          <xdr:col>11</xdr:col>
          <xdr:colOff>1132114</xdr:colOff>
          <xdr:row>7</xdr:row>
          <xdr:rowOff>136071</xdr:rowOff>
        </xdr:to>
        <xdr:sp macro="" textlink="">
          <xdr:nvSpPr>
            <xdr:cNvPr id="4114" name="LVL2tbFormattingByLevel"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36576" tIns="27432"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6</xdr:row>
          <xdr:rowOff>0</xdr:rowOff>
        </xdr:from>
        <xdr:to>
          <xdr:col>12</xdr:col>
          <xdr:colOff>0</xdr:colOff>
          <xdr:row>8</xdr:row>
          <xdr:rowOff>0</xdr:rowOff>
        </xdr:to>
        <xdr:sp macro="" textlink="">
          <xdr:nvSpPr>
            <xdr:cNvPr id="4115" name="Group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6</xdr:row>
          <xdr:rowOff>228600</xdr:rowOff>
        </xdr:from>
        <xdr:to>
          <xdr:col>11</xdr:col>
          <xdr:colOff>2106386</xdr:colOff>
          <xdr:row>7</xdr:row>
          <xdr:rowOff>174171</xdr:rowOff>
        </xdr:to>
        <xdr:sp macro="" textlink="">
          <xdr:nvSpPr>
            <xdr:cNvPr id="4116" name="obLevelOuterSecond"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903514</xdr:colOff>
          <xdr:row>6</xdr:row>
          <xdr:rowOff>38100</xdr:rowOff>
        </xdr:from>
        <xdr:to>
          <xdr:col>11</xdr:col>
          <xdr:colOff>2106386</xdr:colOff>
          <xdr:row>6</xdr:row>
          <xdr:rowOff>250371</xdr:rowOff>
        </xdr:to>
        <xdr:sp macro="" textlink="">
          <xdr:nvSpPr>
            <xdr:cNvPr id="4117" name="obLevelInnerSecond"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9</xdr:row>
          <xdr:rowOff>0</xdr:rowOff>
        </xdr:from>
        <xdr:to>
          <xdr:col>2</xdr:col>
          <xdr:colOff>1017814</xdr:colOff>
          <xdr:row>11</xdr:row>
          <xdr:rowOff>38100</xdr:rowOff>
        </xdr:to>
        <xdr:sp macro="" textlink="">
          <xdr:nvSpPr>
            <xdr:cNvPr id="4118" name="cbUseDefaultLevelSecond"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12</xdr:row>
          <xdr:rowOff>0</xdr:rowOff>
        </xdr:from>
        <xdr:to>
          <xdr:col>2</xdr:col>
          <xdr:colOff>1017814</xdr:colOff>
          <xdr:row>13</xdr:row>
          <xdr:rowOff>21771</xdr:rowOff>
        </xdr:to>
        <xdr:sp macro="" textlink="">
          <xdr:nvSpPr>
            <xdr:cNvPr id="4119" name="cbUseLeafLevelSecond"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12</xdr:row>
          <xdr:rowOff>0</xdr:rowOff>
        </xdr:from>
        <xdr:to>
          <xdr:col>2</xdr:col>
          <xdr:colOff>1017814</xdr:colOff>
          <xdr:row>12</xdr:row>
          <xdr:rowOff>212271</xdr:rowOff>
        </xdr:to>
        <xdr:sp macro="" textlink="">
          <xdr:nvSpPr>
            <xdr:cNvPr id="4120" name="cbUseSpecificLevelSecond"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478971</xdr:colOff>
          <xdr:row>21</xdr:row>
          <xdr:rowOff>65314</xdr:rowOff>
        </xdr:from>
        <xdr:to>
          <xdr:col>9</xdr:col>
          <xdr:colOff>604157</xdr:colOff>
          <xdr:row>21</xdr:row>
          <xdr:rowOff>353786</xdr:rowOff>
        </xdr:to>
        <xdr:sp macro="" textlink="">
          <xdr:nvSpPr>
            <xdr:cNvPr id="4123" name="cbApplyMemberFormatting"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1279071</xdr:colOff>
          <xdr:row>23</xdr:row>
          <xdr:rowOff>0</xdr:rowOff>
        </xdr:to>
        <xdr:sp macro="" textlink="">
          <xdr:nvSpPr>
            <xdr:cNvPr id="4124" name="Group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22</xdr:row>
          <xdr:rowOff>59871</xdr:rowOff>
        </xdr:from>
        <xdr:to>
          <xdr:col>3</xdr:col>
          <xdr:colOff>2612571</xdr:colOff>
          <xdr:row>22</xdr:row>
          <xdr:rowOff>277586</xdr:rowOff>
        </xdr:to>
        <xdr:sp macro="" textlink="">
          <xdr:nvSpPr>
            <xdr:cNvPr id="4125" name="obMemberRowFirst"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22</xdr:row>
          <xdr:rowOff>59871</xdr:rowOff>
        </xdr:from>
        <xdr:to>
          <xdr:col>3</xdr:col>
          <xdr:colOff>446314</xdr:colOff>
          <xdr:row>22</xdr:row>
          <xdr:rowOff>277586</xdr:rowOff>
        </xdr:to>
        <xdr:sp macro="" textlink="">
          <xdr:nvSpPr>
            <xdr:cNvPr id="4126" name="obMemberColumnFirst"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42</xdr:row>
          <xdr:rowOff>201386</xdr:rowOff>
        </xdr:from>
        <xdr:to>
          <xdr:col>2</xdr:col>
          <xdr:colOff>1017814</xdr:colOff>
          <xdr:row>45</xdr:row>
          <xdr:rowOff>38100</xdr:rowOff>
        </xdr:to>
        <xdr:sp macro="" textlink="">
          <xdr:nvSpPr>
            <xdr:cNvPr id="4127" name="cbApplyCustomMemberDefaultFirst"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43</xdr:row>
          <xdr:rowOff>0</xdr:rowOff>
        </xdr:from>
        <xdr:to>
          <xdr:col>2</xdr:col>
          <xdr:colOff>1017814</xdr:colOff>
          <xdr:row>45</xdr:row>
          <xdr:rowOff>48986</xdr:rowOff>
        </xdr:to>
        <xdr:sp macro="" textlink="">
          <xdr:nvSpPr>
            <xdr:cNvPr id="4128" name="cbApplyCalculatedMemberFirst"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46</xdr:row>
          <xdr:rowOff>0</xdr:rowOff>
        </xdr:from>
        <xdr:to>
          <xdr:col>2</xdr:col>
          <xdr:colOff>1017814</xdr:colOff>
          <xdr:row>48</xdr:row>
          <xdr:rowOff>38100</xdr:rowOff>
        </xdr:to>
        <xdr:sp macro="" textlink="">
          <xdr:nvSpPr>
            <xdr:cNvPr id="4129" name="cbApplyImputableMemberFirst"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49</xdr:row>
          <xdr:rowOff>0</xdr:rowOff>
        </xdr:from>
        <xdr:to>
          <xdr:col>2</xdr:col>
          <xdr:colOff>1017814</xdr:colOff>
          <xdr:row>51</xdr:row>
          <xdr:rowOff>38100</xdr:rowOff>
        </xdr:to>
        <xdr:sp macro="" textlink="">
          <xdr:nvSpPr>
            <xdr:cNvPr id="4130" name="cbApplyLocalMemberFirst"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52</xdr:row>
          <xdr:rowOff>0</xdr:rowOff>
        </xdr:from>
        <xdr:to>
          <xdr:col>2</xdr:col>
          <xdr:colOff>1017814</xdr:colOff>
          <xdr:row>54</xdr:row>
          <xdr:rowOff>38100</xdr:rowOff>
        </xdr:to>
        <xdr:sp macro="" textlink="">
          <xdr:nvSpPr>
            <xdr:cNvPr id="4131" name="cbApplyChangedMemberFirst"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55</xdr:row>
          <xdr:rowOff>48986</xdr:rowOff>
        </xdr:from>
        <xdr:to>
          <xdr:col>2</xdr:col>
          <xdr:colOff>1017814</xdr:colOff>
          <xdr:row>57</xdr:row>
          <xdr:rowOff>0</xdr:rowOff>
        </xdr:to>
        <xdr:sp macro="" textlink="">
          <xdr:nvSpPr>
            <xdr:cNvPr id="4132" name="cbApplySpecificMemberFirst"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60</xdr:row>
          <xdr:rowOff>21771</xdr:rowOff>
        </xdr:from>
        <xdr:to>
          <xdr:col>3</xdr:col>
          <xdr:colOff>4288971</xdr:colOff>
          <xdr:row>60</xdr:row>
          <xdr:rowOff>266700</xdr:rowOff>
        </xdr:to>
        <xdr:sp macro="" textlink="">
          <xdr:nvSpPr>
            <xdr:cNvPr id="4133" name="AddMemberFirst"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25</xdr:row>
          <xdr:rowOff>0</xdr:rowOff>
        </xdr:from>
        <xdr:to>
          <xdr:col>2</xdr:col>
          <xdr:colOff>1017814</xdr:colOff>
          <xdr:row>27</xdr:row>
          <xdr:rowOff>38100</xdr:rowOff>
        </xdr:to>
        <xdr:sp macro="" textlink="">
          <xdr:nvSpPr>
            <xdr:cNvPr id="4134" name="cbApplyCustomMemberDefaultSecond"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25</xdr:row>
          <xdr:rowOff>0</xdr:rowOff>
        </xdr:from>
        <xdr:to>
          <xdr:col>2</xdr:col>
          <xdr:colOff>1017814</xdr:colOff>
          <xdr:row>27</xdr:row>
          <xdr:rowOff>48986</xdr:rowOff>
        </xdr:to>
        <xdr:sp macro="" textlink="">
          <xdr:nvSpPr>
            <xdr:cNvPr id="4135" name="cbApplyCalculatedMemberSecond"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28</xdr:row>
          <xdr:rowOff>0</xdr:rowOff>
        </xdr:from>
        <xdr:to>
          <xdr:col>2</xdr:col>
          <xdr:colOff>1017814</xdr:colOff>
          <xdr:row>30</xdr:row>
          <xdr:rowOff>38100</xdr:rowOff>
        </xdr:to>
        <xdr:sp macro="" textlink="">
          <xdr:nvSpPr>
            <xdr:cNvPr id="4136" name="cbApplyImputableMemberSecond"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31</xdr:row>
          <xdr:rowOff>0</xdr:rowOff>
        </xdr:from>
        <xdr:to>
          <xdr:col>2</xdr:col>
          <xdr:colOff>1017814</xdr:colOff>
          <xdr:row>33</xdr:row>
          <xdr:rowOff>38100</xdr:rowOff>
        </xdr:to>
        <xdr:sp macro="" textlink="">
          <xdr:nvSpPr>
            <xdr:cNvPr id="4137" name="cbApplyLocalMemberSecond"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34</xdr:row>
          <xdr:rowOff>0</xdr:rowOff>
        </xdr:from>
        <xdr:to>
          <xdr:col>2</xdr:col>
          <xdr:colOff>1017814</xdr:colOff>
          <xdr:row>36</xdr:row>
          <xdr:rowOff>38100</xdr:rowOff>
        </xdr:to>
        <xdr:sp macro="" textlink="">
          <xdr:nvSpPr>
            <xdr:cNvPr id="4138" name="cbApplyChangedMemberSecond"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37</xdr:row>
          <xdr:rowOff>48986</xdr:rowOff>
        </xdr:from>
        <xdr:to>
          <xdr:col>2</xdr:col>
          <xdr:colOff>1017814</xdr:colOff>
          <xdr:row>39</xdr:row>
          <xdr:rowOff>0</xdr:rowOff>
        </xdr:to>
        <xdr:sp macro="" textlink="">
          <xdr:nvSpPr>
            <xdr:cNvPr id="4139" name="cbApplySpecificMemberSecond"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39</xdr:row>
          <xdr:rowOff>21771</xdr:rowOff>
        </xdr:from>
        <xdr:to>
          <xdr:col>3</xdr:col>
          <xdr:colOff>4288971</xdr:colOff>
          <xdr:row>39</xdr:row>
          <xdr:rowOff>266700</xdr:rowOff>
        </xdr:to>
        <xdr:sp macro="" textlink="">
          <xdr:nvSpPr>
            <xdr:cNvPr id="4140" name="AddMemberSecond"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64</xdr:row>
          <xdr:rowOff>65314</xdr:rowOff>
        </xdr:from>
        <xdr:to>
          <xdr:col>7</xdr:col>
          <xdr:colOff>1801586</xdr:colOff>
          <xdr:row>64</xdr:row>
          <xdr:rowOff>353786</xdr:rowOff>
        </xdr:to>
        <xdr:sp macro="" textlink="">
          <xdr:nvSpPr>
            <xdr:cNvPr id="4141" name="cbApplyOddEvenFormatting" hidden="1">
              <a:extLst>
                <a:ext uri="{63B3BB69-23CF-44E3-9099-C40C66FF867C}">
                  <a14:compatExt spid="_x0000_s4141"/>
                </a:ext>
                <a:ext uri="{FF2B5EF4-FFF2-40B4-BE49-F238E27FC236}">
                  <a16:creationId xmlns:a16="http://schemas.microsoft.com/office/drawing/2014/main" id="{00000000-0008-0000-00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65</xdr:row>
          <xdr:rowOff>0</xdr:rowOff>
        </xdr:from>
        <xdr:to>
          <xdr:col>11</xdr:col>
          <xdr:colOff>1279071</xdr:colOff>
          <xdr:row>66</xdr:row>
          <xdr:rowOff>0</xdr:rowOff>
        </xdr:to>
        <xdr:sp macro="" textlink="">
          <xdr:nvSpPr>
            <xdr:cNvPr id="4142" name="Group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484414</xdr:colOff>
          <xdr:row>65</xdr:row>
          <xdr:rowOff>65314</xdr:rowOff>
        </xdr:from>
        <xdr:to>
          <xdr:col>3</xdr:col>
          <xdr:colOff>2612571</xdr:colOff>
          <xdr:row>65</xdr:row>
          <xdr:rowOff>277586</xdr:rowOff>
        </xdr:to>
        <xdr:sp macro="" textlink="">
          <xdr:nvSpPr>
            <xdr:cNvPr id="4143" name="obOddEvenRowFirst"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65</xdr:row>
          <xdr:rowOff>65314</xdr:rowOff>
        </xdr:from>
        <xdr:to>
          <xdr:col>3</xdr:col>
          <xdr:colOff>446314</xdr:colOff>
          <xdr:row>65</xdr:row>
          <xdr:rowOff>277586</xdr:rowOff>
        </xdr:to>
        <xdr:sp macro="" textlink="">
          <xdr:nvSpPr>
            <xdr:cNvPr id="4144" name="obOddEvenColumnFirst"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68</xdr:row>
          <xdr:rowOff>0</xdr:rowOff>
        </xdr:from>
        <xdr:to>
          <xdr:col>2</xdr:col>
          <xdr:colOff>1017814</xdr:colOff>
          <xdr:row>70</xdr:row>
          <xdr:rowOff>38100</xdr:rowOff>
        </xdr:to>
        <xdr:sp macro="" textlink="">
          <xdr:nvSpPr>
            <xdr:cNvPr id="4145" name="cbUseOddFirst"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71</xdr:row>
          <xdr:rowOff>0</xdr:rowOff>
        </xdr:from>
        <xdr:to>
          <xdr:col>2</xdr:col>
          <xdr:colOff>1017814</xdr:colOff>
          <xdr:row>73</xdr:row>
          <xdr:rowOff>38100</xdr:rowOff>
        </xdr:to>
        <xdr:sp macro="" textlink="">
          <xdr:nvSpPr>
            <xdr:cNvPr id="4146" name="cbUseEvenFirst"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76</xdr:row>
          <xdr:rowOff>0</xdr:rowOff>
        </xdr:from>
        <xdr:to>
          <xdr:col>2</xdr:col>
          <xdr:colOff>1017814</xdr:colOff>
          <xdr:row>78</xdr:row>
          <xdr:rowOff>38100</xdr:rowOff>
        </xdr:to>
        <xdr:sp macro="" textlink="">
          <xdr:nvSpPr>
            <xdr:cNvPr id="4147" name="cbUseOddSecond"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78</xdr:row>
          <xdr:rowOff>48986</xdr:rowOff>
        </xdr:from>
        <xdr:to>
          <xdr:col>2</xdr:col>
          <xdr:colOff>1017814</xdr:colOff>
          <xdr:row>81</xdr:row>
          <xdr:rowOff>38100</xdr:rowOff>
        </xdr:to>
        <xdr:sp macro="" textlink="">
          <xdr:nvSpPr>
            <xdr:cNvPr id="4148" name="cbUseEvenSecond"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83</xdr:row>
          <xdr:rowOff>0</xdr:rowOff>
        </xdr:from>
        <xdr:to>
          <xdr:col>7</xdr:col>
          <xdr:colOff>1649186</xdr:colOff>
          <xdr:row>84</xdr:row>
          <xdr:rowOff>108857</xdr:rowOff>
        </xdr:to>
        <xdr:sp macro="" textlink="">
          <xdr:nvSpPr>
            <xdr:cNvPr id="4149" name="cbApplyPageHeaderFormatting"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83</xdr:row>
          <xdr:rowOff>0</xdr:rowOff>
        </xdr:from>
        <xdr:to>
          <xdr:col>2</xdr:col>
          <xdr:colOff>1017814</xdr:colOff>
          <xdr:row>84</xdr:row>
          <xdr:rowOff>125186</xdr:rowOff>
        </xdr:to>
        <xdr:sp macro="" textlink="">
          <xdr:nvSpPr>
            <xdr:cNvPr id="4150" name="cbUseDefaultPageHeaderFormat"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125186</xdr:colOff>
          <xdr:row>83</xdr:row>
          <xdr:rowOff>0</xdr:rowOff>
        </xdr:from>
        <xdr:to>
          <xdr:col>2</xdr:col>
          <xdr:colOff>1017814</xdr:colOff>
          <xdr:row>84</xdr:row>
          <xdr:rowOff>48986</xdr:rowOff>
        </xdr:to>
        <xdr:sp macro="" textlink="">
          <xdr:nvSpPr>
            <xdr:cNvPr id="4151" name="cbUseDimensionFormatting"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58</xdr:row>
          <xdr:rowOff>0</xdr:rowOff>
        </xdr:from>
        <xdr:to>
          <xdr:col>12</xdr:col>
          <xdr:colOff>707571</xdr:colOff>
          <xdr:row>59</xdr:row>
          <xdr:rowOff>0</xdr:rowOff>
        </xdr:to>
        <xdr:sp macro="" textlink="">
          <xdr:nvSpPr>
            <xdr:cNvPr id="4219" name="AddedMember1_1" hidden="1">
              <a:extLst>
                <a:ext uri="{63B3BB69-23CF-44E3-9099-C40C66FF867C}">
                  <a14:compatExt spid="_x0000_s4219"/>
                </a:ext>
                <a:ext uri="{FF2B5EF4-FFF2-40B4-BE49-F238E27FC236}">
                  <a16:creationId xmlns:a16="http://schemas.microsoft.com/office/drawing/2014/main" id="{00000000-0008-0000-0000-00007B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723900</xdr:colOff>
          <xdr:row>58</xdr:row>
          <xdr:rowOff>0</xdr:rowOff>
        </xdr:from>
        <xdr:to>
          <xdr:col>13</xdr:col>
          <xdr:colOff>707571</xdr:colOff>
          <xdr:row>59</xdr:row>
          <xdr:rowOff>0</xdr:rowOff>
        </xdr:to>
        <xdr:sp macro="" textlink="">
          <xdr:nvSpPr>
            <xdr:cNvPr id="4220" name="ChangeMember1_1" hidden="1">
              <a:extLst>
                <a:ext uri="{63B3BB69-23CF-44E3-9099-C40C66FF867C}">
                  <a14:compatExt spid="_x0000_s4220"/>
                </a:ext>
                <a:ext uri="{FF2B5EF4-FFF2-40B4-BE49-F238E27FC236}">
                  <a16:creationId xmlns:a16="http://schemas.microsoft.com/office/drawing/2014/main" id="{00000000-0008-0000-0000-00007C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58</xdr:row>
          <xdr:rowOff>0</xdr:rowOff>
        </xdr:from>
        <xdr:to>
          <xdr:col>14</xdr:col>
          <xdr:colOff>707571</xdr:colOff>
          <xdr:row>59</xdr:row>
          <xdr:rowOff>0</xdr:rowOff>
        </xdr:to>
        <xdr:sp macro="" textlink="">
          <xdr:nvSpPr>
            <xdr:cNvPr id="4221" name="UpMember1_1" hidden="1">
              <a:extLst>
                <a:ext uri="{63B3BB69-23CF-44E3-9099-C40C66FF867C}">
                  <a14:compatExt spid="_x0000_s4221"/>
                </a:ext>
                <a:ext uri="{FF2B5EF4-FFF2-40B4-BE49-F238E27FC236}">
                  <a16:creationId xmlns:a16="http://schemas.microsoft.com/office/drawing/2014/main" id="{00000000-0008-0000-0000-00007D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58</xdr:row>
          <xdr:rowOff>0</xdr:rowOff>
        </xdr:from>
        <xdr:to>
          <xdr:col>15</xdr:col>
          <xdr:colOff>713014</xdr:colOff>
          <xdr:row>59</xdr:row>
          <xdr:rowOff>0</xdr:rowOff>
        </xdr:to>
        <xdr:sp macro="" textlink="">
          <xdr:nvSpPr>
            <xdr:cNvPr id="4222" name="DownMember1_1" hidden="1">
              <a:extLst>
                <a:ext uri="{63B3BB69-23CF-44E3-9099-C40C66FF867C}">
                  <a14:compatExt spid="_x0000_s4222"/>
                </a:ext>
                <a:ext uri="{FF2B5EF4-FFF2-40B4-BE49-F238E27FC236}">
                  <a16:creationId xmlns:a16="http://schemas.microsoft.com/office/drawing/2014/main" id="{00000000-0008-0000-0000-00007E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5</xdr:col>
      <xdr:colOff>1029</xdr:colOff>
      <xdr:row>0</xdr:row>
      <xdr:rowOff>206830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1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152400</xdr:rowOff>
        </xdr:from>
        <xdr:to>
          <xdr:col>0</xdr:col>
          <xdr:colOff>43543</xdr:colOff>
          <xdr:row>2</xdr:row>
          <xdr:rowOff>157843</xdr:rowOff>
        </xdr:to>
        <xdr:sp macro="" textlink="">
          <xdr:nvSpPr>
            <xdr:cNvPr id="3115" name="TextBox1" hidden="1">
              <a:extLst>
                <a:ext uri="{63B3BB69-23CF-44E3-9099-C40C66FF867C}">
                  <a14:compatExt spid="_x0000_s3115"/>
                </a:ext>
                <a:ext uri="{FF2B5EF4-FFF2-40B4-BE49-F238E27FC236}">
                  <a16:creationId xmlns:a16="http://schemas.microsoft.com/office/drawing/2014/main" id="{00000000-0008-0000-0100-00002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555171</xdr:colOff>
          <xdr:row>2</xdr:row>
          <xdr:rowOff>152400</xdr:rowOff>
        </xdr:from>
        <xdr:to>
          <xdr:col>9</xdr:col>
          <xdr:colOff>560614</xdr:colOff>
          <xdr:row>2</xdr:row>
          <xdr:rowOff>157843</xdr:rowOff>
        </xdr:to>
        <xdr:sp macro="" textlink="">
          <xdr:nvSpPr>
            <xdr:cNvPr id="3119" name="TextBox2" hidden="1">
              <a:extLst>
                <a:ext uri="{63B3BB69-23CF-44E3-9099-C40C66FF867C}">
                  <a14:compatExt spid="_x0000_s3119"/>
                </a:ext>
                <a:ext uri="{FF2B5EF4-FFF2-40B4-BE49-F238E27FC236}">
                  <a16:creationId xmlns:a16="http://schemas.microsoft.com/office/drawing/2014/main" id="{00000000-0008-0000-0100-00002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0" name="AnalyzerDynReport000tb1" hidden="1">
              <a:extLst>
                <a:ext uri="{63B3BB69-23CF-44E3-9099-C40C66FF867C}">
                  <a14:compatExt spid="_x0000_s3130"/>
                </a:ext>
                <a:ext uri="{FF2B5EF4-FFF2-40B4-BE49-F238E27FC236}">
                  <a16:creationId xmlns:a16="http://schemas.microsoft.com/office/drawing/2014/main" id="{00000000-0008-0000-0100-00003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1" name="ConnectionDescriptorsInfotb1" hidden="1">
              <a:extLst>
                <a:ext uri="{63B3BB69-23CF-44E3-9099-C40C66FF867C}">
                  <a14:compatExt spid="_x0000_s3131"/>
                </a:ext>
                <a:ext uri="{FF2B5EF4-FFF2-40B4-BE49-F238E27FC236}">
                  <a16:creationId xmlns:a16="http://schemas.microsoft.com/office/drawing/2014/main" id="{00000000-0008-0000-0100-00003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2" name="MultipleReportManagerInfotb1" hidden="1">
              <a:extLst>
                <a:ext uri="{63B3BB69-23CF-44E3-9099-C40C66FF867C}">
                  <a14:compatExt spid="_x0000_s3132"/>
                </a:ext>
                <a:ext uri="{FF2B5EF4-FFF2-40B4-BE49-F238E27FC236}">
                  <a16:creationId xmlns:a16="http://schemas.microsoft.com/office/drawing/2014/main" id="{00000000-0008-0000-0100-00003C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3" name="ReportSubmitManagerControltb1" hidden="1">
              <a:extLst>
                <a:ext uri="{63B3BB69-23CF-44E3-9099-C40C66FF867C}">
                  <a14:compatExt spid="_x0000_s3133"/>
                </a:ext>
                <a:ext uri="{FF2B5EF4-FFF2-40B4-BE49-F238E27FC236}">
                  <a16:creationId xmlns:a16="http://schemas.microsoft.com/office/drawing/2014/main" id="{00000000-0008-0000-0100-00003D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3134" name="ReportSubmitControl_1tb1" hidden="1">
              <a:extLst>
                <a:ext uri="{63B3BB69-23CF-44E3-9099-C40C66FF867C}">
                  <a14:compatExt spid="_x0000_s3134"/>
                </a:ext>
                <a:ext uri="{FF2B5EF4-FFF2-40B4-BE49-F238E27FC236}">
                  <a16:creationId xmlns:a16="http://schemas.microsoft.com/office/drawing/2014/main" id="{00000000-0008-0000-0100-00003E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2</xdr:row>
          <xdr:rowOff>130629</xdr:rowOff>
        </xdr:from>
        <xdr:to>
          <xdr:col>12</xdr:col>
          <xdr:colOff>386443</xdr:colOff>
          <xdr:row>2</xdr:row>
          <xdr:rowOff>549729</xdr:rowOff>
        </xdr:to>
        <xdr:sp macro="" textlink="">
          <xdr:nvSpPr>
            <xdr:cNvPr id="3526" name="RefreshList" hidden="1">
              <a:extLst>
                <a:ext uri="{63B3BB69-23CF-44E3-9099-C40C66FF867C}">
                  <a14:compatExt spid="_x0000_s3526"/>
                </a:ext>
                <a:ext uri="{FF2B5EF4-FFF2-40B4-BE49-F238E27FC236}">
                  <a16:creationId xmlns:a16="http://schemas.microsoft.com/office/drawing/2014/main" id="{00000000-0008-0000-0100-0000C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533400</xdr:colOff>
          <xdr:row>2</xdr:row>
          <xdr:rowOff>136071</xdr:rowOff>
        </xdr:from>
        <xdr:to>
          <xdr:col>18</xdr:col>
          <xdr:colOff>136071</xdr:colOff>
          <xdr:row>2</xdr:row>
          <xdr:rowOff>555171</xdr:rowOff>
        </xdr:to>
        <xdr:sp macro="" textlink="">
          <xdr:nvSpPr>
            <xdr:cNvPr id="3527" name="NextItem" hidden="1">
              <a:extLst>
                <a:ext uri="{63B3BB69-23CF-44E3-9099-C40C66FF867C}">
                  <a14:compatExt spid="_x0000_s3527"/>
                </a:ext>
                <a:ext uri="{FF2B5EF4-FFF2-40B4-BE49-F238E27FC236}">
                  <a16:creationId xmlns:a16="http://schemas.microsoft.com/office/drawing/2014/main" id="{00000000-0008-0000-0100-0000C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517071</xdr:colOff>
          <xdr:row>2</xdr:row>
          <xdr:rowOff>81643</xdr:rowOff>
        </xdr:from>
        <xdr:to>
          <xdr:col>21</xdr:col>
          <xdr:colOff>168729</xdr:colOff>
          <xdr:row>2</xdr:row>
          <xdr:rowOff>587829</xdr:rowOff>
        </xdr:to>
        <xdr:sp macro="" textlink="">
          <xdr:nvSpPr>
            <xdr:cNvPr id="3528" name="SaveAndNext" hidden="1">
              <a:extLst>
                <a:ext uri="{63B3BB69-23CF-44E3-9099-C40C66FF867C}">
                  <a14:compatExt spid="_x0000_s3528"/>
                </a:ext>
                <a:ext uri="{FF2B5EF4-FFF2-40B4-BE49-F238E27FC236}">
                  <a16:creationId xmlns:a16="http://schemas.microsoft.com/office/drawing/2014/main" id="{00000000-0008-0000-0100-0000C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70757</xdr:colOff>
          <xdr:row>2</xdr:row>
          <xdr:rowOff>130629</xdr:rowOff>
        </xdr:from>
        <xdr:to>
          <xdr:col>15</xdr:col>
          <xdr:colOff>304800</xdr:colOff>
          <xdr:row>2</xdr:row>
          <xdr:rowOff>549729</xdr:rowOff>
        </xdr:to>
        <xdr:sp macro="" textlink="">
          <xdr:nvSpPr>
            <xdr:cNvPr id="3561" name="PreviousItem" hidden="1">
              <a:extLst>
                <a:ext uri="{63B3BB69-23CF-44E3-9099-C40C66FF867C}">
                  <a14:compatExt spid="_x0000_s3561"/>
                </a:ext>
                <a:ext uri="{FF2B5EF4-FFF2-40B4-BE49-F238E27FC236}">
                  <a16:creationId xmlns:a16="http://schemas.microsoft.com/office/drawing/2014/main" id="{00000000-0008-0000-0100-0000E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7</xdr:col>
          <xdr:colOff>206829</xdr:colOff>
          <xdr:row>0</xdr:row>
          <xdr:rowOff>0</xdr:rowOff>
        </xdr:to>
        <xdr:sp macro="" textlink="">
          <xdr:nvSpPr>
            <xdr:cNvPr id="3562" name="ConnectionDescriptorsInfoHCtb1" hidden="1">
              <a:extLst>
                <a:ext uri="{63B3BB69-23CF-44E3-9099-C40C66FF867C}">
                  <a14:compatExt spid="_x0000_s3562"/>
                </a:ext>
                <a:ext uri="{FF2B5EF4-FFF2-40B4-BE49-F238E27FC236}">
                  <a16:creationId xmlns:a16="http://schemas.microsoft.com/office/drawing/2014/main" id="{00000000-0008-0000-0100-0000EA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7</xdr:col>
          <xdr:colOff>206829</xdr:colOff>
          <xdr:row>0</xdr:row>
          <xdr:rowOff>0</xdr:rowOff>
        </xdr:to>
        <xdr:sp macro="" textlink="">
          <xdr:nvSpPr>
            <xdr:cNvPr id="3563" name="ConnectionDescriptorsInfoDCtb1" hidden="1">
              <a:extLst>
                <a:ext uri="{63B3BB69-23CF-44E3-9099-C40C66FF867C}">
                  <a14:compatExt spid="_x0000_s3563"/>
                </a:ext>
                <a:ext uri="{FF2B5EF4-FFF2-40B4-BE49-F238E27FC236}">
                  <a16:creationId xmlns:a16="http://schemas.microsoft.com/office/drawing/2014/main" id="{00000000-0008-0000-0100-0000EB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7</xdr:col>
          <xdr:colOff>206829</xdr:colOff>
          <xdr:row>0</xdr:row>
          <xdr:rowOff>0</xdr:rowOff>
        </xdr:to>
        <xdr:sp macro="" textlink="">
          <xdr:nvSpPr>
            <xdr:cNvPr id="3564" name="MultipleReportManagerInfoHCtb1" hidden="1">
              <a:extLst>
                <a:ext uri="{63B3BB69-23CF-44E3-9099-C40C66FF867C}">
                  <a14:compatExt spid="_x0000_s3564"/>
                </a:ext>
                <a:ext uri="{FF2B5EF4-FFF2-40B4-BE49-F238E27FC236}">
                  <a16:creationId xmlns:a16="http://schemas.microsoft.com/office/drawing/2014/main" id="{00000000-0008-0000-0100-0000EC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7</xdr:col>
          <xdr:colOff>206829</xdr:colOff>
          <xdr:row>0</xdr:row>
          <xdr:rowOff>0</xdr:rowOff>
        </xdr:to>
        <xdr:sp macro="" textlink="">
          <xdr:nvSpPr>
            <xdr:cNvPr id="3565" name="MultipleReportManagerInfoDCtb1" hidden="1">
              <a:extLst>
                <a:ext uri="{63B3BB69-23CF-44E3-9099-C40C66FF867C}">
                  <a14:compatExt spid="_x0000_s3565"/>
                </a:ext>
                <a:ext uri="{FF2B5EF4-FFF2-40B4-BE49-F238E27FC236}">
                  <a16:creationId xmlns:a16="http://schemas.microsoft.com/office/drawing/2014/main" id="{00000000-0008-0000-0100-0000ED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7</xdr:col>
          <xdr:colOff>206829</xdr:colOff>
          <xdr:row>0</xdr:row>
          <xdr:rowOff>0</xdr:rowOff>
        </xdr:to>
        <xdr:sp macro="" textlink="">
          <xdr:nvSpPr>
            <xdr:cNvPr id="3566" name="ReportSubmitManagerControlHCtb1" hidden="1">
              <a:extLst>
                <a:ext uri="{63B3BB69-23CF-44E3-9099-C40C66FF867C}">
                  <a14:compatExt spid="_x0000_s3566"/>
                </a:ext>
                <a:ext uri="{FF2B5EF4-FFF2-40B4-BE49-F238E27FC236}">
                  <a16:creationId xmlns:a16="http://schemas.microsoft.com/office/drawing/2014/main" id="{00000000-0008-0000-0100-0000EE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7</xdr:col>
          <xdr:colOff>206829</xdr:colOff>
          <xdr:row>0</xdr:row>
          <xdr:rowOff>0</xdr:rowOff>
        </xdr:to>
        <xdr:sp macro="" textlink="">
          <xdr:nvSpPr>
            <xdr:cNvPr id="3567" name="ReportSubmitManagerControlDCtb1" hidden="1">
              <a:extLst>
                <a:ext uri="{63B3BB69-23CF-44E3-9099-C40C66FF867C}">
                  <a14:compatExt spid="_x0000_s3567"/>
                </a:ext>
                <a:ext uri="{FF2B5EF4-FFF2-40B4-BE49-F238E27FC236}">
                  <a16:creationId xmlns:a16="http://schemas.microsoft.com/office/drawing/2014/main" id="{00000000-0008-0000-0100-0000EF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7</xdr:col>
          <xdr:colOff>206829</xdr:colOff>
          <xdr:row>0</xdr:row>
          <xdr:rowOff>0</xdr:rowOff>
        </xdr:to>
        <xdr:sp macro="" textlink="">
          <xdr:nvSpPr>
            <xdr:cNvPr id="3568" name="ReportSubmitControl_1HCtb1" hidden="1">
              <a:extLst>
                <a:ext uri="{63B3BB69-23CF-44E3-9099-C40C66FF867C}">
                  <a14:compatExt spid="_x0000_s3568"/>
                </a:ext>
                <a:ext uri="{FF2B5EF4-FFF2-40B4-BE49-F238E27FC236}">
                  <a16:creationId xmlns:a16="http://schemas.microsoft.com/office/drawing/2014/main" id="{00000000-0008-0000-0100-0000F0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7</xdr:col>
          <xdr:colOff>206829</xdr:colOff>
          <xdr:row>0</xdr:row>
          <xdr:rowOff>0</xdr:rowOff>
        </xdr:to>
        <xdr:sp macro="" textlink="">
          <xdr:nvSpPr>
            <xdr:cNvPr id="3569" name="ReportSubmitControl_1DCtb1" hidden="1">
              <a:extLst>
                <a:ext uri="{63B3BB69-23CF-44E3-9099-C40C66FF867C}">
                  <a14:compatExt spid="_x0000_s3569"/>
                </a:ext>
                <a:ext uri="{FF2B5EF4-FFF2-40B4-BE49-F238E27FC236}">
                  <a16:creationId xmlns:a16="http://schemas.microsoft.com/office/drawing/2014/main" id="{00000000-0008-0000-0100-0000F1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7</xdr:col>
          <xdr:colOff>206829</xdr:colOff>
          <xdr:row>0</xdr:row>
          <xdr:rowOff>0</xdr:rowOff>
        </xdr:to>
        <xdr:sp macro="" textlink="">
          <xdr:nvSpPr>
            <xdr:cNvPr id="3570" name="AnalyzerDynReportHC000tb1" hidden="1">
              <a:extLst>
                <a:ext uri="{63B3BB69-23CF-44E3-9099-C40C66FF867C}">
                  <a14:compatExt spid="_x0000_s3570"/>
                </a:ext>
                <a:ext uri="{FF2B5EF4-FFF2-40B4-BE49-F238E27FC236}">
                  <a16:creationId xmlns:a16="http://schemas.microsoft.com/office/drawing/2014/main" id="{00000000-0008-0000-0100-0000F2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7</xdr:col>
          <xdr:colOff>206829</xdr:colOff>
          <xdr:row>0</xdr:row>
          <xdr:rowOff>0</xdr:rowOff>
        </xdr:to>
        <xdr:sp macro="" textlink="">
          <xdr:nvSpPr>
            <xdr:cNvPr id="3571" name="AnalyzerDynReportDC000tb1" hidden="1">
              <a:extLst>
                <a:ext uri="{63B3BB69-23CF-44E3-9099-C40C66FF867C}">
                  <a14:compatExt spid="_x0000_s3571"/>
                </a:ext>
                <a:ext uri="{FF2B5EF4-FFF2-40B4-BE49-F238E27FC236}">
                  <a16:creationId xmlns:a16="http://schemas.microsoft.com/office/drawing/2014/main" id="{00000000-0008-0000-0100-0000F30D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5</xdr:col>
      <xdr:colOff>1029</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85987"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9217" name="FPMExcelClientSheetOptionstb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152400</xdr:rowOff>
        </xdr:from>
        <xdr:to>
          <xdr:col>0</xdr:col>
          <xdr:colOff>43543</xdr:colOff>
          <xdr:row>2</xdr:row>
          <xdr:rowOff>157843</xdr:rowOff>
        </xdr:to>
        <xdr:sp macro="" textlink="">
          <xdr:nvSpPr>
            <xdr:cNvPr id="9218" name="TextBox1"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789214</xdr:colOff>
          <xdr:row>2</xdr:row>
          <xdr:rowOff>152400</xdr:rowOff>
        </xdr:from>
        <xdr:to>
          <xdr:col>8</xdr:col>
          <xdr:colOff>794657</xdr:colOff>
          <xdr:row>2</xdr:row>
          <xdr:rowOff>157843</xdr:rowOff>
        </xdr:to>
        <xdr:sp macro="" textlink="">
          <xdr:nvSpPr>
            <xdr:cNvPr id="9219" name="TextBox2"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0" name="AnalyzerDynReport000tb1"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1" name="ConnectionDescriptorsInfotb1"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2" name="MultipleReportManagerInfotb1" hidden="1">
              <a:extLst>
                <a:ext uri="{63B3BB69-23CF-44E3-9099-C40C66FF867C}">
                  <a14:compatExt spid="_x0000_s9222"/>
                </a:ext>
                <a:ext uri="{FF2B5EF4-FFF2-40B4-BE49-F238E27FC236}">
                  <a16:creationId xmlns:a16="http://schemas.microsoft.com/office/drawing/2014/main" id="{00000000-0008-0000-0200-000006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3" name="ReportSubmitManagerControltb1" hidden="1">
              <a:extLst>
                <a:ext uri="{63B3BB69-23CF-44E3-9099-C40C66FF867C}">
                  <a14:compatExt spid="_x0000_s9223"/>
                </a:ext>
                <a:ext uri="{FF2B5EF4-FFF2-40B4-BE49-F238E27FC236}">
                  <a16:creationId xmlns:a16="http://schemas.microsoft.com/office/drawing/2014/main" id="{00000000-0008-0000-0200-000007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97971</xdr:colOff>
          <xdr:row>0</xdr:row>
          <xdr:rowOff>0</xdr:rowOff>
        </xdr:to>
        <xdr:sp macro="" textlink="">
          <xdr:nvSpPr>
            <xdr:cNvPr id="9224" name="ReportSubmitControl_1tb1" hidden="1">
              <a:extLst>
                <a:ext uri="{63B3BB69-23CF-44E3-9099-C40C66FF867C}">
                  <a14:compatExt spid="_x0000_s9224"/>
                </a:ext>
                <a:ext uri="{FF2B5EF4-FFF2-40B4-BE49-F238E27FC236}">
                  <a16:creationId xmlns:a16="http://schemas.microsoft.com/office/drawing/2014/main" id="{00000000-0008-0000-0200-000008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326571</xdr:colOff>
          <xdr:row>0</xdr:row>
          <xdr:rowOff>0</xdr:rowOff>
        </xdr:to>
        <xdr:sp macro="" textlink="">
          <xdr:nvSpPr>
            <xdr:cNvPr id="9248" name="ConnectionDescriptorsInfoHCtb1" hidden="1">
              <a:extLst>
                <a:ext uri="{63B3BB69-23CF-44E3-9099-C40C66FF867C}">
                  <a14:compatExt spid="_x0000_s9248"/>
                </a:ext>
                <a:ext uri="{FF2B5EF4-FFF2-40B4-BE49-F238E27FC236}">
                  <a16:creationId xmlns:a16="http://schemas.microsoft.com/office/drawing/2014/main" id="{00000000-0008-0000-0200-000020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326571</xdr:colOff>
          <xdr:row>0</xdr:row>
          <xdr:rowOff>0</xdr:rowOff>
        </xdr:to>
        <xdr:sp macro="" textlink="">
          <xdr:nvSpPr>
            <xdr:cNvPr id="9249" name="ConnectionDescriptorsInfoDCtb1" hidden="1">
              <a:extLst>
                <a:ext uri="{63B3BB69-23CF-44E3-9099-C40C66FF867C}">
                  <a14:compatExt spid="_x0000_s9249"/>
                </a:ext>
                <a:ext uri="{FF2B5EF4-FFF2-40B4-BE49-F238E27FC236}">
                  <a16:creationId xmlns:a16="http://schemas.microsoft.com/office/drawing/2014/main" id="{00000000-0008-0000-0200-00002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326571</xdr:colOff>
          <xdr:row>0</xdr:row>
          <xdr:rowOff>0</xdr:rowOff>
        </xdr:to>
        <xdr:sp macro="" textlink="">
          <xdr:nvSpPr>
            <xdr:cNvPr id="9250" name="MultipleReportManagerInfoHCtb1" hidden="1">
              <a:extLst>
                <a:ext uri="{63B3BB69-23CF-44E3-9099-C40C66FF867C}">
                  <a14:compatExt spid="_x0000_s9250"/>
                </a:ext>
                <a:ext uri="{FF2B5EF4-FFF2-40B4-BE49-F238E27FC236}">
                  <a16:creationId xmlns:a16="http://schemas.microsoft.com/office/drawing/2014/main" id="{00000000-0008-0000-0200-000022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326571</xdr:colOff>
          <xdr:row>0</xdr:row>
          <xdr:rowOff>0</xdr:rowOff>
        </xdr:to>
        <xdr:sp macro="" textlink="">
          <xdr:nvSpPr>
            <xdr:cNvPr id="9251" name="MultipleReportManagerInfoDCtb1" hidden="1">
              <a:extLst>
                <a:ext uri="{63B3BB69-23CF-44E3-9099-C40C66FF867C}">
                  <a14:compatExt spid="_x0000_s9251"/>
                </a:ext>
                <a:ext uri="{FF2B5EF4-FFF2-40B4-BE49-F238E27FC236}">
                  <a16:creationId xmlns:a16="http://schemas.microsoft.com/office/drawing/2014/main" id="{00000000-0008-0000-0200-000023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326571</xdr:colOff>
          <xdr:row>0</xdr:row>
          <xdr:rowOff>0</xdr:rowOff>
        </xdr:to>
        <xdr:sp macro="" textlink="">
          <xdr:nvSpPr>
            <xdr:cNvPr id="9252" name="ReportSubmitManagerControlHCtb1" hidden="1">
              <a:extLst>
                <a:ext uri="{63B3BB69-23CF-44E3-9099-C40C66FF867C}">
                  <a14:compatExt spid="_x0000_s9252"/>
                </a:ext>
                <a:ext uri="{FF2B5EF4-FFF2-40B4-BE49-F238E27FC236}">
                  <a16:creationId xmlns:a16="http://schemas.microsoft.com/office/drawing/2014/main" id="{00000000-0008-0000-0200-000024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326571</xdr:colOff>
          <xdr:row>0</xdr:row>
          <xdr:rowOff>0</xdr:rowOff>
        </xdr:to>
        <xdr:sp macro="" textlink="">
          <xdr:nvSpPr>
            <xdr:cNvPr id="9253" name="ReportSubmitManagerControlDCtb1" hidden="1">
              <a:extLst>
                <a:ext uri="{63B3BB69-23CF-44E3-9099-C40C66FF867C}">
                  <a14:compatExt spid="_x0000_s9253"/>
                </a:ext>
                <a:ext uri="{FF2B5EF4-FFF2-40B4-BE49-F238E27FC236}">
                  <a16:creationId xmlns:a16="http://schemas.microsoft.com/office/drawing/2014/main" id="{00000000-0008-0000-0200-000025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342900</xdr:colOff>
          <xdr:row>0</xdr:row>
          <xdr:rowOff>0</xdr:rowOff>
        </xdr:to>
        <xdr:sp macro="" textlink="">
          <xdr:nvSpPr>
            <xdr:cNvPr id="9254" name="AnalyzerDynReportHC000tb1" hidden="1">
              <a:extLst>
                <a:ext uri="{63B3BB69-23CF-44E3-9099-C40C66FF867C}">
                  <a14:compatExt spid="_x0000_s9254"/>
                </a:ext>
                <a:ext uri="{FF2B5EF4-FFF2-40B4-BE49-F238E27FC236}">
                  <a16:creationId xmlns:a16="http://schemas.microsoft.com/office/drawing/2014/main" id="{00000000-0008-0000-0200-000026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342900</xdr:colOff>
          <xdr:row>0</xdr:row>
          <xdr:rowOff>0</xdr:rowOff>
        </xdr:to>
        <xdr:sp macro="" textlink="">
          <xdr:nvSpPr>
            <xdr:cNvPr id="9255" name="AnalyzerDynReportDC000tb1" hidden="1">
              <a:extLst>
                <a:ext uri="{63B3BB69-23CF-44E3-9099-C40C66FF867C}">
                  <a14:compatExt spid="_x0000_s9255"/>
                </a:ext>
                <a:ext uri="{FF2B5EF4-FFF2-40B4-BE49-F238E27FC236}">
                  <a16:creationId xmlns:a16="http://schemas.microsoft.com/office/drawing/2014/main" id="{00000000-0008-0000-0200-000027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326571</xdr:colOff>
          <xdr:row>0</xdr:row>
          <xdr:rowOff>0</xdr:rowOff>
        </xdr:to>
        <xdr:sp macro="" textlink="">
          <xdr:nvSpPr>
            <xdr:cNvPr id="9256" name="ReportSubmitControl_1HCtb1" hidden="1">
              <a:extLst>
                <a:ext uri="{63B3BB69-23CF-44E3-9099-C40C66FF867C}">
                  <a14:compatExt spid="_x0000_s9256"/>
                </a:ext>
                <a:ext uri="{FF2B5EF4-FFF2-40B4-BE49-F238E27FC236}">
                  <a16:creationId xmlns:a16="http://schemas.microsoft.com/office/drawing/2014/main" id="{00000000-0008-0000-0200-000028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326571</xdr:colOff>
          <xdr:row>0</xdr:row>
          <xdr:rowOff>0</xdr:rowOff>
        </xdr:to>
        <xdr:sp macro="" textlink="">
          <xdr:nvSpPr>
            <xdr:cNvPr id="9257" name="ReportSubmitControl_1DCtb1" hidden="1">
              <a:extLst>
                <a:ext uri="{63B3BB69-23CF-44E3-9099-C40C66FF867C}">
                  <a14:compatExt spid="_x0000_s9257"/>
                </a:ext>
                <a:ext uri="{FF2B5EF4-FFF2-40B4-BE49-F238E27FC236}">
                  <a16:creationId xmlns:a16="http://schemas.microsoft.com/office/drawing/2014/main" id="{00000000-0008-0000-0200-000029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xml"/><Relationship Id="rId18" Type="http://schemas.openxmlformats.org/officeDocument/2006/relationships/ctrlProp" Target="../ctrlProps/ctrlProp6.xml"/><Relationship Id="rId26" Type="http://schemas.openxmlformats.org/officeDocument/2006/relationships/ctrlProp" Target="../ctrlProps/ctrlProp14.xml"/><Relationship Id="rId39" Type="http://schemas.openxmlformats.org/officeDocument/2006/relationships/ctrlProp" Target="../ctrlProps/ctrlProp27.xml"/><Relationship Id="rId21" Type="http://schemas.openxmlformats.org/officeDocument/2006/relationships/ctrlProp" Target="../ctrlProps/ctrlProp9.xml"/><Relationship Id="rId34" Type="http://schemas.openxmlformats.org/officeDocument/2006/relationships/ctrlProp" Target="../ctrlProps/ctrlProp22.xml"/><Relationship Id="rId42" Type="http://schemas.openxmlformats.org/officeDocument/2006/relationships/ctrlProp" Target="../ctrlProps/ctrlProp30.xml"/><Relationship Id="rId47" Type="http://schemas.openxmlformats.org/officeDocument/2006/relationships/ctrlProp" Target="../ctrlProps/ctrlProp35.xml"/><Relationship Id="rId50" Type="http://schemas.openxmlformats.org/officeDocument/2006/relationships/ctrlProp" Target="../ctrlProps/ctrlProp38.xml"/><Relationship Id="rId55" Type="http://schemas.openxmlformats.org/officeDocument/2006/relationships/ctrlProp" Target="../ctrlProps/ctrlProp43.xml"/><Relationship Id="rId63" Type="http://schemas.openxmlformats.org/officeDocument/2006/relationships/ctrlProp" Target="../ctrlProps/ctrlProp51.xml"/><Relationship Id="rId7" Type="http://schemas.openxmlformats.org/officeDocument/2006/relationships/control" Target="../activeX/activeX2.xml"/><Relationship Id="rId2" Type="http://schemas.openxmlformats.org/officeDocument/2006/relationships/customProperty" Target="../customProperty1.bin"/><Relationship Id="rId16" Type="http://schemas.openxmlformats.org/officeDocument/2006/relationships/ctrlProp" Target="../ctrlProps/ctrlProp4.xml"/><Relationship Id="rId29" Type="http://schemas.openxmlformats.org/officeDocument/2006/relationships/ctrlProp" Target="../ctrlProps/ctrlProp17.xml"/><Relationship Id="rId11" Type="http://schemas.openxmlformats.org/officeDocument/2006/relationships/control" Target="../activeX/activeX4.xml"/><Relationship Id="rId24" Type="http://schemas.openxmlformats.org/officeDocument/2006/relationships/ctrlProp" Target="../ctrlProps/ctrlProp12.xml"/><Relationship Id="rId32" Type="http://schemas.openxmlformats.org/officeDocument/2006/relationships/ctrlProp" Target="../ctrlProps/ctrlProp20.xml"/><Relationship Id="rId37" Type="http://schemas.openxmlformats.org/officeDocument/2006/relationships/ctrlProp" Target="../ctrlProps/ctrlProp25.xml"/><Relationship Id="rId40" Type="http://schemas.openxmlformats.org/officeDocument/2006/relationships/ctrlProp" Target="../ctrlProps/ctrlProp28.xml"/><Relationship Id="rId45" Type="http://schemas.openxmlformats.org/officeDocument/2006/relationships/ctrlProp" Target="../ctrlProps/ctrlProp33.xml"/><Relationship Id="rId53" Type="http://schemas.openxmlformats.org/officeDocument/2006/relationships/ctrlProp" Target="../ctrlProps/ctrlProp41.xml"/><Relationship Id="rId58" Type="http://schemas.openxmlformats.org/officeDocument/2006/relationships/ctrlProp" Target="../ctrlProps/ctrlProp46.xml"/><Relationship Id="rId5" Type="http://schemas.openxmlformats.org/officeDocument/2006/relationships/control" Target="../activeX/activeX1.xml"/><Relationship Id="rId61" Type="http://schemas.openxmlformats.org/officeDocument/2006/relationships/ctrlProp" Target="../ctrlProps/ctrlProp49.xml"/><Relationship Id="rId19" Type="http://schemas.openxmlformats.org/officeDocument/2006/relationships/ctrlProp" Target="../ctrlProps/ctrlProp7.xml"/><Relationship Id="rId14" Type="http://schemas.openxmlformats.org/officeDocument/2006/relationships/ctrlProp" Target="../ctrlProps/ctrlProp2.xml"/><Relationship Id="rId22" Type="http://schemas.openxmlformats.org/officeDocument/2006/relationships/ctrlProp" Target="../ctrlProps/ctrlProp10.xml"/><Relationship Id="rId27" Type="http://schemas.openxmlformats.org/officeDocument/2006/relationships/ctrlProp" Target="../ctrlProps/ctrlProp15.xml"/><Relationship Id="rId30" Type="http://schemas.openxmlformats.org/officeDocument/2006/relationships/ctrlProp" Target="../ctrlProps/ctrlProp18.xml"/><Relationship Id="rId35" Type="http://schemas.openxmlformats.org/officeDocument/2006/relationships/ctrlProp" Target="../ctrlProps/ctrlProp23.xml"/><Relationship Id="rId43" Type="http://schemas.openxmlformats.org/officeDocument/2006/relationships/ctrlProp" Target="../ctrlProps/ctrlProp31.xml"/><Relationship Id="rId48" Type="http://schemas.openxmlformats.org/officeDocument/2006/relationships/ctrlProp" Target="../ctrlProps/ctrlProp36.xml"/><Relationship Id="rId56" Type="http://schemas.openxmlformats.org/officeDocument/2006/relationships/ctrlProp" Target="../ctrlProps/ctrlProp44.xml"/><Relationship Id="rId64" Type="http://schemas.openxmlformats.org/officeDocument/2006/relationships/comments" Target="../comments1.xml"/><Relationship Id="rId8" Type="http://schemas.openxmlformats.org/officeDocument/2006/relationships/image" Target="../media/image2.emf"/><Relationship Id="rId51" Type="http://schemas.openxmlformats.org/officeDocument/2006/relationships/ctrlProp" Target="../ctrlProps/ctrlProp39.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trlProp" Target="../ctrlProps/ctrlProp5.xml"/><Relationship Id="rId25" Type="http://schemas.openxmlformats.org/officeDocument/2006/relationships/ctrlProp" Target="../ctrlProps/ctrlProp13.xml"/><Relationship Id="rId33" Type="http://schemas.openxmlformats.org/officeDocument/2006/relationships/ctrlProp" Target="../ctrlProps/ctrlProp21.xml"/><Relationship Id="rId38" Type="http://schemas.openxmlformats.org/officeDocument/2006/relationships/ctrlProp" Target="../ctrlProps/ctrlProp26.xml"/><Relationship Id="rId46" Type="http://schemas.openxmlformats.org/officeDocument/2006/relationships/ctrlProp" Target="../ctrlProps/ctrlProp34.xml"/><Relationship Id="rId59" Type="http://schemas.openxmlformats.org/officeDocument/2006/relationships/ctrlProp" Target="../ctrlProps/ctrlProp47.xml"/><Relationship Id="rId20" Type="http://schemas.openxmlformats.org/officeDocument/2006/relationships/ctrlProp" Target="../ctrlProps/ctrlProp8.xml"/><Relationship Id="rId41" Type="http://schemas.openxmlformats.org/officeDocument/2006/relationships/ctrlProp" Target="../ctrlProps/ctrlProp29.xml"/><Relationship Id="rId54" Type="http://schemas.openxmlformats.org/officeDocument/2006/relationships/ctrlProp" Target="../ctrlProps/ctrlProp42.xml"/><Relationship Id="rId62" Type="http://schemas.openxmlformats.org/officeDocument/2006/relationships/ctrlProp" Target="../ctrlProps/ctrlProp50.xml"/><Relationship Id="rId1" Type="http://schemas.openxmlformats.org/officeDocument/2006/relationships/printerSettings" Target="../printerSettings/printerSettings1.bin"/><Relationship Id="rId6" Type="http://schemas.openxmlformats.org/officeDocument/2006/relationships/image" Target="../media/image1.emf"/><Relationship Id="rId15" Type="http://schemas.openxmlformats.org/officeDocument/2006/relationships/ctrlProp" Target="../ctrlProps/ctrlProp3.xml"/><Relationship Id="rId23" Type="http://schemas.openxmlformats.org/officeDocument/2006/relationships/ctrlProp" Target="../ctrlProps/ctrlProp11.xml"/><Relationship Id="rId28" Type="http://schemas.openxmlformats.org/officeDocument/2006/relationships/ctrlProp" Target="../ctrlProps/ctrlProp16.xml"/><Relationship Id="rId36" Type="http://schemas.openxmlformats.org/officeDocument/2006/relationships/ctrlProp" Target="../ctrlProps/ctrlProp24.xml"/><Relationship Id="rId49" Type="http://schemas.openxmlformats.org/officeDocument/2006/relationships/ctrlProp" Target="../ctrlProps/ctrlProp37.xml"/><Relationship Id="rId57" Type="http://schemas.openxmlformats.org/officeDocument/2006/relationships/ctrlProp" Target="../ctrlProps/ctrlProp45.xml"/><Relationship Id="rId10" Type="http://schemas.openxmlformats.org/officeDocument/2006/relationships/image" Target="../media/image3.emf"/><Relationship Id="rId31" Type="http://schemas.openxmlformats.org/officeDocument/2006/relationships/ctrlProp" Target="../ctrlProps/ctrlProp19.xml"/><Relationship Id="rId44" Type="http://schemas.openxmlformats.org/officeDocument/2006/relationships/ctrlProp" Target="../ctrlProps/ctrlProp32.xml"/><Relationship Id="rId52" Type="http://schemas.openxmlformats.org/officeDocument/2006/relationships/ctrlProp" Target="../ctrlProps/ctrlProp40.xml"/><Relationship Id="rId60" Type="http://schemas.openxmlformats.org/officeDocument/2006/relationships/ctrlProp" Target="../ctrlProps/ctrlProp48.xml"/><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3" Type="http://schemas.openxmlformats.org/officeDocument/2006/relationships/control" Target="../activeX/activeX7.xml"/><Relationship Id="rId18" Type="http://schemas.openxmlformats.org/officeDocument/2006/relationships/image" Target="../media/image10.emf"/><Relationship Id="rId26" Type="http://schemas.openxmlformats.org/officeDocument/2006/relationships/image" Target="../media/image14.emf"/><Relationship Id="rId39" Type="http://schemas.openxmlformats.org/officeDocument/2006/relationships/control" Target="../activeX/activeX20.xml"/><Relationship Id="rId21" Type="http://schemas.openxmlformats.org/officeDocument/2006/relationships/control" Target="../activeX/activeX11.xml"/><Relationship Id="rId34" Type="http://schemas.openxmlformats.org/officeDocument/2006/relationships/image" Target="../media/image18.emf"/><Relationship Id="rId42" Type="http://schemas.openxmlformats.org/officeDocument/2006/relationships/image" Target="../media/image22.emf"/><Relationship Id="rId47" Type="http://schemas.openxmlformats.org/officeDocument/2006/relationships/control" Target="../activeX/activeX24.xml"/><Relationship Id="rId50" Type="http://schemas.openxmlformats.org/officeDocument/2006/relationships/image" Target="../media/image26.emf"/><Relationship Id="rId7" Type="http://schemas.openxmlformats.org/officeDocument/2006/relationships/vmlDrawing" Target="../drawings/vmlDrawing2.vml"/><Relationship Id="rId2" Type="http://schemas.openxmlformats.org/officeDocument/2006/relationships/customProperty" Target="../customProperty2.bin"/><Relationship Id="rId16" Type="http://schemas.openxmlformats.org/officeDocument/2006/relationships/image" Target="../media/image9.emf"/><Relationship Id="rId29" Type="http://schemas.openxmlformats.org/officeDocument/2006/relationships/control" Target="../activeX/activeX15.xml"/><Relationship Id="rId11" Type="http://schemas.openxmlformats.org/officeDocument/2006/relationships/control" Target="../activeX/activeX6.xml"/><Relationship Id="rId24" Type="http://schemas.openxmlformats.org/officeDocument/2006/relationships/image" Target="../media/image13.emf"/><Relationship Id="rId32" Type="http://schemas.openxmlformats.org/officeDocument/2006/relationships/image" Target="../media/image17.emf"/><Relationship Id="rId37" Type="http://schemas.openxmlformats.org/officeDocument/2006/relationships/control" Target="../activeX/activeX19.xml"/><Relationship Id="rId40" Type="http://schemas.openxmlformats.org/officeDocument/2006/relationships/image" Target="../media/image21.emf"/><Relationship Id="rId45" Type="http://schemas.openxmlformats.org/officeDocument/2006/relationships/control" Target="../activeX/activeX23.xml"/><Relationship Id="rId5" Type="http://schemas.openxmlformats.org/officeDocument/2006/relationships/customProperty" Target="../customProperty5.bin"/><Relationship Id="rId15" Type="http://schemas.openxmlformats.org/officeDocument/2006/relationships/control" Target="../activeX/activeX8.xml"/><Relationship Id="rId23" Type="http://schemas.openxmlformats.org/officeDocument/2006/relationships/control" Target="../activeX/activeX12.xml"/><Relationship Id="rId28" Type="http://schemas.openxmlformats.org/officeDocument/2006/relationships/image" Target="../media/image15.emf"/><Relationship Id="rId36" Type="http://schemas.openxmlformats.org/officeDocument/2006/relationships/image" Target="../media/image19.emf"/><Relationship Id="rId49" Type="http://schemas.openxmlformats.org/officeDocument/2006/relationships/control" Target="../activeX/activeX25.xml"/><Relationship Id="rId10" Type="http://schemas.openxmlformats.org/officeDocument/2006/relationships/image" Target="../media/image6.emf"/><Relationship Id="rId19" Type="http://schemas.openxmlformats.org/officeDocument/2006/relationships/control" Target="../activeX/activeX10.xml"/><Relationship Id="rId31" Type="http://schemas.openxmlformats.org/officeDocument/2006/relationships/control" Target="../activeX/activeX16.xml"/><Relationship Id="rId44" Type="http://schemas.openxmlformats.org/officeDocument/2006/relationships/image" Target="../media/image23.emf"/><Relationship Id="rId52" Type="http://schemas.openxmlformats.org/officeDocument/2006/relationships/image" Target="../media/image27.emf"/><Relationship Id="rId4" Type="http://schemas.openxmlformats.org/officeDocument/2006/relationships/customProperty" Target="../customProperty4.bin"/><Relationship Id="rId9" Type="http://schemas.openxmlformats.org/officeDocument/2006/relationships/control" Target="../activeX/activeX5.xml"/><Relationship Id="rId14" Type="http://schemas.openxmlformats.org/officeDocument/2006/relationships/image" Target="../media/image8.emf"/><Relationship Id="rId22" Type="http://schemas.openxmlformats.org/officeDocument/2006/relationships/image" Target="../media/image12.emf"/><Relationship Id="rId27" Type="http://schemas.openxmlformats.org/officeDocument/2006/relationships/control" Target="../activeX/activeX14.xml"/><Relationship Id="rId30" Type="http://schemas.openxmlformats.org/officeDocument/2006/relationships/image" Target="../media/image16.emf"/><Relationship Id="rId35" Type="http://schemas.openxmlformats.org/officeDocument/2006/relationships/control" Target="../activeX/activeX18.xml"/><Relationship Id="rId43" Type="http://schemas.openxmlformats.org/officeDocument/2006/relationships/control" Target="../activeX/activeX22.xml"/><Relationship Id="rId48" Type="http://schemas.openxmlformats.org/officeDocument/2006/relationships/image" Target="../media/image25.emf"/><Relationship Id="rId8" Type="http://schemas.openxmlformats.org/officeDocument/2006/relationships/image" Target="../media/image5.png"/><Relationship Id="rId51" Type="http://schemas.openxmlformats.org/officeDocument/2006/relationships/control" Target="../activeX/activeX26.xml"/><Relationship Id="rId3" Type="http://schemas.openxmlformats.org/officeDocument/2006/relationships/customProperty" Target="../customProperty3.bin"/><Relationship Id="rId12" Type="http://schemas.openxmlformats.org/officeDocument/2006/relationships/image" Target="../media/image7.emf"/><Relationship Id="rId17" Type="http://schemas.openxmlformats.org/officeDocument/2006/relationships/control" Target="../activeX/activeX9.xml"/><Relationship Id="rId25" Type="http://schemas.openxmlformats.org/officeDocument/2006/relationships/control" Target="../activeX/activeX13.xml"/><Relationship Id="rId33" Type="http://schemas.openxmlformats.org/officeDocument/2006/relationships/control" Target="../activeX/activeX17.xml"/><Relationship Id="rId38" Type="http://schemas.openxmlformats.org/officeDocument/2006/relationships/image" Target="../media/image20.emf"/><Relationship Id="rId46" Type="http://schemas.openxmlformats.org/officeDocument/2006/relationships/image" Target="../media/image24.emf"/><Relationship Id="rId20" Type="http://schemas.openxmlformats.org/officeDocument/2006/relationships/image" Target="../media/image11.emf"/><Relationship Id="rId41" Type="http://schemas.openxmlformats.org/officeDocument/2006/relationships/control" Target="../activeX/activeX21.xml"/><Relationship Id="rId1" Type="http://schemas.openxmlformats.org/officeDocument/2006/relationships/printerSettings" Target="../printerSettings/printerSettings2.bin"/><Relationship Id="rId6"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3" Type="http://schemas.openxmlformats.org/officeDocument/2006/relationships/control" Target="../activeX/activeX30.xml"/><Relationship Id="rId18" Type="http://schemas.openxmlformats.org/officeDocument/2006/relationships/image" Target="../media/image35.emf"/><Relationship Id="rId26" Type="http://schemas.openxmlformats.org/officeDocument/2006/relationships/image" Target="../media/image39.emf"/><Relationship Id="rId39" Type="http://schemas.openxmlformats.org/officeDocument/2006/relationships/control" Target="../activeX/activeX43.xml"/><Relationship Id="rId21" Type="http://schemas.openxmlformats.org/officeDocument/2006/relationships/control" Target="../activeX/activeX34.xml"/><Relationship Id="rId34" Type="http://schemas.openxmlformats.org/officeDocument/2006/relationships/image" Target="../media/image42.emf"/><Relationship Id="rId42" Type="http://schemas.openxmlformats.org/officeDocument/2006/relationships/image" Target="../media/image46.emf"/><Relationship Id="rId7" Type="http://schemas.openxmlformats.org/officeDocument/2006/relationships/control" Target="../activeX/activeX27.xml"/><Relationship Id="rId2" Type="http://schemas.openxmlformats.org/officeDocument/2006/relationships/customProperty" Target="../customProperty6.bin"/><Relationship Id="rId16" Type="http://schemas.openxmlformats.org/officeDocument/2006/relationships/image" Target="../media/image34.emf"/><Relationship Id="rId20" Type="http://schemas.openxmlformats.org/officeDocument/2006/relationships/image" Target="../media/image36.emf"/><Relationship Id="rId29" Type="http://schemas.openxmlformats.org/officeDocument/2006/relationships/control" Target="../activeX/activeX38.xml"/><Relationship Id="rId41" Type="http://schemas.openxmlformats.org/officeDocument/2006/relationships/control" Target="../activeX/activeX44.xml"/><Relationship Id="rId1" Type="http://schemas.openxmlformats.org/officeDocument/2006/relationships/printerSettings" Target="../printerSettings/printerSettings3.bin"/><Relationship Id="rId6" Type="http://schemas.openxmlformats.org/officeDocument/2006/relationships/image" Target="../media/image29.png"/><Relationship Id="rId11" Type="http://schemas.openxmlformats.org/officeDocument/2006/relationships/control" Target="../activeX/activeX29.xml"/><Relationship Id="rId24" Type="http://schemas.openxmlformats.org/officeDocument/2006/relationships/image" Target="../media/image38.emf"/><Relationship Id="rId32" Type="http://schemas.openxmlformats.org/officeDocument/2006/relationships/image" Target="../media/image41.emf"/><Relationship Id="rId37" Type="http://schemas.openxmlformats.org/officeDocument/2006/relationships/control" Target="../activeX/activeX42.xml"/><Relationship Id="rId40" Type="http://schemas.openxmlformats.org/officeDocument/2006/relationships/image" Target="../media/image45.emf"/><Relationship Id="rId5" Type="http://schemas.openxmlformats.org/officeDocument/2006/relationships/vmlDrawing" Target="../drawings/vmlDrawing3.vml"/><Relationship Id="rId15" Type="http://schemas.openxmlformats.org/officeDocument/2006/relationships/control" Target="../activeX/activeX31.xml"/><Relationship Id="rId23" Type="http://schemas.openxmlformats.org/officeDocument/2006/relationships/control" Target="../activeX/activeX35.xml"/><Relationship Id="rId28" Type="http://schemas.openxmlformats.org/officeDocument/2006/relationships/image" Target="../media/image40.emf"/><Relationship Id="rId36" Type="http://schemas.openxmlformats.org/officeDocument/2006/relationships/image" Target="../media/image43.emf"/><Relationship Id="rId10" Type="http://schemas.openxmlformats.org/officeDocument/2006/relationships/image" Target="../media/image31.emf"/><Relationship Id="rId19" Type="http://schemas.openxmlformats.org/officeDocument/2006/relationships/control" Target="../activeX/activeX33.xml"/><Relationship Id="rId31" Type="http://schemas.openxmlformats.org/officeDocument/2006/relationships/control" Target="../activeX/activeX39.xml"/><Relationship Id="rId4" Type="http://schemas.openxmlformats.org/officeDocument/2006/relationships/drawing" Target="../drawings/drawing3.xml"/><Relationship Id="rId9" Type="http://schemas.openxmlformats.org/officeDocument/2006/relationships/control" Target="../activeX/activeX28.xml"/><Relationship Id="rId14" Type="http://schemas.openxmlformats.org/officeDocument/2006/relationships/image" Target="../media/image33.emf"/><Relationship Id="rId22" Type="http://schemas.openxmlformats.org/officeDocument/2006/relationships/image" Target="../media/image37.emf"/><Relationship Id="rId27" Type="http://schemas.openxmlformats.org/officeDocument/2006/relationships/control" Target="../activeX/activeX37.xml"/><Relationship Id="rId30" Type="http://schemas.openxmlformats.org/officeDocument/2006/relationships/image" Target="../media/image22.emf"/><Relationship Id="rId35" Type="http://schemas.openxmlformats.org/officeDocument/2006/relationships/control" Target="../activeX/activeX41.xml"/><Relationship Id="rId8" Type="http://schemas.openxmlformats.org/officeDocument/2006/relationships/image" Target="../media/image30.emf"/><Relationship Id="rId3" Type="http://schemas.openxmlformats.org/officeDocument/2006/relationships/customProperty" Target="../customProperty7.bin"/><Relationship Id="rId12" Type="http://schemas.openxmlformats.org/officeDocument/2006/relationships/image" Target="../media/image32.emf"/><Relationship Id="rId17" Type="http://schemas.openxmlformats.org/officeDocument/2006/relationships/control" Target="../activeX/activeX32.xml"/><Relationship Id="rId25" Type="http://schemas.openxmlformats.org/officeDocument/2006/relationships/control" Target="../activeX/activeX36.xml"/><Relationship Id="rId33" Type="http://schemas.openxmlformats.org/officeDocument/2006/relationships/control" Target="../activeX/activeX40.xml"/><Relationship Id="rId38" Type="http://schemas.openxmlformats.org/officeDocument/2006/relationships/image" Target="../media/image4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13589-7AF6-453E-82BD-876229D5A748}">
  <sheetPr codeName="Sheet4"/>
  <dimension ref="A1:Q83"/>
  <sheetViews>
    <sheetView showGridLines="0" topLeftCell="A28" zoomScaleNormal="100" workbookViewId="0">
      <selection activeCell="F54" sqref="F54"/>
    </sheetView>
  </sheetViews>
  <sheetFormatPr defaultColWidth="9.15234375" defaultRowHeight="14.15" x14ac:dyDescent="0.35"/>
  <cols>
    <col min="1" max="1" width="1.69140625" style="1" customWidth="1"/>
    <col min="2" max="2" width="12.69140625" style="1" customWidth="1"/>
    <col min="3" max="3" width="15.69140625" style="1" customWidth="1"/>
    <col min="4" max="4" width="82.15234375" style="1" bestFit="1" customWidth="1"/>
    <col min="5" max="5" width="3.3046875" style="1" customWidth="1"/>
    <col min="6" max="6" width="14.3046875" style="1" customWidth="1"/>
    <col min="7" max="7" width="3.3046875" style="1" customWidth="1"/>
    <col min="8" max="8" width="30.69140625" style="1" customWidth="1"/>
    <col min="9" max="9" width="3.3046875" style="1" customWidth="1"/>
    <col min="10" max="10" width="14.3046875" style="1" customWidth="1"/>
    <col min="11" max="11" width="3.3046875" style="1" customWidth="1"/>
    <col min="12" max="12" width="36.69140625" style="1" customWidth="1"/>
    <col min="13" max="16" width="10.69140625" style="1" customWidth="1"/>
    <col min="17" max="17" width="90.69140625" style="1" customWidth="1"/>
    <col min="18" max="16384" width="9.15234375" style="1"/>
  </cols>
  <sheetData>
    <row r="1" spans="1:17" ht="42" customHeight="1" x14ac:dyDescent="0.35">
      <c r="A1" s="2"/>
      <c r="B1" s="87" t="s">
        <v>24</v>
      </c>
      <c r="C1" s="87"/>
      <c r="D1" s="87"/>
      <c r="E1" s="87"/>
      <c r="F1" s="87"/>
      <c r="G1" s="87"/>
      <c r="H1" s="87"/>
      <c r="I1" s="87"/>
      <c r="J1" s="87"/>
      <c r="K1" s="87"/>
      <c r="L1" s="87"/>
    </row>
    <row r="2" spans="1:17" ht="15.75" customHeight="1" x14ac:dyDescent="0.35">
      <c r="A2" s="39" t="s">
        <v>23</v>
      </c>
      <c r="B2" s="2"/>
      <c r="C2" s="2"/>
      <c r="D2" s="2"/>
      <c r="E2" s="2"/>
      <c r="F2" s="2"/>
      <c r="G2" s="2"/>
      <c r="H2" s="2"/>
      <c r="I2" s="2"/>
      <c r="J2" s="2"/>
      <c r="K2" s="2"/>
      <c r="L2" s="2"/>
    </row>
    <row r="3" spans="1:17" ht="15.75" customHeight="1" x14ac:dyDescent="0.35">
      <c r="A3" s="2"/>
      <c r="B3" s="3" t="s">
        <v>0</v>
      </c>
      <c r="C3" s="2"/>
      <c r="D3" s="2"/>
      <c r="E3" s="2"/>
      <c r="F3" s="2"/>
      <c r="G3" s="2"/>
      <c r="H3" s="2"/>
      <c r="I3" s="2"/>
      <c r="J3" s="2"/>
      <c r="K3" s="2"/>
      <c r="L3" s="2"/>
    </row>
    <row r="4" spans="1:17" ht="18" customHeight="1" thickBot="1" x14ac:dyDescent="0.4">
      <c r="A4" s="2"/>
      <c r="B4" s="2"/>
      <c r="C4" s="2"/>
      <c r="D4" s="2"/>
      <c r="E4" s="2"/>
      <c r="F4" s="2"/>
      <c r="G4" s="2"/>
      <c r="H4" s="2"/>
      <c r="I4" s="2"/>
      <c r="J4" s="2"/>
      <c r="K4" s="2"/>
      <c r="L4" s="2"/>
    </row>
    <row r="5" spans="1:17" ht="28.4" customHeight="1" x14ac:dyDescent="0.35">
      <c r="A5" s="2"/>
      <c r="B5" s="88" t="s">
        <v>25</v>
      </c>
      <c r="C5" s="89"/>
      <c r="D5" s="89"/>
      <c r="E5" s="89"/>
      <c r="F5" s="89"/>
      <c r="G5" s="89"/>
      <c r="H5" s="89"/>
      <c r="I5" s="89"/>
      <c r="J5" s="89"/>
      <c r="K5" s="89"/>
      <c r="L5" s="90"/>
      <c r="Q5" s="23" t="s">
        <v>16</v>
      </c>
    </row>
    <row r="6" spans="1:17" ht="28.4" customHeight="1" thickBot="1" x14ac:dyDescent="0.4">
      <c r="A6" s="2"/>
      <c r="B6" s="91"/>
      <c r="C6" s="92"/>
      <c r="D6" s="92"/>
      <c r="E6" s="92"/>
      <c r="F6" s="92"/>
      <c r="G6" s="92"/>
      <c r="H6" s="92"/>
      <c r="I6" s="92"/>
      <c r="J6" s="92"/>
      <c r="K6" s="92"/>
      <c r="L6" s="93"/>
      <c r="Q6" s="24" t="s">
        <v>17</v>
      </c>
    </row>
    <row r="7" spans="1:17" ht="22" customHeight="1" x14ac:dyDescent="0.35">
      <c r="A7" s="2"/>
      <c r="B7" s="94" t="s">
        <v>8</v>
      </c>
      <c r="C7" s="19"/>
      <c r="D7" s="19"/>
      <c r="E7" s="19"/>
      <c r="F7" s="19"/>
      <c r="G7" s="19"/>
      <c r="H7" s="19"/>
      <c r="I7" s="19"/>
      <c r="J7" s="19"/>
      <c r="K7" s="19"/>
      <c r="L7" s="20"/>
      <c r="Q7" s="86" t="s">
        <v>18</v>
      </c>
    </row>
    <row r="8" spans="1:17" ht="18" customHeight="1" x14ac:dyDescent="0.35">
      <c r="A8" s="2"/>
      <c r="B8" s="70"/>
      <c r="C8" s="10"/>
      <c r="D8" s="10"/>
      <c r="E8" s="10"/>
      <c r="F8" s="10"/>
      <c r="G8" s="10"/>
      <c r="H8" s="10"/>
      <c r="I8" s="10"/>
      <c r="J8" s="10"/>
      <c r="K8" s="10"/>
      <c r="L8" s="11"/>
      <c r="Q8" s="86"/>
    </row>
    <row r="9" spans="1:17" ht="17.149999999999999" customHeight="1" x14ac:dyDescent="0.35">
      <c r="A9" s="2"/>
      <c r="B9" s="70"/>
      <c r="C9" s="5"/>
      <c r="D9" s="6"/>
      <c r="E9" s="72" t="s">
        <v>1</v>
      </c>
      <c r="F9" s="73"/>
      <c r="G9" s="74"/>
      <c r="H9" s="4" t="s">
        <v>2</v>
      </c>
      <c r="I9" s="72" t="s">
        <v>3</v>
      </c>
      <c r="J9" s="73"/>
      <c r="K9" s="74"/>
      <c r="L9" s="12" t="s">
        <v>2</v>
      </c>
      <c r="Q9" s="86"/>
    </row>
    <row r="10" spans="1:17" ht="5.15" customHeight="1" x14ac:dyDescent="0.35">
      <c r="A10" s="2"/>
      <c r="B10" s="70"/>
      <c r="C10" s="75"/>
      <c r="D10" s="10"/>
      <c r="E10" s="13"/>
      <c r="F10" s="13"/>
      <c r="G10" s="13"/>
      <c r="H10" s="8"/>
      <c r="I10" s="13"/>
      <c r="J10" s="13"/>
      <c r="K10" s="13"/>
      <c r="L10" s="11"/>
      <c r="Q10" s="86"/>
    </row>
    <row r="11" spans="1:17" ht="16" customHeight="1" x14ac:dyDescent="0.35">
      <c r="A11" s="2"/>
      <c r="B11" s="70"/>
      <c r="C11" s="76"/>
      <c r="D11" s="42" t="s">
        <v>5</v>
      </c>
      <c r="E11" s="13"/>
      <c r="F11" s="35">
        <v>10000</v>
      </c>
      <c r="G11" s="13"/>
      <c r="H11" s="45" t="s">
        <v>6</v>
      </c>
      <c r="I11" s="13"/>
      <c r="J11" s="38" t="s">
        <v>7</v>
      </c>
      <c r="K11" s="13"/>
      <c r="L11" s="16" t="s">
        <v>6</v>
      </c>
      <c r="Q11" s="86"/>
    </row>
    <row r="12" spans="1:17" ht="5.15" customHeight="1" thickBot="1" x14ac:dyDescent="0.4">
      <c r="A12" s="2"/>
      <c r="B12" s="71"/>
      <c r="C12" s="78"/>
      <c r="D12" s="17"/>
      <c r="E12" s="22"/>
      <c r="F12" s="22"/>
      <c r="G12" s="22"/>
      <c r="H12" s="21"/>
      <c r="I12" s="22"/>
      <c r="J12" s="22"/>
      <c r="K12" s="22"/>
      <c r="L12" s="18"/>
      <c r="Q12" s="86"/>
    </row>
    <row r="13" spans="1:17" ht="22" customHeight="1" x14ac:dyDescent="0.35">
      <c r="A13" s="2"/>
      <c r="B13" s="70" t="s">
        <v>4</v>
      </c>
      <c r="C13" s="10"/>
      <c r="D13" s="10"/>
      <c r="E13" s="10"/>
      <c r="F13" s="10"/>
      <c r="G13" s="10"/>
      <c r="H13" s="10"/>
      <c r="I13" s="10"/>
      <c r="J13" s="10"/>
      <c r="K13" s="10"/>
      <c r="L13" s="11"/>
      <c r="Q13" s="86"/>
    </row>
    <row r="14" spans="1:17" ht="18" customHeight="1" x14ac:dyDescent="0.35">
      <c r="A14" s="2"/>
      <c r="B14" s="70"/>
      <c r="C14" s="10"/>
      <c r="D14" s="10"/>
      <c r="E14" s="10"/>
      <c r="F14" s="10"/>
      <c r="G14" s="10"/>
      <c r="H14" s="10"/>
      <c r="I14" s="10"/>
      <c r="J14" s="10"/>
      <c r="K14" s="10"/>
      <c r="L14" s="11"/>
      <c r="Q14" s="86"/>
    </row>
    <row r="15" spans="1:17" ht="17.149999999999999" customHeight="1" x14ac:dyDescent="0.35">
      <c r="A15" s="2"/>
      <c r="B15" s="70"/>
      <c r="C15" s="5"/>
      <c r="D15" s="6"/>
      <c r="E15" s="72" t="s">
        <v>1</v>
      </c>
      <c r="F15" s="73"/>
      <c r="G15" s="74"/>
      <c r="H15" s="4" t="s">
        <v>2</v>
      </c>
      <c r="I15" s="72" t="s">
        <v>3</v>
      </c>
      <c r="J15" s="73"/>
      <c r="K15" s="74"/>
      <c r="L15" s="12" t="s">
        <v>2</v>
      </c>
      <c r="Q15" s="86"/>
    </row>
    <row r="16" spans="1:17" ht="5.15" customHeight="1" x14ac:dyDescent="0.35">
      <c r="A16" s="2"/>
      <c r="B16" s="70"/>
      <c r="C16" s="75"/>
      <c r="D16" s="10"/>
      <c r="E16" s="13"/>
      <c r="F16" s="13"/>
      <c r="G16" s="13"/>
      <c r="H16" s="8"/>
      <c r="I16" s="13"/>
      <c r="J16" s="13"/>
      <c r="K16" s="13"/>
      <c r="L16" s="11"/>
      <c r="Q16" s="86"/>
    </row>
    <row r="17" spans="1:17" ht="16" customHeight="1" x14ac:dyDescent="0.35">
      <c r="A17" s="2"/>
      <c r="B17" s="70"/>
      <c r="C17" s="76"/>
      <c r="D17" s="42" t="s">
        <v>5</v>
      </c>
      <c r="E17" s="13"/>
      <c r="F17" s="35">
        <v>10000</v>
      </c>
      <c r="G17" s="13"/>
      <c r="H17" s="45" t="s">
        <v>6</v>
      </c>
      <c r="I17" s="13"/>
      <c r="J17" s="29" t="s">
        <v>7</v>
      </c>
      <c r="K17" s="13"/>
      <c r="L17" s="16" t="s">
        <v>6</v>
      </c>
      <c r="Q17" s="86"/>
    </row>
    <row r="18" spans="1:17" ht="5.15" customHeight="1" thickBot="1" x14ac:dyDescent="0.4">
      <c r="A18" s="2"/>
      <c r="B18" s="95"/>
      <c r="C18" s="96"/>
      <c r="D18" s="49"/>
      <c r="E18" s="50"/>
      <c r="F18" s="50"/>
      <c r="G18" s="50"/>
      <c r="H18" s="51"/>
      <c r="I18" s="50"/>
      <c r="J18" s="50"/>
      <c r="K18" s="50"/>
      <c r="L18" s="52"/>
      <c r="Q18" s="86"/>
    </row>
    <row r="19" spans="1:17" ht="9" customHeight="1" x14ac:dyDescent="0.35">
      <c r="A19" s="2"/>
      <c r="B19" s="2"/>
      <c r="C19" s="2"/>
      <c r="D19" s="2"/>
      <c r="E19" s="2"/>
      <c r="F19" s="2"/>
      <c r="G19" s="2"/>
      <c r="H19" s="2"/>
      <c r="I19" s="2"/>
      <c r="J19" s="2"/>
      <c r="K19" s="2"/>
      <c r="L19" s="2"/>
      <c r="Q19" s="86"/>
    </row>
    <row r="20" spans="1:17" ht="24.65" customHeight="1" x14ac:dyDescent="0.4">
      <c r="A20" s="2"/>
      <c r="B20" s="2"/>
      <c r="C20" s="2"/>
      <c r="D20" s="2"/>
      <c r="E20" s="2"/>
      <c r="F20" s="2"/>
      <c r="G20" s="2"/>
      <c r="H20" s="2"/>
      <c r="I20" s="2"/>
      <c r="J20" s="2"/>
      <c r="K20" s="2"/>
      <c r="L20" s="2"/>
      <c r="Q20" s="25"/>
    </row>
    <row r="21" spans="1:17" ht="15" customHeight="1" thickBot="1" x14ac:dyDescent="0.4">
      <c r="A21" s="2"/>
      <c r="B21" s="2"/>
      <c r="C21" s="2"/>
      <c r="D21" s="2"/>
      <c r="E21" s="2"/>
      <c r="F21" s="2"/>
      <c r="G21" s="2"/>
      <c r="H21" s="2"/>
      <c r="I21" s="2"/>
      <c r="J21" s="2"/>
      <c r="K21" s="2"/>
      <c r="L21" s="2"/>
      <c r="Q21" s="26" t="s">
        <v>19</v>
      </c>
    </row>
    <row r="22" spans="1:17" ht="28.4" customHeight="1" x14ac:dyDescent="0.35">
      <c r="A22" s="2"/>
      <c r="B22" s="79" t="s">
        <v>9</v>
      </c>
      <c r="C22" s="80"/>
      <c r="D22" s="80"/>
      <c r="E22" s="80"/>
      <c r="F22" s="80"/>
      <c r="G22" s="80"/>
      <c r="H22" s="80"/>
      <c r="I22" s="80"/>
      <c r="J22" s="80"/>
      <c r="K22" s="80"/>
      <c r="L22" s="81"/>
      <c r="Q22" s="86" t="s">
        <v>28</v>
      </c>
    </row>
    <row r="23" spans="1:17" ht="28.4" customHeight="1" thickBot="1" x14ac:dyDescent="0.4">
      <c r="A23" s="2"/>
      <c r="B23" s="82"/>
      <c r="C23" s="83"/>
      <c r="D23" s="83"/>
      <c r="E23" s="83"/>
      <c r="F23" s="83"/>
      <c r="G23" s="83"/>
      <c r="H23" s="83"/>
      <c r="I23" s="83"/>
      <c r="J23" s="83"/>
      <c r="K23" s="83"/>
      <c r="L23" s="84"/>
      <c r="Q23" s="86"/>
    </row>
    <row r="24" spans="1:17" ht="16" customHeight="1" x14ac:dyDescent="0.35">
      <c r="A24" s="2"/>
      <c r="B24" s="94" t="s">
        <v>8</v>
      </c>
      <c r="C24" s="19"/>
      <c r="D24" s="19"/>
      <c r="E24" s="19"/>
      <c r="F24" s="19"/>
      <c r="G24" s="19"/>
      <c r="H24" s="19"/>
      <c r="I24" s="19"/>
      <c r="J24" s="19"/>
      <c r="K24" s="19"/>
      <c r="L24" s="20"/>
      <c r="Q24" s="86"/>
    </row>
    <row r="25" spans="1:17" ht="18" customHeight="1" x14ac:dyDescent="0.35">
      <c r="A25" s="2"/>
      <c r="B25" s="70"/>
      <c r="C25" s="5"/>
      <c r="D25" s="6"/>
      <c r="E25" s="72" t="s">
        <v>1</v>
      </c>
      <c r="F25" s="73"/>
      <c r="G25" s="74"/>
      <c r="H25" s="4" t="s">
        <v>2</v>
      </c>
      <c r="I25" s="72" t="s">
        <v>3</v>
      </c>
      <c r="J25" s="73"/>
      <c r="K25" s="74"/>
      <c r="L25" s="12" t="s">
        <v>2</v>
      </c>
      <c r="Q25" s="86"/>
    </row>
    <row r="26" spans="1:17" ht="5.15" customHeight="1" x14ac:dyDescent="0.35">
      <c r="A26" s="2"/>
      <c r="B26" s="70"/>
      <c r="C26" s="76"/>
      <c r="D26" s="10"/>
      <c r="E26" s="13"/>
      <c r="F26" s="13"/>
      <c r="G26" s="13"/>
      <c r="H26" s="9"/>
      <c r="I26" s="13"/>
      <c r="J26" s="13"/>
      <c r="K26" s="13"/>
      <c r="L26" s="11"/>
      <c r="Q26" s="86"/>
    </row>
    <row r="27" spans="1:17" ht="16" customHeight="1" x14ac:dyDescent="0.35">
      <c r="A27" s="2"/>
      <c r="B27" s="70"/>
      <c r="C27" s="76"/>
      <c r="D27" s="42" t="s">
        <v>26</v>
      </c>
      <c r="E27" s="13"/>
      <c r="F27" s="14">
        <v>10000</v>
      </c>
      <c r="G27" s="13"/>
      <c r="H27" s="45" t="s">
        <v>6</v>
      </c>
      <c r="I27" s="13"/>
      <c r="J27" s="15" t="s">
        <v>7</v>
      </c>
      <c r="K27" s="13"/>
      <c r="L27" s="16" t="s">
        <v>6</v>
      </c>
      <c r="Q27" s="86"/>
    </row>
    <row r="28" spans="1:17" ht="5.15" customHeight="1" x14ac:dyDescent="0.35">
      <c r="A28" s="2"/>
      <c r="B28" s="70"/>
      <c r="C28" s="77"/>
      <c r="D28" s="43"/>
      <c r="E28" s="7"/>
      <c r="F28" s="7"/>
      <c r="G28" s="7"/>
      <c r="H28" s="6"/>
      <c r="I28" s="7"/>
      <c r="J28" s="7"/>
      <c r="K28" s="7"/>
      <c r="L28" s="44"/>
      <c r="Q28" s="86"/>
    </row>
    <row r="29" spans="1:17" ht="5.15" customHeight="1" x14ac:dyDescent="0.35">
      <c r="A29" s="2"/>
      <c r="B29" s="70"/>
      <c r="C29" s="76"/>
      <c r="D29" s="10"/>
      <c r="E29" s="13"/>
      <c r="F29" s="13"/>
      <c r="G29" s="13"/>
      <c r="H29" s="9"/>
      <c r="I29" s="13"/>
      <c r="J29" s="13"/>
      <c r="K29" s="13"/>
      <c r="L29" s="11"/>
      <c r="Q29" s="86"/>
    </row>
    <row r="30" spans="1:17" ht="16" customHeight="1" x14ac:dyDescent="0.4">
      <c r="A30" s="2"/>
      <c r="B30" s="70"/>
      <c r="C30" s="76"/>
      <c r="D30" s="42" t="s">
        <v>27</v>
      </c>
      <c r="E30" s="13"/>
      <c r="F30" s="14">
        <v>10000</v>
      </c>
      <c r="G30" s="13"/>
      <c r="H30" s="45" t="s">
        <v>6</v>
      </c>
      <c r="I30" s="13"/>
      <c r="J30" s="15" t="s">
        <v>7</v>
      </c>
      <c r="K30" s="13"/>
      <c r="L30" s="16" t="s">
        <v>6</v>
      </c>
      <c r="Q30" s="27"/>
    </row>
    <row r="31" spans="1:17" ht="5.15" customHeight="1" x14ac:dyDescent="0.35">
      <c r="A31" s="2"/>
      <c r="B31" s="70"/>
      <c r="C31" s="77"/>
      <c r="D31" s="43"/>
      <c r="E31" s="7"/>
      <c r="F31" s="7"/>
      <c r="G31" s="7"/>
      <c r="H31" s="6"/>
      <c r="I31" s="7"/>
      <c r="J31" s="7"/>
      <c r="K31" s="7"/>
      <c r="L31" s="44"/>
    </row>
    <row r="32" spans="1:17" ht="5.15" customHeight="1" x14ac:dyDescent="0.35">
      <c r="A32" s="2"/>
      <c r="B32" s="70"/>
      <c r="C32" s="76"/>
      <c r="D32" s="10"/>
      <c r="E32" s="13"/>
      <c r="F32" s="13"/>
      <c r="G32" s="13"/>
      <c r="H32" s="9"/>
      <c r="I32" s="13"/>
      <c r="J32" s="13"/>
      <c r="K32" s="13"/>
      <c r="L32" s="11"/>
    </row>
    <row r="33" spans="1:12" ht="16" customHeight="1" x14ac:dyDescent="0.35">
      <c r="A33" s="2"/>
      <c r="B33" s="70"/>
      <c r="C33" s="76"/>
      <c r="D33" s="42" t="s">
        <v>10</v>
      </c>
      <c r="E33" s="13"/>
      <c r="F33" s="14">
        <v>10000</v>
      </c>
      <c r="G33" s="13"/>
      <c r="H33" s="45" t="s">
        <v>6</v>
      </c>
      <c r="I33" s="13"/>
      <c r="J33" s="15" t="s">
        <v>7</v>
      </c>
      <c r="K33" s="13"/>
      <c r="L33" s="16" t="s">
        <v>6</v>
      </c>
    </row>
    <row r="34" spans="1:12" ht="5.15" customHeight="1" x14ac:dyDescent="0.35">
      <c r="A34" s="2"/>
      <c r="B34" s="70"/>
      <c r="C34" s="77"/>
      <c r="D34" s="43"/>
      <c r="E34" s="7"/>
      <c r="F34" s="7"/>
      <c r="G34" s="7"/>
      <c r="H34" s="6"/>
      <c r="I34" s="7"/>
      <c r="J34" s="7"/>
      <c r="K34" s="7"/>
      <c r="L34" s="44"/>
    </row>
    <row r="35" spans="1:12" ht="5.15" customHeight="1" x14ac:dyDescent="0.35">
      <c r="A35" s="2"/>
      <c r="B35" s="70"/>
      <c r="C35" s="76"/>
      <c r="D35" s="10"/>
      <c r="E35" s="13"/>
      <c r="F35" s="13"/>
      <c r="G35" s="13"/>
      <c r="H35" s="9"/>
      <c r="I35" s="13"/>
      <c r="J35" s="13"/>
      <c r="K35" s="13"/>
      <c r="L35" s="11"/>
    </row>
    <row r="36" spans="1:12" ht="16" customHeight="1" x14ac:dyDescent="0.35">
      <c r="A36" s="2"/>
      <c r="B36" s="70"/>
      <c r="C36" s="76"/>
      <c r="D36" s="42" t="s">
        <v>11</v>
      </c>
      <c r="E36" s="13"/>
      <c r="F36" s="14">
        <v>10000</v>
      </c>
      <c r="G36" s="13"/>
      <c r="H36" s="45" t="s">
        <v>6</v>
      </c>
      <c r="I36" s="13"/>
      <c r="J36" s="15" t="s">
        <v>7</v>
      </c>
      <c r="K36" s="13"/>
      <c r="L36" s="16" t="s">
        <v>6</v>
      </c>
    </row>
    <row r="37" spans="1:12" ht="5.15" customHeight="1" x14ac:dyDescent="0.35">
      <c r="A37" s="2"/>
      <c r="B37" s="70"/>
      <c r="C37" s="77"/>
      <c r="D37" s="43"/>
      <c r="E37" s="7"/>
      <c r="F37" s="7"/>
      <c r="G37" s="7"/>
      <c r="H37" s="6"/>
      <c r="I37" s="7"/>
      <c r="J37" s="7"/>
      <c r="K37" s="7"/>
      <c r="L37" s="44"/>
    </row>
    <row r="38" spans="1:12" ht="5.15" customHeight="1" x14ac:dyDescent="0.35">
      <c r="A38" s="2"/>
      <c r="B38" s="70"/>
      <c r="C38" s="76"/>
      <c r="D38" s="10"/>
      <c r="E38" s="13"/>
      <c r="F38" s="13"/>
      <c r="G38" s="13"/>
      <c r="H38" s="9"/>
      <c r="I38" s="13"/>
      <c r="J38" s="13"/>
      <c r="K38" s="13"/>
      <c r="L38" s="11"/>
    </row>
    <row r="39" spans="1:12" ht="16" customHeight="1" x14ac:dyDescent="0.35">
      <c r="A39" s="2"/>
      <c r="B39" s="70"/>
      <c r="C39" s="76"/>
      <c r="D39" s="42" t="s">
        <v>12</v>
      </c>
      <c r="E39" s="13"/>
      <c r="F39" s="13"/>
      <c r="G39" s="13"/>
      <c r="H39" s="9"/>
      <c r="I39" s="13"/>
      <c r="J39" s="13"/>
      <c r="K39" s="13"/>
      <c r="L39" s="11"/>
    </row>
    <row r="40" spans="1:12" ht="22" customHeight="1" x14ac:dyDescent="0.35">
      <c r="A40" s="2"/>
      <c r="B40" s="70"/>
      <c r="C40" s="41"/>
      <c r="D40" s="10"/>
      <c r="E40" s="10"/>
      <c r="F40" s="10"/>
      <c r="G40" s="10"/>
      <c r="H40" s="9"/>
      <c r="I40" s="10"/>
      <c r="J40" s="10"/>
      <c r="K40" s="10"/>
      <c r="L40" s="11"/>
    </row>
    <row r="41" spans="1:12" ht="5.15" customHeight="1" thickBot="1" x14ac:dyDescent="0.4">
      <c r="A41" s="2"/>
      <c r="B41" s="71"/>
      <c r="C41" s="46"/>
      <c r="D41" s="17"/>
      <c r="E41" s="17"/>
      <c r="F41" s="17"/>
      <c r="G41" s="17"/>
      <c r="H41" s="21"/>
      <c r="I41" s="17"/>
      <c r="J41" s="17"/>
      <c r="K41" s="17"/>
      <c r="L41" s="18"/>
    </row>
    <row r="42" spans="1:12" ht="18" customHeight="1" x14ac:dyDescent="0.35">
      <c r="A42" s="2"/>
      <c r="B42" s="69" t="s">
        <v>4</v>
      </c>
      <c r="C42" s="10"/>
      <c r="D42" s="10"/>
      <c r="E42" s="10"/>
      <c r="F42" s="10"/>
      <c r="G42" s="10"/>
      <c r="H42" s="10"/>
      <c r="I42" s="10"/>
      <c r="J42" s="10"/>
      <c r="K42" s="10"/>
      <c r="L42" s="11"/>
    </row>
    <row r="43" spans="1:12" ht="17.149999999999999" customHeight="1" x14ac:dyDescent="0.35">
      <c r="A43" s="2"/>
      <c r="B43" s="70"/>
      <c r="C43" s="5"/>
      <c r="D43" s="6"/>
      <c r="E43" s="72" t="s">
        <v>1</v>
      </c>
      <c r="F43" s="73"/>
      <c r="G43" s="74"/>
      <c r="H43" s="4" t="s">
        <v>2</v>
      </c>
      <c r="I43" s="72" t="s">
        <v>3</v>
      </c>
      <c r="J43" s="73"/>
      <c r="K43" s="74"/>
      <c r="L43" s="12" t="s">
        <v>2</v>
      </c>
    </row>
    <row r="44" spans="1:12" ht="5.15" customHeight="1" x14ac:dyDescent="0.35">
      <c r="A44" s="2"/>
      <c r="B44" s="70"/>
      <c r="C44" s="76"/>
      <c r="D44" s="10"/>
      <c r="E44" s="13"/>
      <c r="F44" s="13"/>
      <c r="G44" s="13"/>
      <c r="H44" s="9"/>
      <c r="I44" s="13"/>
      <c r="J44" s="13"/>
      <c r="K44" s="13"/>
      <c r="L44" s="11"/>
    </row>
    <row r="45" spans="1:12" ht="16" customHeight="1" x14ac:dyDescent="0.35">
      <c r="A45" s="2"/>
      <c r="B45" s="70"/>
      <c r="C45" s="76"/>
      <c r="D45" s="42" t="s">
        <v>26</v>
      </c>
      <c r="E45" s="13"/>
      <c r="F45" s="14">
        <v>10000</v>
      </c>
      <c r="G45" s="13"/>
      <c r="H45" s="45" t="s">
        <v>6</v>
      </c>
      <c r="I45" s="13"/>
      <c r="J45" s="15" t="s">
        <v>7</v>
      </c>
      <c r="K45" s="13"/>
      <c r="L45" s="16" t="s">
        <v>6</v>
      </c>
    </row>
    <row r="46" spans="1:12" ht="5.15" customHeight="1" x14ac:dyDescent="0.35">
      <c r="A46" s="2"/>
      <c r="B46" s="70"/>
      <c r="C46" s="77"/>
      <c r="D46" s="43"/>
      <c r="E46" s="7"/>
      <c r="F46" s="7"/>
      <c r="G46" s="7"/>
      <c r="H46" s="6"/>
      <c r="I46" s="7"/>
      <c r="J46" s="7"/>
      <c r="K46" s="7"/>
      <c r="L46" s="44"/>
    </row>
    <row r="47" spans="1:12" ht="5.15" customHeight="1" x14ac:dyDescent="0.35">
      <c r="A47" s="2"/>
      <c r="B47" s="70"/>
      <c r="C47" s="76"/>
      <c r="D47" s="10"/>
      <c r="E47" s="13"/>
      <c r="F47" s="13"/>
      <c r="G47" s="13"/>
      <c r="H47" s="9"/>
      <c r="I47" s="13"/>
      <c r="J47" s="13"/>
      <c r="K47" s="13"/>
      <c r="L47" s="11"/>
    </row>
    <row r="48" spans="1:12" ht="16" customHeight="1" x14ac:dyDescent="0.35">
      <c r="A48" s="2"/>
      <c r="B48" s="70"/>
      <c r="C48" s="76"/>
      <c r="D48" s="42" t="s">
        <v>27</v>
      </c>
      <c r="E48" s="13"/>
      <c r="F48" s="34">
        <v>10000</v>
      </c>
      <c r="G48" s="13"/>
      <c r="H48" s="45" t="s">
        <v>22</v>
      </c>
      <c r="I48" s="13"/>
      <c r="J48" s="28" t="s">
        <v>7</v>
      </c>
      <c r="K48" s="13"/>
      <c r="L48" s="16" t="s">
        <v>20</v>
      </c>
    </row>
    <row r="49" spans="1:12" ht="5.15" customHeight="1" x14ac:dyDescent="0.35">
      <c r="A49" s="2"/>
      <c r="B49" s="70"/>
      <c r="C49" s="77"/>
      <c r="D49" s="43"/>
      <c r="E49" s="7"/>
      <c r="F49" s="7"/>
      <c r="G49" s="7"/>
      <c r="H49" s="6"/>
      <c r="I49" s="7"/>
      <c r="J49" s="7"/>
      <c r="K49" s="7"/>
      <c r="L49" s="44"/>
    </row>
    <row r="50" spans="1:12" ht="5.15" customHeight="1" x14ac:dyDescent="0.35">
      <c r="A50" s="2"/>
      <c r="B50" s="70"/>
      <c r="C50" s="76"/>
      <c r="D50" s="10"/>
      <c r="E50" s="13"/>
      <c r="F50" s="13"/>
      <c r="G50" s="13"/>
      <c r="H50" s="9"/>
      <c r="I50" s="13"/>
      <c r="J50" s="13"/>
      <c r="K50" s="13"/>
      <c r="L50" s="11"/>
    </row>
    <row r="51" spans="1:12" ht="16" customHeight="1" x14ac:dyDescent="0.35">
      <c r="A51" s="2"/>
      <c r="B51" s="70"/>
      <c r="C51" s="76"/>
      <c r="D51" s="42" t="s">
        <v>10</v>
      </c>
      <c r="E51" s="13"/>
      <c r="F51" s="14">
        <v>10000</v>
      </c>
      <c r="G51" s="13"/>
      <c r="H51" s="45" t="s">
        <v>6</v>
      </c>
      <c r="I51" s="13"/>
      <c r="J51" s="15" t="s">
        <v>7</v>
      </c>
      <c r="K51" s="13"/>
      <c r="L51" s="16" t="s">
        <v>6</v>
      </c>
    </row>
    <row r="52" spans="1:12" ht="5.15" customHeight="1" x14ac:dyDescent="0.35">
      <c r="A52" s="2"/>
      <c r="B52" s="70"/>
      <c r="C52" s="77"/>
      <c r="D52" s="43"/>
      <c r="E52" s="7"/>
      <c r="F52" s="7"/>
      <c r="G52" s="7"/>
      <c r="H52" s="6"/>
      <c r="I52" s="7"/>
      <c r="J52" s="7"/>
      <c r="K52" s="7"/>
      <c r="L52" s="44"/>
    </row>
    <row r="53" spans="1:12" ht="5.15" customHeight="1" x14ac:dyDescent="0.35">
      <c r="A53" s="2"/>
      <c r="B53" s="70"/>
      <c r="C53" s="76"/>
      <c r="D53" s="10"/>
      <c r="E53" s="13"/>
      <c r="F53" s="13"/>
      <c r="G53" s="13"/>
      <c r="H53" s="9"/>
      <c r="I53" s="13"/>
      <c r="J53" s="13"/>
      <c r="K53" s="13"/>
      <c r="L53" s="11"/>
    </row>
    <row r="54" spans="1:12" ht="16" customHeight="1" x14ac:dyDescent="0.35">
      <c r="A54" s="2"/>
      <c r="B54" s="70"/>
      <c r="C54" s="76"/>
      <c r="D54" s="42" t="s">
        <v>11</v>
      </c>
      <c r="E54" s="13"/>
      <c r="F54" s="30">
        <v>10000</v>
      </c>
      <c r="G54" s="13"/>
      <c r="H54" s="45" t="s">
        <v>21</v>
      </c>
      <c r="I54" s="13"/>
      <c r="J54" s="15" t="s">
        <v>7</v>
      </c>
      <c r="K54" s="13"/>
      <c r="L54" s="16" t="s">
        <v>20</v>
      </c>
    </row>
    <row r="55" spans="1:12" ht="5.15" customHeight="1" x14ac:dyDescent="0.35">
      <c r="A55" s="2"/>
      <c r="B55" s="70"/>
      <c r="C55" s="77"/>
      <c r="D55" s="43"/>
      <c r="E55" s="7"/>
      <c r="F55" s="7"/>
      <c r="G55" s="7"/>
      <c r="H55" s="6"/>
      <c r="I55" s="7"/>
      <c r="J55" s="7"/>
      <c r="K55" s="7"/>
      <c r="L55" s="44"/>
    </row>
    <row r="56" spans="1:12" ht="5.15" customHeight="1" x14ac:dyDescent="0.35">
      <c r="A56" s="2"/>
      <c r="B56" s="70"/>
      <c r="C56" s="76"/>
      <c r="D56" s="10"/>
      <c r="E56" s="13"/>
      <c r="F56" s="13"/>
      <c r="G56" s="13"/>
      <c r="H56" s="9"/>
      <c r="I56" s="13"/>
      <c r="J56" s="13"/>
      <c r="K56" s="13"/>
      <c r="L56" s="11"/>
    </row>
    <row r="57" spans="1:12" ht="16" customHeight="1" x14ac:dyDescent="0.35">
      <c r="A57" s="2"/>
      <c r="B57" s="70"/>
      <c r="C57" s="76"/>
      <c r="D57" s="42" t="s">
        <v>12</v>
      </c>
      <c r="E57" s="13"/>
      <c r="F57" s="13"/>
      <c r="G57" s="13"/>
      <c r="H57" s="9"/>
      <c r="I57" s="13"/>
      <c r="J57" s="13"/>
      <c r="K57" s="13"/>
      <c r="L57" s="11"/>
    </row>
    <row r="58" spans="1:12" ht="4.95" customHeight="1" x14ac:dyDescent="0.35">
      <c r="A58" s="2"/>
      <c r="B58" s="70"/>
      <c r="C58" s="47"/>
      <c r="D58" s="42"/>
      <c r="E58" s="13"/>
      <c r="F58" s="13"/>
      <c r="G58" s="13"/>
      <c r="H58" s="9"/>
      <c r="I58" s="13"/>
      <c r="J58" s="13"/>
      <c r="K58" s="13"/>
      <c r="L58" s="11"/>
    </row>
    <row r="59" spans="1:12" x14ac:dyDescent="0.35">
      <c r="A59" s="2"/>
      <c r="B59" s="70"/>
      <c r="C59" s="47"/>
      <c r="D59" s="37" t="s">
        <v>29</v>
      </c>
      <c r="E59" s="13"/>
      <c r="F59" s="53">
        <v>10000</v>
      </c>
      <c r="G59" s="13"/>
      <c r="H59" s="45" t="s">
        <v>30</v>
      </c>
      <c r="I59" s="13"/>
      <c r="J59" s="54" t="s">
        <v>7</v>
      </c>
      <c r="K59" s="13"/>
      <c r="L59" s="16" t="s">
        <v>30</v>
      </c>
    </row>
    <row r="60" spans="1:12" ht="4.95" customHeight="1" x14ac:dyDescent="0.35">
      <c r="A60" s="2"/>
      <c r="B60" s="70"/>
      <c r="C60" s="47"/>
      <c r="D60" s="36"/>
      <c r="E60" s="7"/>
      <c r="F60" s="7"/>
      <c r="G60" s="7"/>
      <c r="H60" s="6"/>
      <c r="I60" s="7"/>
      <c r="J60" s="7"/>
      <c r="K60" s="7"/>
      <c r="L60" s="48"/>
    </row>
    <row r="61" spans="1:12" ht="22" customHeight="1" x14ac:dyDescent="0.35">
      <c r="A61" s="2"/>
      <c r="B61" s="70"/>
      <c r="C61" s="41"/>
      <c r="D61" s="10"/>
      <c r="E61" s="10"/>
      <c r="F61" s="10"/>
      <c r="G61" s="10"/>
      <c r="H61" s="9"/>
      <c r="I61" s="10"/>
      <c r="J61" s="10"/>
      <c r="K61" s="10"/>
      <c r="L61" s="11"/>
    </row>
    <row r="62" spans="1:12" ht="5.15" customHeight="1" thickBot="1" x14ac:dyDescent="0.4">
      <c r="A62" s="2"/>
      <c r="B62" s="71"/>
      <c r="C62" s="46"/>
      <c r="D62" s="17"/>
      <c r="E62" s="17"/>
      <c r="F62" s="17"/>
      <c r="G62" s="17"/>
      <c r="H62" s="21"/>
      <c r="I62" s="17"/>
      <c r="J62" s="17"/>
      <c r="K62" s="17"/>
      <c r="L62" s="18"/>
    </row>
    <row r="63" spans="1:12" ht="24.65" customHeight="1" x14ac:dyDescent="0.35">
      <c r="A63" s="2"/>
      <c r="B63" s="2"/>
      <c r="C63" s="2"/>
      <c r="D63" s="2"/>
      <c r="E63" s="2"/>
      <c r="F63" s="2"/>
      <c r="G63" s="2"/>
      <c r="H63" s="2"/>
      <c r="I63" s="2"/>
      <c r="J63" s="2"/>
      <c r="K63" s="2"/>
      <c r="L63" s="2"/>
    </row>
    <row r="64" spans="1:12" ht="14.6" thickBot="1" x14ac:dyDescent="0.4">
      <c r="A64" s="2"/>
      <c r="B64" s="2"/>
      <c r="C64" s="2"/>
      <c r="D64" s="2"/>
      <c r="E64" s="2"/>
      <c r="F64" s="2"/>
      <c r="G64" s="2"/>
      <c r="H64" s="2"/>
      <c r="I64" s="2"/>
      <c r="J64" s="2"/>
      <c r="K64" s="2"/>
      <c r="L64" s="2"/>
    </row>
    <row r="65" spans="1:12" ht="28.4" customHeight="1" x14ac:dyDescent="0.35">
      <c r="A65" s="2"/>
      <c r="B65" s="79" t="s">
        <v>13</v>
      </c>
      <c r="C65" s="80"/>
      <c r="D65" s="80"/>
      <c r="E65" s="80"/>
      <c r="F65" s="80"/>
      <c r="G65" s="80"/>
      <c r="H65" s="80"/>
      <c r="I65" s="80"/>
      <c r="J65" s="80"/>
      <c r="K65" s="80"/>
      <c r="L65" s="81"/>
    </row>
    <row r="66" spans="1:12" ht="28.4" customHeight="1" x14ac:dyDescent="0.35">
      <c r="A66" s="2"/>
      <c r="B66" s="82"/>
      <c r="C66" s="83"/>
      <c r="D66" s="83"/>
      <c r="E66" s="83"/>
      <c r="F66" s="83"/>
      <c r="G66" s="83"/>
      <c r="H66" s="83"/>
      <c r="I66" s="83"/>
      <c r="J66" s="83"/>
      <c r="K66" s="83"/>
      <c r="L66" s="84"/>
    </row>
    <row r="67" spans="1:12" ht="21.75" customHeight="1" x14ac:dyDescent="0.35">
      <c r="A67" s="2"/>
      <c r="B67" s="69" t="s">
        <v>4</v>
      </c>
      <c r="C67" s="10"/>
      <c r="D67" s="10"/>
      <c r="E67" s="10"/>
      <c r="F67" s="10"/>
      <c r="G67" s="10"/>
      <c r="H67" s="10"/>
      <c r="I67" s="10"/>
      <c r="J67" s="10"/>
      <c r="K67" s="10"/>
      <c r="L67" s="11"/>
    </row>
    <row r="68" spans="1:12" ht="18" customHeight="1" x14ac:dyDescent="0.35">
      <c r="A68" s="2"/>
      <c r="B68" s="70"/>
      <c r="C68" s="5"/>
      <c r="D68" s="6"/>
      <c r="E68" s="72" t="s">
        <v>1</v>
      </c>
      <c r="F68" s="73"/>
      <c r="G68" s="74"/>
      <c r="H68" s="4" t="s">
        <v>2</v>
      </c>
      <c r="I68" s="72" t="s">
        <v>3</v>
      </c>
      <c r="J68" s="73"/>
      <c r="K68" s="74"/>
      <c r="L68" s="12" t="s">
        <v>2</v>
      </c>
    </row>
    <row r="69" spans="1:12" ht="5.15" customHeight="1" x14ac:dyDescent="0.35">
      <c r="A69" s="2"/>
      <c r="B69" s="70"/>
      <c r="C69" s="75"/>
      <c r="D69" s="10"/>
      <c r="E69" s="13"/>
      <c r="F69" s="13"/>
      <c r="G69" s="13"/>
      <c r="H69" s="8"/>
      <c r="I69" s="13"/>
      <c r="J69" s="13"/>
      <c r="K69" s="13"/>
      <c r="L69" s="11"/>
    </row>
    <row r="70" spans="1:12" ht="15.75" customHeight="1" x14ac:dyDescent="0.35">
      <c r="A70" s="2"/>
      <c r="B70" s="70"/>
      <c r="C70" s="76"/>
      <c r="D70" s="42" t="s">
        <v>14</v>
      </c>
      <c r="E70" s="13"/>
      <c r="F70" s="14">
        <v>10000</v>
      </c>
      <c r="G70" s="13"/>
      <c r="H70" s="45" t="s">
        <v>6</v>
      </c>
      <c r="I70" s="13"/>
      <c r="J70" s="15" t="s">
        <v>7</v>
      </c>
      <c r="K70" s="13"/>
      <c r="L70" s="16" t="s">
        <v>6</v>
      </c>
    </row>
    <row r="71" spans="1:12" ht="5.15" customHeight="1" x14ac:dyDescent="0.35">
      <c r="A71" s="2"/>
      <c r="B71" s="70"/>
      <c r="C71" s="77"/>
      <c r="D71" s="43"/>
      <c r="E71" s="7"/>
      <c r="F71" s="7"/>
      <c r="G71" s="7"/>
      <c r="H71" s="6"/>
      <c r="I71" s="7"/>
      <c r="J71" s="7"/>
      <c r="K71" s="7"/>
      <c r="L71" s="44"/>
    </row>
    <row r="72" spans="1:12" ht="5.15" customHeight="1" x14ac:dyDescent="0.35">
      <c r="A72" s="2"/>
      <c r="B72" s="70"/>
      <c r="C72" s="76"/>
      <c r="D72" s="10"/>
      <c r="E72" s="13"/>
      <c r="F72" s="13"/>
      <c r="G72" s="13"/>
      <c r="H72" s="9"/>
      <c r="I72" s="13"/>
      <c r="J72" s="13"/>
      <c r="K72" s="13"/>
      <c r="L72" s="11"/>
    </row>
    <row r="73" spans="1:12" ht="15.75" customHeight="1" x14ac:dyDescent="0.35">
      <c r="A73" s="2"/>
      <c r="B73" s="70"/>
      <c r="C73" s="76"/>
      <c r="D73" s="42" t="s">
        <v>15</v>
      </c>
      <c r="E73" s="13"/>
      <c r="F73" s="14">
        <v>10000</v>
      </c>
      <c r="G73" s="13"/>
      <c r="H73" s="45" t="s">
        <v>6</v>
      </c>
      <c r="I73" s="13"/>
      <c r="J73" s="15" t="s">
        <v>7</v>
      </c>
      <c r="K73" s="13"/>
      <c r="L73" s="16" t="s">
        <v>6</v>
      </c>
    </row>
    <row r="74" spans="1:12" ht="5.15" customHeight="1" x14ac:dyDescent="0.35">
      <c r="A74" s="2"/>
      <c r="B74" s="85"/>
      <c r="C74" s="77"/>
      <c r="D74" s="43"/>
      <c r="E74" s="7"/>
      <c r="F74" s="7"/>
      <c r="G74" s="7"/>
      <c r="H74" s="6"/>
      <c r="I74" s="7"/>
      <c r="J74" s="7"/>
      <c r="K74" s="7"/>
      <c r="L74" s="44"/>
    </row>
    <row r="75" spans="1:12" ht="21.75" customHeight="1" x14ac:dyDescent="0.35">
      <c r="A75" s="2"/>
      <c r="B75" s="69" t="s">
        <v>8</v>
      </c>
      <c r="C75" s="10"/>
      <c r="D75" s="10"/>
      <c r="E75" s="10"/>
      <c r="F75" s="10"/>
      <c r="G75" s="10"/>
      <c r="H75" s="10"/>
      <c r="I75" s="10"/>
      <c r="J75" s="10"/>
      <c r="K75" s="10"/>
      <c r="L75" s="11"/>
    </row>
    <row r="76" spans="1:12" ht="18" customHeight="1" x14ac:dyDescent="0.35">
      <c r="A76" s="2"/>
      <c r="B76" s="70"/>
      <c r="C76" s="5"/>
      <c r="D76" s="6"/>
      <c r="E76" s="72" t="s">
        <v>1</v>
      </c>
      <c r="F76" s="73"/>
      <c r="G76" s="74"/>
      <c r="H76" s="4" t="s">
        <v>2</v>
      </c>
      <c r="I76" s="72" t="s">
        <v>3</v>
      </c>
      <c r="J76" s="73"/>
      <c r="K76" s="74"/>
      <c r="L76" s="12" t="s">
        <v>2</v>
      </c>
    </row>
    <row r="77" spans="1:12" ht="5.15" customHeight="1" x14ac:dyDescent="0.35">
      <c r="A77" s="2"/>
      <c r="B77" s="70"/>
      <c r="C77" s="75"/>
      <c r="D77" s="10"/>
      <c r="E77" s="13"/>
      <c r="F77" s="13"/>
      <c r="G77" s="13"/>
      <c r="H77" s="8"/>
      <c r="I77" s="13"/>
      <c r="J77" s="13"/>
      <c r="K77" s="13"/>
      <c r="L77" s="11"/>
    </row>
    <row r="78" spans="1:12" ht="15.75" customHeight="1" x14ac:dyDescent="0.35">
      <c r="A78" s="2"/>
      <c r="B78" s="70"/>
      <c r="C78" s="76"/>
      <c r="D78" s="42" t="s">
        <v>14</v>
      </c>
      <c r="E78" s="13"/>
      <c r="F78" s="14">
        <v>10000</v>
      </c>
      <c r="G78" s="13"/>
      <c r="H78" s="45" t="s">
        <v>6</v>
      </c>
      <c r="I78" s="13"/>
      <c r="J78" s="15" t="s">
        <v>7</v>
      </c>
      <c r="K78" s="13"/>
      <c r="L78" s="16" t="s">
        <v>6</v>
      </c>
    </row>
    <row r="79" spans="1:12" ht="5.15" customHeight="1" x14ac:dyDescent="0.35">
      <c r="A79" s="2"/>
      <c r="B79" s="70"/>
      <c r="C79" s="77"/>
      <c r="D79" s="43"/>
      <c r="E79" s="7"/>
      <c r="F79" s="7"/>
      <c r="G79" s="7"/>
      <c r="H79" s="6"/>
      <c r="I79" s="7"/>
      <c r="J79" s="7"/>
      <c r="K79" s="7"/>
      <c r="L79" s="44"/>
    </row>
    <row r="80" spans="1:12" ht="5.15" customHeight="1" x14ac:dyDescent="0.35">
      <c r="A80" s="2"/>
      <c r="B80" s="70"/>
      <c r="C80" s="76"/>
      <c r="D80" s="10"/>
      <c r="E80" s="13"/>
      <c r="F80" s="13"/>
      <c r="G80" s="13"/>
      <c r="H80" s="9"/>
      <c r="I80" s="13"/>
      <c r="J80" s="13"/>
      <c r="K80" s="13"/>
      <c r="L80" s="11"/>
    </row>
    <row r="81" spans="1:12" ht="15.75" customHeight="1" x14ac:dyDescent="0.35">
      <c r="A81" s="2"/>
      <c r="B81" s="70"/>
      <c r="C81" s="76"/>
      <c r="D81" s="42" t="s">
        <v>15</v>
      </c>
      <c r="E81" s="13"/>
      <c r="F81" s="14">
        <v>10000</v>
      </c>
      <c r="G81" s="13"/>
      <c r="H81" s="45" t="s">
        <v>6</v>
      </c>
      <c r="I81" s="13"/>
      <c r="J81" s="15" t="s">
        <v>7</v>
      </c>
      <c r="K81" s="13"/>
      <c r="L81" s="16" t="s">
        <v>6</v>
      </c>
    </row>
    <row r="82" spans="1:12" ht="5.15" customHeight="1" thickBot="1" x14ac:dyDescent="0.4">
      <c r="A82" s="2"/>
      <c r="B82" s="71"/>
      <c r="C82" s="78"/>
      <c r="D82" s="17"/>
      <c r="E82" s="22"/>
      <c r="F82" s="22"/>
      <c r="G82" s="22"/>
      <c r="H82" s="21"/>
      <c r="I82" s="22"/>
      <c r="J82" s="22"/>
      <c r="K82" s="22"/>
      <c r="L82" s="18"/>
    </row>
    <row r="83" spans="1:12" ht="15" customHeight="1" x14ac:dyDescent="0.35">
      <c r="A83" s="2"/>
      <c r="B83" s="2"/>
      <c r="C83" s="2"/>
      <c r="D83" s="2"/>
      <c r="E83" s="2"/>
      <c r="F83" s="2"/>
      <c r="G83" s="2"/>
      <c r="H83" s="2"/>
      <c r="I83" s="2"/>
      <c r="J83" s="2"/>
      <c r="K83" s="2"/>
      <c r="L83" s="2"/>
    </row>
  </sheetData>
  <sheetProtection algorithmName="SHA-512" hashValue="msO9j4AT9JlI73j4r+qiJ1V12xVxidz2Tia4C19g7dBgog7xod6uCzvrArGAAUFKhNtfuDjrsRA24ds5JbET7Q==" saltValue="M+ENa0b2nP7MK6Yvg9a/5Q==" spinCount="100000" sheet="1" objects="1" scenarios="1" formatCells="0"/>
  <dataConsolidate/>
  <mergeCells count="43">
    <mergeCell ref="Q7:Q19"/>
    <mergeCell ref="Q22:Q29"/>
    <mergeCell ref="B1:L1"/>
    <mergeCell ref="B5:L5"/>
    <mergeCell ref="B6:L6"/>
    <mergeCell ref="B7:B12"/>
    <mergeCell ref="E9:G9"/>
    <mergeCell ref="I9:K9"/>
    <mergeCell ref="C10:C12"/>
    <mergeCell ref="B13:B18"/>
    <mergeCell ref="E15:G15"/>
    <mergeCell ref="I15:K15"/>
    <mergeCell ref="C16:C18"/>
    <mergeCell ref="B22:L22"/>
    <mergeCell ref="B23:L23"/>
    <mergeCell ref="B24:B41"/>
    <mergeCell ref="E25:G25"/>
    <mergeCell ref="I25:K25"/>
    <mergeCell ref="C26:C28"/>
    <mergeCell ref="C29:C31"/>
    <mergeCell ref="C32:C34"/>
    <mergeCell ref="C35:C37"/>
    <mergeCell ref="C38:C39"/>
    <mergeCell ref="B42:B62"/>
    <mergeCell ref="E43:G43"/>
    <mergeCell ref="I43:K43"/>
    <mergeCell ref="C44:C46"/>
    <mergeCell ref="C47:C49"/>
    <mergeCell ref="C50:C52"/>
    <mergeCell ref="C53:C55"/>
    <mergeCell ref="C56:C57"/>
    <mergeCell ref="B65:L65"/>
    <mergeCell ref="B66:L66"/>
    <mergeCell ref="B67:B74"/>
    <mergeCell ref="E68:G68"/>
    <mergeCell ref="I68:K68"/>
    <mergeCell ref="C69:C71"/>
    <mergeCell ref="C72:C74"/>
    <mergeCell ref="B75:B82"/>
    <mergeCell ref="E76:G76"/>
    <mergeCell ref="I76:K76"/>
    <mergeCell ref="C77:C79"/>
    <mergeCell ref="C80:C82"/>
  </mergeCells>
  <pageMargins left="0.7" right="0.7" top="0.75" bottom="0.75" header="0.3" footer="0.3"/>
  <pageSetup orientation="portrait" horizontalDpi="300" verticalDpi="200" r:id="rId1"/>
  <customProperties>
    <customPr name="IbpWorksheetKeyString_GUID" r:id="rId2"/>
  </customProperties>
  <drawing r:id="rId3"/>
  <legacyDrawing r:id="rId4"/>
  <controls>
    <mc:AlternateContent xmlns:mc="http://schemas.openxmlformats.org/markup-compatibility/2006">
      <mc:Choice Requires="x14">
        <control shapeId="4097" r:id="rId5" name="cbApplyLevelFormatting">
          <controlPr defaultSize="0" autoFill="0" autoLine="0" r:id="rId6">
            <anchor moveWithCells="1">
              <from>
                <xdr:col>7</xdr:col>
                <xdr:colOff>1485900</xdr:colOff>
                <xdr:row>4</xdr:row>
                <xdr:rowOff>65314</xdr:rowOff>
              </from>
              <to>
                <xdr:col>7</xdr:col>
                <xdr:colOff>1611086</xdr:colOff>
                <xdr:row>4</xdr:row>
                <xdr:rowOff>353786</xdr:rowOff>
              </to>
            </anchor>
          </controlPr>
        </control>
      </mc:Choice>
      <mc:Fallback>
        <control shapeId="4097" r:id="rId5" name="cbApplyLevelFormatting"/>
      </mc:Fallback>
    </mc:AlternateContent>
    <mc:AlternateContent xmlns:mc="http://schemas.openxmlformats.org/markup-compatibility/2006">
      <mc:Choice Requires="x14">
        <control shapeId="4123" r:id="rId7" name="cbApplyMemberFormatting">
          <controlPr defaultSize="0" autoFill="0" autoLine="0" r:id="rId8">
            <anchor moveWithCells="1">
              <from>
                <xdr:col>9</xdr:col>
                <xdr:colOff>478971</xdr:colOff>
                <xdr:row>21</xdr:row>
                <xdr:rowOff>65314</xdr:rowOff>
              </from>
              <to>
                <xdr:col>9</xdr:col>
                <xdr:colOff>604157</xdr:colOff>
                <xdr:row>21</xdr:row>
                <xdr:rowOff>353786</xdr:rowOff>
              </to>
            </anchor>
          </controlPr>
        </control>
      </mc:Choice>
      <mc:Fallback>
        <control shapeId="4123" r:id="rId7" name="cbApplyMemberFormatting"/>
      </mc:Fallback>
    </mc:AlternateContent>
    <mc:AlternateContent xmlns:mc="http://schemas.openxmlformats.org/markup-compatibility/2006">
      <mc:Choice Requires="x14">
        <control shapeId="4141" r:id="rId9" name="cbApplyOddEvenFormatting">
          <controlPr defaultSize="0" autoFill="0" autoLine="0" r:id="rId10">
            <anchor moveWithCells="1">
              <from>
                <xdr:col>7</xdr:col>
                <xdr:colOff>1676400</xdr:colOff>
                <xdr:row>64</xdr:row>
                <xdr:rowOff>65314</xdr:rowOff>
              </from>
              <to>
                <xdr:col>7</xdr:col>
                <xdr:colOff>1801586</xdr:colOff>
                <xdr:row>64</xdr:row>
                <xdr:rowOff>353786</xdr:rowOff>
              </to>
            </anchor>
          </controlPr>
        </control>
      </mc:Choice>
      <mc:Fallback>
        <control shapeId="4141" r:id="rId9" name="cbApplyOddEvenFormatting"/>
      </mc:Fallback>
    </mc:AlternateContent>
    <mc:AlternateContent xmlns:mc="http://schemas.openxmlformats.org/markup-compatibility/2006">
      <mc:Choice Requires="x14">
        <control shapeId="4149" r:id="rId11" name="cbApplyPageHeaderFormatting">
          <controlPr defaultSize="0" autoFill="0" autoLine="0" r:id="rId12">
            <anchor moveWithCells="1">
              <from>
                <xdr:col>7</xdr:col>
                <xdr:colOff>1524000</xdr:colOff>
                <xdr:row>83</xdr:row>
                <xdr:rowOff>0</xdr:rowOff>
              </from>
              <to>
                <xdr:col>7</xdr:col>
                <xdr:colOff>1649186</xdr:colOff>
                <xdr:row>84</xdr:row>
                <xdr:rowOff>108857</xdr:rowOff>
              </to>
            </anchor>
          </controlPr>
        </control>
      </mc:Choice>
      <mc:Fallback>
        <control shapeId="4149" r:id="rId11" name="cbApplyPageHeaderFormatting"/>
      </mc:Fallback>
    </mc:AlternateContent>
    <mc:AlternateContent xmlns:mc="http://schemas.openxmlformats.org/markup-compatibility/2006">
      <mc:Choice Requires="x14">
        <control shapeId="4098" r:id="rId13" name="Group Box 2">
          <controlPr defaultSize="0" autoPict="0">
            <anchor moveWithCells="1">
              <from>
                <xdr:col>1</xdr:col>
                <xdr:colOff>0</xdr:colOff>
                <xdr:row>5</xdr:row>
                <xdr:rowOff>0</xdr:rowOff>
              </from>
              <to>
                <xdr:col>3</xdr:col>
                <xdr:colOff>2803071</xdr:colOff>
                <xdr:row>6</xdr:row>
                <xdr:rowOff>0</xdr:rowOff>
              </to>
            </anchor>
          </controlPr>
        </control>
      </mc:Choice>
    </mc:AlternateContent>
    <mc:AlternateContent xmlns:mc="http://schemas.openxmlformats.org/markup-compatibility/2006">
      <mc:Choice Requires="x14">
        <control shapeId="4099" r:id="rId14" name="obLevelRowFirst">
          <controlPr defaultSize="0" autoFill="0" autoLine="0" autoPict="0" macro="_xll.IBPXLClient.TechnicalCategory.ButtonActionInIBPClientFormattingSheet">
            <anchor moveWithCells="1">
              <from>
                <xdr:col>3</xdr:col>
                <xdr:colOff>484414</xdr:colOff>
                <xdr:row>5</xdr:row>
                <xdr:rowOff>59871</xdr:rowOff>
              </from>
              <to>
                <xdr:col>3</xdr:col>
                <xdr:colOff>2612571</xdr:colOff>
                <xdr:row>5</xdr:row>
                <xdr:rowOff>277586</xdr:rowOff>
              </to>
            </anchor>
          </controlPr>
        </control>
      </mc:Choice>
    </mc:AlternateContent>
    <mc:AlternateContent xmlns:mc="http://schemas.openxmlformats.org/markup-compatibility/2006">
      <mc:Choice Requires="x14">
        <control shapeId="4100" r:id="rId15" name="obLevelColumnFirst">
          <controlPr defaultSize="0" autoFill="0" autoLine="0" autoPict="0" macro="_xll.IBPXLClient.TechnicalCategory.ButtonActionInIBPClientFormattingSheet">
            <anchor moveWithCells="1">
              <from>
                <xdr:col>1</xdr:col>
                <xdr:colOff>212271</xdr:colOff>
                <xdr:row>5</xdr:row>
                <xdr:rowOff>59871</xdr:rowOff>
              </from>
              <to>
                <xdr:col>3</xdr:col>
                <xdr:colOff>446314</xdr:colOff>
                <xdr:row>5</xdr:row>
                <xdr:rowOff>277586</xdr:rowOff>
              </to>
            </anchor>
          </controlPr>
        </control>
      </mc:Choice>
    </mc:AlternateContent>
    <mc:AlternateContent xmlns:mc="http://schemas.openxmlformats.org/markup-compatibility/2006">
      <mc:Choice Requires="x14">
        <control shapeId="4101" r:id="rId16" name="Group Box 5">
          <controlPr defaultSize="0" autoPict="0">
            <anchor moveWithCells="1">
              <from>
                <xdr:col>3</xdr:col>
                <xdr:colOff>2754086</xdr:colOff>
                <xdr:row>5</xdr:row>
                <xdr:rowOff>0</xdr:rowOff>
              </from>
              <to>
                <xdr:col>8</xdr:col>
                <xdr:colOff>179614</xdr:colOff>
                <xdr:row>6</xdr:row>
                <xdr:rowOff>0</xdr:rowOff>
              </to>
            </anchor>
          </controlPr>
        </control>
      </mc:Choice>
    </mc:AlternateContent>
    <mc:AlternateContent xmlns:mc="http://schemas.openxmlformats.org/markup-compatibility/2006">
      <mc:Choice Requires="x14">
        <control shapeId="4102" r:id="rId17" name="obRelativeLevelHierarchy">
          <controlPr defaultSize="0" autoFill="0" autoLine="0" autoPict="0" macro="_xll.IBPXLClient.TechnicalCategory.ButtonActionInIBPClientFormattingSheet">
            <anchor moveWithCells="1">
              <from>
                <xdr:col>3</xdr:col>
                <xdr:colOff>4229100</xdr:colOff>
                <xdr:row>5</xdr:row>
                <xdr:rowOff>59871</xdr:rowOff>
              </from>
              <to>
                <xdr:col>4</xdr:col>
                <xdr:colOff>179614</xdr:colOff>
                <xdr:row>5</xdr:row>
                <xdr:rowOff>277586</xdr:rowOff>
              </to>
            </anchor>
          </controlPr>
        </control>
      </mc:Choice>
    </mc:AlternateContent>
    <mc:AlternateContent xmlns:mc="http://schemas.openxmlformats.org/markup-compatibility/2006">
      <mc:Choice Requires="x14">
        <control shapeId="4103" r:id="rId18" name="obDatabaseLevelHierarchy">
          <controlPr defaultSize="0" autoFill="0" autoLine="0" autoPict="0" macro="_xll.IBPXLClient.TechnicalCategory.ButtonActionInIBPClientFormattingSheet">
            <anchor moveWithCells="1">
              <from>
                <xdr:col>3</xdr:col>
                <xdr:colOff>2770414</xdr:colOff>
                <xdr:row>5</xdr:row>
                <xdr:rowOff>59871</xdr:rowOff>
              </from>
              <to>
                <xdr:col>3</xdr:col>
                <xdr:colOff>4201886</xdr:colOff>
                <xdr:row>5</xdr:row>
                <xdr:rowOff>277586</xdr:rowOff>
              </to>
            </anchor>
          </controlPr>
        </control>
      </mc:Choice>
    </mc:AlternateContent>
    <mc:AlternateContent xmlns:mc="http://schemas.openxmlformats.org/markup-compatibility/2006">
      <mc:Choice Requires="x14">
        <control shapeId="4104" r:id="rId19" name="cbApplyLevelFromTopToBottom">
          <controlPr defaultSize="0" autoFill="0" autoLine="0" autoPict="0">
            <anchor moveWithCells="1">
              <from>
                <xdr:col>7</xdr:col>
                <xdr:colOff>21771</xdr:colOff>
                <xdr:row>5</xdr:row>
                <xdr:rowOff>0</xdr:rowOff>
              </from>
              <to>
                <xdr:col>11</xdr:col>
                <xdr:colOff>2422071</xdr:colOff>
                <xdr:row>5</xdr:row>
                <xdr:rowOff>326571</xdr:rowOff>
              </to>
            </anchor>
          </controlPr>
        </control>
      </mc:Choice>
    </mc:AlternateContent>
    <mc:AlternateContent xmlns:mc="http://schemas.openxmlformats.org/markup-compatibility/2006">
      <mc:Choice Requires="x14">
        <control shapeId="4105" r:id="rId20" name="LVL1tbFormattingByLevel">
          <controlPr defaultSize="0" autoFill="0" autoPict="0">
            <anchor moveWithCells="1" sizeWithCells="1">
              <from>
                <xdr:col>10</xdr:col>
                <xdr:colOff>21771</xdr:colOff>
                <xdr:row>12</xdr:row>
                <xdr:rowOff>136071</xdr:rowOff>
              </from>
              <to>
                <xdr:col>11</xdr:col>
                <xdr:colOff>1132114</xdr:colOff>
                <xdr:row>13</xdr:row>
                <xdr:rowOff>125186</xdr:rowOff>
              </to>
            </anchor>
          </controlPr>
        </control>
      </mc:Choice>
    </mc:AlternateContent>
    <mc:AlternateContent xmlns:mc="http://schemas.openxmlformats.org/markup-compatibility/2006">
      <mc:Choice Requires="x14">
        <control shapeId="4106" r:id="rId21" name="Group Box 10">
          <controlPr defaultSize="0" autoPict="0">
            <anchor moveWithCells="1">
              <from>
                <xdr:col>10</xdr:col>
                <xdr:colOff>212271</xdr:colOff>
                <xdr:row>12</xdr:row>
                <xdr:rowOff>0</xdr:rowOff>
              </from>
              <to>
                <xdr:col>12</xdr:col>
                <xdr:colOff>0</xdr:colOff>
                <xdr:row>14</xdr:row>
                <xdr:rowOff>0</xdr:rowOff>
              </to>
            </anchor>
          </controlPr>
        </control>
      </mc:Choice>
    </mc:AlternateContent>
    <mc:AlternateContent xmlns:mc="http://schemas.openxmlformats.org/markup-compatibility/2006">
      <mc:Choice Requires="x14">
        <control shapeId="4107" r:id="rId22" name="obLevelOuterFirst">
          <controlPr defaultSize="0" autoFill="0" autoLine="0" autoPict="0">
            <anchor moveWithCells="1">
              <from>
                <xdr:col>11</xdr:col>
                <xdr:colOff>903514</xdr:colOff>
                <xdr:row>12</xdr:row>
                <xdr:rowOff>228600</xdr:rowOff>
              </from>
              <to>
                <xdr:col>11</xdr:col>
                <xdr:colOff>2106386</xdr:colOff>
                <xdr:row>13</xdr:row>
                <xdr:rowOff>152400</xdr:rowOff>
              </to>
            </anchor>
          </controlPr>
        </control>
      </mc:Choice>
    </mc:AlternateContent>
    <mc:AlternateContent xmlns:mc="http://schemas.openxmlformats.org/markup-compatibility/2006">
      <mc:Choice Requires="x14">
        <control shapeId="4108" r:id="rId23" name="obLevelInnerFirst">
          <controlPr defaultSize="0" autoFill="0" autoLine="0" autoPict="0">
            <anchor moveWithCells="1">
              <from>
                <xdr:col>11</xdr:col>
                <xdr:colOff>903514</xdr:colOff>
                <xdr:row>12</xdr:row>
                <xdr:rowOff>21771</xdr:rowOff>
              </from>
              <to>
                <xdr:col>11</xdr:col>
                <xdr:colOff>2106386</xdr:colOff>
                <xdr:row>12</xdr:row>
                <xdr:rowOff>239486</xdr:rowOff>
              </to>
            </anchor>
          </controlPr>
        </control>
      </mc:Choice>
    </mc:AlternateContent>
    <mc:AlternateContent xmlns:mc="http://schemas.openxmlformats.org/markup-compatibility/2006">
      <mc:Choice Requires="x14">
        <control shapeId="4109" r:id="rId24" name="cbUseDefaultLevelFirst">
          <controlPr defaultSize="0" autoFill="0" autoLine="0" autoPict="0">
            <anchor moveWithCells="1">
              <from>
                <xdr:col>2</xdr:col>
                <xdr:colOff>125186</xdr:colOff>
                <xdr:row>14</xdr:row>
                <xdr:rowOff>201386</xdr:rowOff>
              </from>
              <to>
                <xdr:col>2</xdr:col>
                <xdr:colOff>1017814</xdr:colOff>
                <xdr:row>17</xdr:row>
                <xdr:rowOff>38100</xdr:rowOff>
              </to>
            </anchor>
          </controlPr>
        </control>
      </mc:Choice>
    </mc:AlternateContent>
    <mc:AlternateContent xmlns:mc="http://schemas.openxmlformats.org/markup-compatibility/2006">
      <mc:Choice Requires="x14">
        <control shapeId="4110" r:id="rId25" name="cbUseLeafLevelFirst">
          <controlPr defaultSize="0" autoFill="0" autoLine="0" autoPict="0">
            <anchor moveWithCells="1">
              <from>
                <xdr:col>2</xdr:col>
                <xdr:colOff>125186</xdr:colOff>
                <xdr:row>18</xdr:row>
                <xdr:rowOff>0</xdr:rowOff>
              </from>
              <to>
                <xdr:col>2</xdr:col>
                <xdr:colOff>1017814</xdr:colOff>
                <xdr:row>19</xdr:row>
                <xdr:rowOff>179614</xdr:rowOff>
              </to>
            </anchor>
          </controlPr>
        </control>
      </mc:Choice>
    </mc:AlternateContent>
    <mc:AlternateContent xmlns:mc="http://schemas.openxmlformats.org/markup-compatibility/2006">
      <mc:Choice Requires="x14">
        <control shapeId="4111" r:id="rId26" name="cbUseSpecificLevelFirst">
          <controlPr defaultSize="0" autoFill="0" autoLine="0" autoPict="0">
            <anchor moveWithCells="1">
              <from>
                <xdr:col>2</xdr:col>
                <xdr:colOff>125186</xdr:colOff>
                <xdr:row>18</xdr:row>
                <xdr:rowOff>0</xdr:rowOff>
              </from>
              <to>
                <xdr:col>2</xdr:col>
                <xdr:colOff>1017814</xdr:colOff>
                <xdr:row>19</xdr:row>
                <xdr:rowOff>97971</xdr:rowOff>
              </to>
            </anchor>
          </controlPr>
        </control>
      </mc:Choice>
    </mc:AlternateContent>
    <mc:AlternateContent xmlns:mc="http://schemas.openxmlformats.org/markup-compatibility/2006">
      <mc:Choice Requires="x14">
        <control shapeId="4114" r:id="rId27" name="LVL2tbFormattingByLevel">
          <controlPr defaultSize="0" autoFill="0" autoPict="0">
            <anchor moveWithCells="1" sizeWithCells="1">
              <from>
                <xdr:col>10</xdr:col>
                <xdr:colOff>21771</xdr:colOff>
                <xdr:row>6</xdr:row>
                <xdr:rowOff>141514</xdr:rowOff>
              </from>
              <to>
                <xdr:col>11</xdr:col>
                <xdr:colOff>1132114</xdr:colOff>
                <xdr:row>7</xdr:row>
                <xdr:rowOff>136071</xdr:rowOff>
              </to>
            </anchor>
          </controlPr>
        </control>
      </mc:Choice>
    </mc:AlternateContent>
    <mc:AlternateContent xmlns:mc="http://schemas.openxmlformats.org/markup-compatibility/2006">
      <mc:Choice Requires="x14">
        <control shapeId="4115" r:id="rId28" name="Group Box 19">
          <controlPr defaultSize="0" autoPict="0">
            <anchor moveWithCells="1">
              <from>
                <xdr:col>10</xdr:col>
                <xdr:colOff>212271</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4116" r:id="rId29" name="obLevelOuterSecond">
          <controlPr defaultSize="0" autoFill="0" autoLine="0" autoPict="0">
            <anchor moveWithCells="1">
              <from>
                <xdr:col>11</xdr:col>
                <xdr:colOff>903514</xdr:colOff>
                <xdr:row>6</xdr:row>
                <xdr:rowOff>228600</xdr:rowOff>
              </from>
              <to>
                <xdr:col>11</xdr:col>
                <xdr:colOff>2106386</xdr:colOff>
                <xdr:row>7</xdr:row>
                <xdr:rowOff>174171</xdr:rowOff>
              </to>
            </anchor>
          </controlPr>
        </control>
      </mc:Choice>
    </mc:AlternateContent>
    <mc:AlternateContent xmlns:mc="http://schemas.openxmlformats.org/markup-compatibility/2006">
      <mc:Choice Requires="x14">
        <control shapeId="4117" r:id="rId30" name="obLevelInnerSecond">
          <controlPr defaultSize="0" autoFill="0" autoLine="0" autoPict="0">
            <anchor moveWithCells="1">
              <from>
                <xdr:col>11</xdr:col>
                <xdr:colOff>903514</xdr:colOff>
                <xdr:row>6</xdr:row>
                <xdr:rowOff>38100</xdr:rowOff>
              </from>
              <to>
                <xdr:col>11</xdr:col>
                <xdr:colOff>2106386</xdr:colOff>
                <xdr:row>6</xdr:row>
                <xdr:rowOff>250371</xdr:rowOff>
              </to>
            </anchor>
          </controlPr>
        </control>
      </mc:Choice>
    </mc:AlternateContent>
    <mc:AlternateContent xmlns:mc="http://schemas.openxmlformats.org/markup-compatibility/2006">
      <mc:Choice Requires="x14">
        <control shapeId="4118" r:id="rId31" name="cbUseDefaultLevelSecond">
          <controlPr defaultSize="0" autoFill="0" autoLine="0" autoPict="0">
            <anchor moveWithCells="1">
              <from>
                <xdr:col>2</xdr:col>
                <xdr:colOff>125186</xdr:colOff>
                <xdr:row>9</xdr:row>
                <xdr:rowOff>0</xdr:rowOff>
              </from>
              <to>
                <xdr:col>2</xdr:col>
                <xdr:colOff>1017814</xdr:colOff>
                <xdr:row>11</xdr:row>
                <xdr:rowOff>38100</xdr:rowOff>
              </to>
            </anchor>
          </controlPr>
        </control>
      </mc:Choice>
    </mc:AlternateContent>
    <mc:AlternateContent xmlns:mc="http://schemas.openxmlformats.org/markup-compatibility/2006">
      <mc:Choice Requires="x14">
        <control shapeId="4119" r:id="rId32" name="cbUseLeafLevelSecond">
          <controlPr defaultSize="0" autoFill="0" autoLine="0" autoPict="0">
            <anchor moveWithCells="1">
              <from>
                <xdr:col>2</xdr:col>
                <xdr:colOff>125186</xdr:colOff>
                <xdr:row>12</xdr:row>
                <xdr:rowOff>0</xdr:rowOff>
              </from>
              <to>
                <xdr:col>2</xdr:col>
                <xdr:colOff>1017814</xdr:colOff>
                <xdr:row>13</xdr:row>
                <xdr:rowOff>21771</xdr:rowOff>
              </to>
            </anchor>
          </controlPr>
        </control>
      </mc:Choice>
    </mc:AlternateContent>
    <mc:AlternateContent xmlns:mc="http://schemas.openxmlformats.org/markup-compatibility/2006">
      <mc:Choice Requires="x14">
        <control shapeId="4120" r:id="rId33" name="cbUseSpecificLevelSecond">
          <controlPr defaultSize="0" autoFill="0" autoLine="0" autoPict="0">
            <anchor moveWithCells="1">
              <from>
                <xdr:col>2</xdr:col>
                <xdr:colOff>125186</xdr:colOff>
                <xdr:row>12</xdr:row>
                <xdr:rowOff>0</xdr:rowOff>
              </from>
              <to>
                <xdr:col>2</xdr:col>
                <xdr:colOff>1017814</xdr:colOff>
                <xdr:row>12</xdr:row>
                <xdr:rowOff>212271</xdr:rowOff>
              </to>
            </anchor>
          </controlPr>
        </control>
      </mc:Choice>
    </mc:AlternateContent>
    <mc:AlternateContent xmlns:mc="http://schemas.openxmlformats.org/markup-compatibility/2006">
      <mc:Choice Requires="x14">
        <control shapeId="4124" r:id="rId34" name="Group Box 28">
          <controlPr defaultSize="0" autoPict="0">
            <anchor moveWithCells="1">
              <from>
                <xdr:col>1</xdr:col>
                <xdr:colOff>0</xdr:colOff>
                <xdr:row>22</xdr:row>
                <xdr:rowOff>0</xdr:rowOff>
              </from>
              <to>
                <xdr:col>11</xdr:col>
                <xdr:colOff>1279071</xdr:colOff>
                <xdr:row>23</xdr:row>
                <xdr:rowOff>0</xdr:rowOff>
              </to>
            </anchor>
          </controlPr>
        </control>
      </mc:Choice>
    </mc:AlternateContent>
    <mc:AlternateContent xmlns:mc="http://schemas.openxmlformats.org/markup-compatibility/2006">
      <mc:Choice Requires="x14">
        <control shapeId="4125" r:id="rId35" name="obMemberRowFirst">
          <controlPr defaultSize="0" autoFill="0" autoLine="0" autoPict="0" macro="_xll.IBPXLClient.TechnicalCategory.ButtonActionInIBPClientFormattingSheet">
            <anchor moveWithCells="1">
              <from>
                <xdr:col>3</xdr:col>
                <xdr:colOff>484414</xdr:colOff>
                <xdr:row>22</xdr:row>
                <xdr:rowOff>59871</xdr:rowOff>
              </from>
              <to>
                <xdr:col>3</xdr:col>
                <xdr:colOff>2612571</xdr:colOff>
                <xdr:row>22</xdr:row>
                <xdr:rowOff>277586</xdr:rowOff>
              </to>
            </anchor>
          </controlPr>
        </control>
      </mc:Choice>
    </mc:AlternateContent>
    <mc:AlternateContent xmlns:mc="http://schemas.openxmlformats.org/markup-compatibility/2006">
      <mc:Choice Requires="x14">
        <control shapeId="4126" r:id="rId36" name="obMemberColumnFirst">
          <controlPr defaultSize="0" autoFill="0" autoLine="0" autoPict="0" macro="_xll.IBPXLClient.TechnicalCategory.ButtonActionInIBPClientFormattingSheet">
            <anchor moveWithCells="1">
              <from>
                <xdr:col>1</xdr:col>
                <xdr:colOff>212271</xdr:colOff>
                <xdr:row>22</xdr:row>
                <xdr:rowOff>59871</xdr:rowOff>
              </from>
              <to>
                <xdr:col>3</xdr:col>
                <xdr:colOff>446314</xdr:colOff>
                <xdr:row>22</xdr:row>
                <xdr:rowOff>277586</xdr:rowOff>
              </to>
            </anchor>
          </controlPr>
        </control>
      </mc:Choice>
    </mc:AlternateContent>
    <mc:AlternateContent xmlns:mc="http://schemas.openxmlformats.org/markup-compatibility/2006">
      <mc:Choice Requires="x14">
        <control shapeId="4127" r:id="rId37" name="cbApplyCustomMemberDefaultFirst">
          <controlPr defaultSize="0" autoFill="0" autoLine="0" autoPict="0">
            <anchor moveWithCells="1">
              <from>
                <xdr:col>2</xdr:col>
                <xdr:colOff>125186</xdr:colOff>
                <xdr:row>42</xdr:row>
                <xdr:rowOff>201386</xdr:rowOff>
              </from>
              <to>
                <xdr:col>2</xdr:col>
                <xdr:colOff>1017814</xdr:colOff>
                <xdr:row>45</xdr:row>
                <xdr:rowOff>38100</xdr:rowOff>
              </to>
            </anchor>
          </controlPr>
        </control>
      </mc:Choice>
    </mc:AlternateContent>
    <mc:AlternateContent xmlns:mc="http://schemas.openxmlformats.org/markup-compatibility/2006">
      <mc:Choice Requires="x14">
        <control shapeId="4128" r:id="rId38" name="cbApplyCalculatedMemberFirst">
          <controlPr defaultSize="0" autoFill="0" autoLine="0" autoPict="0">
            <anchor moveWithCells="1">
              <from>
                <xdr:col>2</xdr:col>
                <xdr:colOff>125186</xdr:colOff>
                <xdr:row>43</xdr:row>
                <xdr:rowOff>0</xdr:rowOff>
              </from>
              <to>
                <xdr:col>2</xdr:col>
                <xdr:colOff>1017814</xdr:colOff>
                <xdr:row>45</xdr:row>
                <xdr:rowOff>48986</xdr:rowOff>
              </to>
            </anchor>
          </controlPr>
        </control>
      </mc:Choice>
    </mc:AlternateContent>
    <mc:AlternateContent xmlns:mc="http://schemas.openxmlformats.org/markup-compatibility/2006">
      <mc:Choice Requires="x14">
        <control shapeId="4129" r:id="rId39" name="cbApplyImputableMemberFirst">
          <controlPr defaultSize="0" autoFill="0" autoLine="0" autoPict="0">
            <anchor moveWithCells="1">
              <from>
                <xdr:col>2</xdr:col>
                <xdr:colOff>125186</xdr:colOff>
                <xdr:row>46</xdr:row>
                <xdr:rowOff>0</xdr:rowOff>
              </from>
              <to>
                <xdr:col>2</xdr:col>
                <xdr:colOff>1017814</xdr:colOff>
                <xdr:row>48</xdr:row>
                <xdr:rowOff>38100</xdr:rowOff>
              </to>
            </anchor>
          </controlPr>
        </control>
      </mc:Choice>
    </mc:AlternateContent>
    <mc:AlternateContent xmlns:mc="http://schemas.openxmlformats.org/markup-compatibility/2006">
      <mc:Choice Requires="x14">
        <control shapeId="4130" r:id="rId40" name="cbApplyLocalMemberFirst">
          <controlPr defaultSize="0" autoFill="0" autoLine="0" autoPict="0">
            <anchor moveWithCells="1">
              <from>
                <xdr:col>2</xdr:col>
                <xdr:colOff>125186</xdr:colOff>
                <xdr:row>49</xdr:row>
                <xdr:rowOff>0</xdr:rowOff>
              </from>
              <to>
                <xdr:col>2</xdr:col>
                <xdr:colOff>1017814</xdr:colOff>
                <xdr:row>51</xdr:row>
                <xdr:rowOff>38100</xdr:rowOff>
              </to>
            </anchor>
          </controlPr>
        </control>
      </mc:Choice>
    </mc:AlternateContent>
    <mc:AlternateContent xmlns:mc="http://schemas.openxmlformats.org/markup-compatibility/2006">
      <mc:Choice Requires="x14">
        <control shapeId="4131" r:id="rId41" name="cbApplyChangedMemberFirst">
          <controlPr defaultSize="0" autoFill="0" autoLine="0" autoPict="0">
            <anchor moveWithCells="1">
              <from>
                <xdr:col>2</xdr:col>
                <xdr:colOff>125186</xdr:colOff>
                <xdr:row>52</xdr:row>
                <xdr:rowOff>0</xdr:rowOff>
              </from>
              <to>
                <xdr:col>2</xdr:col>
                <xdr:colOff>1017814</xdr:colOff>
                <xdr:row>54</xdr:row>
                <xdr:rowOff>38100</xdr:rowOff>
              </to>
            </anchor>
          </controlPr>
        </control>
      </mc:Choice>
    </mc:AlternateContent>
    <mc:AlternateContent xmlns:mc="http://schemas.openxmlformats.org/markup-compatibility/2006">
      <mc:Choice Requires="x14">
        <control shapeId="4132" r:id="rId42" name="cbApplySpecificMemberFirst">
          <controlPr defaultSize="0" autoFill="0" autoLine="0" autoPict="0">
            <anchor moveWithCells="1">
              <from>
                <xdr:col>2</xdr:col>
                <xdr:colOff>125186</xdr:colOff>
                <xdr:row>55</xdr:row>
                <xdr:rowOff>48986</xdr:rowOff>
              </from>
              <to>
                <xdr:col>2</xdr:col>
                <xdr:colOff>1017814</xdr:colOff>
                <xdr:row>57</xdr:row>
                <xdr:rowOff>0</xdr:rowOff>
              </to>
            </anchor>
          </controlPr>
        </control>
      </mc:Choice>
    </mc:AlternateContent>
    <mc:AlternateContent xmlns:mc="http://schemas.openxmlformats.org/markup-compatibility/2006">
      <mc:Choice Requires="x14">
        <control shapeId="4133" r:id="rId43" name="AddMemberFirst">
          <controlPr defaultSize="0" print="0" autoFill="0" autoPict="0" macro="_xll.IBPXLClient.TechnicalCategory.ButtonActionInIBPClientFormattingSheet">
            <anchor moveWithCells="1" sizeWithCells="1">
              <from>
                <xdr:col>3</xdr:col>
                <xdr:colOff>59871</xdr:colOff>
                <xdr:row>60</xdr:row>
                <xdr:rowOff>21771</xdr:rowOff>
              </from>
              <to>
                <xdr:col>3</xdr:col>
                <xdr:colOff>4288971</xdr:colOff>
                <xdr:row>60</xdr:row>
                <xdr:rowOff>266700</xdr:rowOff>
              </to>
            </anchor>
          </controlPr>
        </control>
      </mc:Choice>
    </mc:AlternateContent>
    <mc:AlternateContent xmlns:mc="http://schemas.openxmlformats.org/markup-compatibility/2006">
      <mc:Choice Requires="x14">
        <control shapeId="4134" r:id="rId44" name="cbApplyCustomMemberDefaultSecond">
          <controlPr defaultSize="0" autoFill="0" autoLine="0" autoPict="0">
            <anchor moveWithCells="1">
              <from>
                <xdr:col>2</xdr:col>
                <xdr:colOff>125186</xdr:colOff>
                <xdr:row>25</xdr:row>
                <xdr:rowOff>0</xdr:rowOff>
              </from>
              <to>
                <xdr:col>2</xdr:col>
                <xdr:colOff>1017814</xdr:colOff>
                <xdr:row>27</xdr:row>
                <xdr:rowOff>38100</xdr:rowOff>
              </to>
            </anchor>
          </controlPr>
        </control>
      </mc:Choice>
    </mc:AlternateContent>
    <mc:AlternateContent xmlns:mc="http://schemas.openxmlformats.org/markup-compatibility/2006">
      <mc:Choice Requires="x14">
        <control shapeId="4135" r:id="rId45" name="cbApplyCalculatedMemberSecond">
          <controlPr defaultSize="0" autoFill="0" autoLine="0" autoPict="0">
            <anchor moveWithCells="1">
              <from>
                <xdr:col>2</xdr:col>
                <xdr:colOff>125186</xdr:colOff>
                <xdr:row>25</xdr:row>
                <xdr:rowOff>0</xdr:rowOff>
              </from>
              <to>
                <xdr:col>2</xdr:col>
                <xdr:colOff>1017814</xdr:colOff>
                <xdr:row>27</xdr:row>
                <xdr:rowOff>48986</xdr:rowOff>
              </to>
            </anchor>
          </controlPr>
        </control>
      </mc:Choice>
    </mc:AlternateContent>
    <mc:AlternateContent xmlns:mc="http://schemas.openxmlformats.org/markup-compatibility/2006">
      <mc:Choice Requires="x14">
        <control shapeId="4136" r:id="rId46" name="cbApplyImputableMemberSecond">
          <controlPr defaultSize="0" autoFill="0" autoLine="0" autoPict="0">
            <anchor moveWithCells="1">
              <from>
                <xdr:col>2</xdr:col>
                <xdr:colOff>125186</xdr:colOff>
                <xdr:row>28</xdr:row>
                <xdr:rowOff>0</xdr:rowOff>
              </from>
              <to>
                <xdr:col>2</xdr:col>
                <xdr:colOff>1017814</xdr:colOff>
                <xdr:row>30</xdr:row>
                <xdr:rowOff>38100</xdr:rowOff>
              </to>
            </anchor>
          </controlPr>
        </control>
      </mc:Choice>
    </mc:AlternateContent>
    <mc:AlternateContent xmlns:mc="http://schemas.openxmlformats.org/markup-compatibility/2006">
      <mc:Choice Requires="x14">
        <control shapeId="4137" r:id="rId47" name="cbApplyLocalMemberSecond">
          <controlPr defaultSize="0" autoFill="0" autoLine="0" autoPict="0">
            <anchor moveWithCells="1">
              <from>
                <xdr:col>2</xdr:col>
                <xdr:colOff>125186</xdr:colOff>
                <xdr:row>31</xdr:row>
                <xdr:rowOff>0</xdr:rowOff>
              </from>
              <to>
                <xdr:col>2</xdr:col>
                <xdr:colOff>1017814</xdr:colOff>
                <xdr:row>33</xdr:row>
                <xdr:rowOff>38100</xdr:rowOff>
              </to>
            </anchor>
          </controlPr>
        </control>
      </mc:Choice>
    </mc:AlternateContent>
    <mc:AlternateContent xmlns:mc="http://schemas.openxmlformats.org/markup-compatibility/2006">
      <mc:Choice Requires="x14">
        <control shapeId="4138" r:id="rId48" name="cbApplyChangedMemberSecond">
          <controlPr defaultSize="0" autoFill="0" autoLine="0" autoPict="0">
            <anchor moveWithCells="1">
              <from>
                <xdr:col>2</xdr:col>
                <xdr:colOff>125186</xdr:colOff>
                <xdr:row>34</xdr:row>
                <xdr:rowOff>0</xdr:rowOff>
              </from>
              <to>
                <xdr:col>2</xdr:col>
                <xdr:colOff>1017814</xdr:colOff>
                <xdr:row>36</xdr:row>
                <xdr:rowOff>38100</xdr:rowOff>
              </to>
            </anchor>
          </controlPr>
        </control>
      </mc:Choice>
    </mc:AlternateContent>
    <mc:AlternateContent xmlns:mc="http://schemas.openxmlformats.org/markup-compatibility/2006">
      <mc:Choice Requires="x14">
        <control shapeId="4139" r:id="rId49" name="cbApplySpecificMemberSecond">
          <controlPr defaultSize="0" autoFill="0" autoLine="0" autoPict="0">
            <anchor moveWithCells="1">
              <from>
                <xdr:col>2</xdr:col>
                <xdr:colOff>125186</xdr:colOff>
                <xdr:row>37</xdr:row>
                <xdr:rowOff>48986</xdr:rowOff>
              </from>
              <to>
                <xdr:col>2</xdr:col>
                <xdr:colOff>1017814</xdr:colOff>
                <xdr:row>39</xdr:row>
                <xdr:rowOff>0</xdr:rowOff>
              </to>
            </anchor>
          </controlPr>
        </control>
      </mc:Choice>
    </mc:AlternateContent>
    <mc:AlternateContent xmlns:mc="http://schemas.openxmlformats.org/markup-compatibility/2006">
      <mc:Choice Requires="x14">
        <control shapeId="4140" r:id="rId50" name="AddMemberSecond">
          <controlPr defaultSize="0" print="0" autoFill="0" autoPict="0" macro="_xll.IBPXLClient.TechnicalCategory.ButtonActionInIBPClientFormattingSheet">
            <anchor moveWithCells="1" sizeWithCells="1">
              <from>
                <xdr:col>3</xdr:col>
                <xdr:colOff>59871</xdr:colOff>
                <xdr:row>39</xdr:row>
                <xdr:rowOff>21771</xdr:rowOff>
              </from>
              <to>
                <xdr:col>3</xdr:col>
                <xdr:colOff>4288971</xdr:colOff>
                <xdr:row>39</xdr:row>
                <xdr:rowOff>266700</xdr:rowOff>
              </to>
            </anchor>
          </controlPr>
        </control>
      </mc:Choice>
    </mc:AlternateContent>
    <mc:AlternateContent xmlns:mc="http://schemas.openxmlformats.org/markup-compatibility/2006">
      <mc:Choice Requires="x14">
        <control shapeId="4142" r:id="rId51" name="Group Box 46">
          <controlPr defaultSize="0" autoPict="0">
            <anchor moveWithCells="1">
              <from>
                <xdr:col>1</xdr:col>
                <xdr:colOff>0</xdr:colOff>
                <xdr:row>65</xdr:row>
                <xdr:rowOff>0</xdr:rowOff>
              </from>
              <to>
                <xdr:col>11</xdr:col>
                <xdr:colOff>1279071</xdr:colOff>
                <xdr:row>66</xdr:row>
                <xdr:rowOff>0</xdr:rowOff>
              </to>
            </anchor>
          </controlPr>
        </control>
      </mc:Choice>
    </mc:AlternateContent>
    <mc:AlternateContent xmlns:mc="http://schemas.openxmlformats.org/markup-compatibility/2006">
      <mc:Choice Requires="x14">
        <control shapeId="4143" r:id="rId52" name="obOddEvenRowFirst">
          <controlPr defaultSize="0" autoFill="0" autoLine="0" autoPict="0" macro="_xll.IBPXLClient.TechnicalCategory.ButtonActionInIBPClientFormattingSheet">
            <anchor moveWithCells="1">
              <from>
                <xdr:col>3</xdr:col>
                <xdr:colOff>484414</xdr:colOff>
                <xdr:row>65</xdr:row>
                <xdr:rowOff>65314</xdr:rowOff>
              </from>
              <to>
                <xdr:col>3</xdr:col>
                <xdr:colOff>2612571</xdr:colOff>
                <xdr:row>65</xdr:row>
                <xdr:rowOff>277586</xdr:rowOff>
              </to>
            </anchor>
          </controlPr>
        </control>
      </mc:Choice>
    </mc:AlternateContent>
    <mc:AlternateContent xmlns:mc="http://schemas.openxmlformats.org/markup-compatibility/2006">
      <mc:Choice Requires="x14">
        <control shapeId="4144" r:id="rId53" name="obOddEvenColumnFirst">
          <controlPr defaultSize="0" autoFill="0" autoLine="0" autoPict="0" macro="_xll.IBPXLClient.TechnicalCategory.ButtonActionInIBPClientFormattingSheet">
            <anchor moveWithCells="1">
              <from>
                <xdr:col>1</xdr:col>
                <xdr:colOff>212271</xdr:colOff>
                <xdr:row>65</xdr:row>
                <xdr:rowOff>65314</xdr:rowOff>
              </from>
              <to>
                <xdr:col>3</xdr:col>
                <xdr:colOff>446314</xdr:colOff>
                <xdr:row>65</xdr:row>
                <xdr:rowOff>277586</xdr:rowOff>
              </to>
            </anchor>
          </controlPr>
        </control>
      </mc:Choice>
    </mc:AlternateContent>
    <mc:AlternateContent xmlns:mc="http://schemas.openxmlformats.org/markup-compatibility/2006">
      <mc:Choice Requires="x14">
        <control shapeId="4145" r:id="rId54" name="cbUseOddFirst">
          <controlPr defaultSize="0" autoFill="0" autoLine="0" autoPict="0">
            <anchor moveWithCells="1">
              <from>
                <xdr:col>2</xdr:col>
                <xdr:colOff>125186</xdr:colOff>
                <xdr:row>68</xdr:row>
                <xdr:rowOff>0</xdr:rowOff>
              </from>
              <to>
                <xdr:col>2</xdr:col>
                <xdr:colOff>1017814</xdr:colOff>
                <xdr:row>70</xdr:row>
                <xdr:rowOff>38100</xdr:rowOff>
              </to>
            </anchor>
          </controlPr>
        </control>
      </mc:Choice>
    </mc:AlternateContent>
    <mc:AlternateContent xmlns:mc="http://schemas.openxmlformats.org/markup-compatibility/2006">
      <mc:Choice Requires="x14">
        <control shapeId="4146" r:id="rId55" name="cbUseEvenFirst">
          <controlPr defaultSize="0" autoFill="0" autoLine="0" autoPict="0">
            <anchor moveWithCells="1">
              <from>
                <xdr:col>2</xdr:col>
                <xdr:colOff>125186</xdr:colOff>
                <xdr:row>71</xdr:row>
                <xdr:rowOff>0</xdr:rowOff>
              </from>
              <to>
                <xdr:col>2</xdr:col>
                <xdr:colOff>1017814</xdr:colOff>
                <xdr:row>73</xdr:row>
                <xdr:rowOff>38100</xdr:rowOff>
              </to>
            </anchor>
          </controlPr>
        </control>
      </mc:Choice>
    </mc:AlternateContent>
    <mc:AlternateContent xmlns:mc="http://schemas.openxmlformats.org/markup-compatibility/2006">
      <mc:Choice Requires="x14">
        <control shapeId="4147" r:id="rId56" name="cbUseOddSecond">
          <controlPr defaultSize="0" autoFill="0" autoLine="0" autoPict="0">
            <anchor moveWithCells="1">
              <from>
                <xdr:col>2</xdr:col>
                <xdr:colOff>125186</xdr:colOff>
                <xdr:row>76</xdr:row>
                <xdr:rowOff>0</xdr:rowOff>
              </from>
              <to>
                <xdr:col>2</xdr:col>
                <xdr:colOff>1017814</xdr:colOff>
                <xdr:row>78</xdr:row>
                <xdr:rowOff>38100</xdr:rowOff>
              </to>
            </anchor>
          </controlPr>
        </control>
      </mc:Choice>
    </mc:AlternateContent>
    <mc:AlternateContent xmlns:mc="http://schemas.openxmlformats.org/markup-compatibility/2006">
      <mc:Choice Requires="x14">
        <control shapeId="4148" r:id="rId57" name="cbUseEvenSecond">
          <controlPr defaultSize="0" autoFill="0" autoLine="0" autoPict="0">
            <anchor moveWithCells="1">
              <from>
                <xdr:col>2</xdr:col>
                <xdr:colOff>125186</xdr:colOff>
                <xdr:row>78</xdr:row>
                <xdr:rowOff>48986</xdr:rowOff>
              </from>
              <to>
                <xdr:col>2</xdr:col>
                <xdr:colOff>1017814</xdr:colOff>
                <xdr:row>81</xdr:row>
                <xdr:rowOff>38100</xdr:rowOff>
              </to>
            </anchor>
          </controlPr>
        </control>
      </mc:Choice>
    </mc:AlternateContent>
    <mc:AlternateContent xmlns:mc="http://schemas.openxmlformats.org/markup-compatibility/2006">
      <mc:Choice Requires="x14">
        <control shapeId="4150" r:id="rId58" name="cbUseDefaultPageHeaderFormat">
          <controlPr defaultSize="0" autoFill="0" autoLine="0" autoPict="0">
            <anchor moveWithCells="1">
              <from>
                <xdr:col>2</xdr:col>
                <xdr:colOff>125186</xdr:colOff>
                <xdr:row>83</xdr:row>
                <xdr:rowOff>0</xdr:rowOff>
              </from>
              <to>
                <xdr:col>2</xdr:col>
                <xdr:colOff>1017814</xdr:colOff>
                <xdr:row>84</xdr:row>
                <xdr:rowOff>125186</xdr:rowOff>
              </to>
            </anchor>
          </controlPr>
        </control>
      </mc:Choice>
    </mc:AlternateContent>
    <mc:AlternateContent xmlns:mc="http://schemas.openxmlformats.org/markup-compatibility/2006">
      <mc:Choice Requires="x14">
        <control shapeId="4151" r:id="rId59" name="cbUseDimensionFormatting">
          <controlPr defaultSize="0" autoFill="0" autoLine="0" autoPict="0">
            <anchor moveWithCells="1">
              <from>
                <xdr:col>2</xdr:col>
                <xdr:colOff>125186</xdr:colOff>
                <xdr:row>83</xdr:row>
                <xdr:rowOff>0</xdr:rowOff>
              </from>
              <to>
                <xdr:col>2</xdr:col>
                <xdr:colOff>1017814</xdr:colOff>
                <xdr:row>84</xdr:row>
                <xdr:rowOff>48986</xdr:rowOff>
              </to>
            </anchor>
          </controlPr>
        </control>
      </mc:Choice>
    </mc:AlternateContent>
    <mc:AlternateContent xmlns:mc="http://schemas.openxmlformats.org/markup-compatibility/2006">
      <mc:Choice Requires="x14">
        <control shapeId="4219" r:id="rId60" name="AddedMember1_1">
          <controlPr defaultSize="0" print="0" autoFill="0" autoPict="0" macro="_xll.IBPXLClient.TechnicalCategory.ButtonActionInIBPClientFormattingSheet">
            <anchor moveWithCells="1" sizeWithCells="1">
              <from>
                <xdr:col>12</xdr:col>
                <xdr:colOff>0</xdr:colOff>
                <xdr:row>58</xdr:row>
                <xdr:rowOff>0</xdr:rowOff>
              </from>
              <to>
                <xdr:col>12</xdr:col>
                <xdr:colOff>707571</xdr:colOff>
                <xdr:row>59</xdr:row>
                <xdr:rowOff>0</xdr:rowOff>
              </to>
            </anchor>
          </controlPr>
        </control>
      </mc:Choice>
    </mc:AlternateContent>
    <mc:AlternateContent xmlns:mc="http://schemas.openxmlformats.org/markup-compatibility/2006">
      <mc:Choice Requires="x14">
        <control shapeId="4220" r:id="rId61" name="ChangeMember1_1">
          <controlPr defaultSize="0" print="0" autoFill="0" autoPict="0" macro="_xll.IBPXLClient.TechnicalCategory.ButtonActionInIBPClientFormattingSheet">
            <anchor moveWithCells="1" sizeWithCells="1">
              <from>
                <xdr:col>12</xdr:col>
                <xdr:colOff>723900</xdr:colOff>
                <xdr:row>58</xdr:row>
                <xdr:rowOff>0</xdr:rowOff>
              </from>
              <to>
                <xdr:col>13</xdr:col>
                <xdr:colOff>707571</xdr:colOff>
                <xdr:row>59</xdr:row>
                <xdr:rowOff>0</xdr:rowOff>
              </to>
            </anchor>
          </controlPr>
        </control>
      </mc:Choice>
    </mc:AlternateContent>
    <mc:AlternateContent xmlns:mc="http://schemas.openxmlformats.org/markup-compatibility/2006">
      <mc:Choice Requires="x14">
        <control shapeId="4221" r:id="rId62" name="UpMember1_1">
          <controlPr defaultSize="0" print="0" autoFill="0" autoPict="0" macro="_xll.IBPXLClient.TechnicalCategory.ButtonActionInIBPClientFormattingSheet">
            <anchor moveWithCells="1" sizeWithCells="1">
              <from>
                <xdr:col>14</xdr:col>
                <xdr:colOff>0</xdr:colOff>
                <xdr:row>58</xdr:row>
                <xdr:rowOff>0</xdr:rowOff>
              </from>
              <to>
                <xdr:col>14</xdr:col>
                <xdr:colOff>707571</xdr:colOff>
                <xdr:row>59</xdr:row>
                <xdr:rowOff>0</xdr:rowOff>
              </to>
            </anchor>
          </controlPr>
        </control>
      </mc:Choice>
    </mc:AlternateContent>
    <mc:AlternateContent xmlns:mc="http://schemas.openxmlformats.org/markup-compatibility/2006">
      <mc:Choice Requires="x14">
        <control shapeId="4222" r:id="rId63" name="DownMember1_1">
          <controlPr defaultSize="0" print="0" autoFill="0" autoPict="0" macro="_xll.IBPXLClient.TechnicalCategory.ButtonActionInIBPClientFormattingSheet">
            <anchor moveWithCells="1" sizeWithCells="1">
              <from>
                <xdr:col>15</xdr:col>
                <xdr:colOff>0</xdr:colOff>
                <xdr:row>58</xdr:row>
                <xdr:rowOff>0</xdr:rowOff>
              </from>
              <to>
                <xdr:col>15</xdr:col>
                <xdr:colOff>713014</xdr:colOff>
                <xdr:row>59</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37"/>
  <sheetViews>
    <sheetView showGridLines="0" tabSelected="1" zoomScaleNormal="100" workbookViewId="0">
      <pane xSplit="10" ySplit="4" topLeftCell="K5" activePane="bottomRight" state="frozen"/>
      <selection activeCell="Y9" sqref="Y9"/>
      <selection pane="topRight" activeCell="Y9" sqref="Y9"/>
      <selection pane="bottomLeft" activeCell="Y9" sqref="Y9"/>
      <selection pane="bottomRight" activeCell="K5" sqref="K5"/>
    </sheetView>
  </sheetViews>
  <sheetFormatPr defaultRowHeight="14.6" x14ac:dyDescent="0.4"/>
  <cols>
    <col min="1" max="6" width="1.3828125" bestFit="1" customWidth="1"/>
    <col min="7" max="7" width="1.61328125" customWidth="1"/>
    <col min="8" max="8" width="9.61328125" bestFit="1" customWidth="1"/>
    <col min="9" max="9" width="11.84375" bestFit="1" customWidth="1"/>
    <col min="10" max="10" width="33.61328125" bestFit="1" customWidth="1"/>
    <col min="11" max="11" width="8.765625" bestFit="1" customWidth="1"/>
    <col min="12" max="12" width="9.3828125" bestFit="1" customWidth="1"/>
    <col min="13" max="13" width="8.61328125" bestFit="1" customWidth="1"/>
    <col min="14" max="14" width="8.15234375" bestFit="1" customWidth="1"/>
    <col min="15" max="15" width="9.15234375" bestFit="1" customWidth="1"/>
    <col min="16" max="16" width="8.3046875" bestFit="1" customWidth="1"/>
    <col min="17" max="17" width="8.765625" bestFit="1" customWidth="1"/>
    <col min="18" max="18" width="9.15234375" bestFit="1" customWidth="1"/>
    <col min="19" max="19" width="8.61328125" bestFit="1" customWidth="1"/>
    <col min="20" max="20" width="8.53515625" bestFit="1" customWidth="1"/>
    <col min="21" max="21" width="8.3828125" bestFit="1" customWidth="1"/>
    <col min="22" max="22" width="9.4609375" bestFit="1" customWidth="1"/>
    <col min="23" max="23" width="8.84375" bestFit="1" customWidth="1"/>
    <col min="24" max="25" width="9.69140625" bestFit="1" customWidth="1"/>
    <col min="26" max="26" width="9" bestFit="1" customWidth="1"/>
    <col min="27" max="27" width="9.69140625" bestFit="1" customWidth="1"/>
    <col min="28" max="28" width="9" bestFit="1" customWidth="1"/>
    <col min="29" max="29" width="8.3828125" bestFit="1" customWidth="1"/>
    <col min="30" max="30" width="9.53515625" bestFit="1" customWidth="1"/>
    <col min="31" max="31" width="8.53515625" bestFit="1" customWidth="1"/>
    <col min="32" max="32" width="9" bestFit="1" customWidth="1"/>
    <col min="33" max="33" width="9.53515625" bestFit="1" customWidth="1"/>
    <col min="34" max="34" width="8.84375" bestFit="1" customWidth="1"/>
    <col min="35" max="35" width="21.15234375" bestFit="1" customWidth="1"/>
    <col min="36" max="36" width="13.15234375" bestFit="1" customWidth="1"/>
    <col min="37" max="37" width="18.15234375" bestFit="1" customWidth="1"/>
    <col min="38" max="38" width="12.3828125" bestFit="1" customWidth="1"/>
    <col min="39" max="39" width="26.15234375" bestFit="1" customWidth="1"/>
    <col min="40" max="40" width="23.3828125" bestFit="1" customWidth="1"/>
    <col min="41" max="41" width="21.15234375" bestFit="1" customWidth="1"/>
    <col min="42" max="42" width="13.15234375" bestFit="1" customWidth="1"/>
    <col min="43" max="43" width="18.15234375" bestFit="1" customWidth="1"/>
    <col min="44" max="44" width="12.3828125" bestFit="1" customWidth="1"/>
    <col min="45" max="45" width="26.15234375" bestFit="1" customWidth="1"/>
    <col min="46" max="46" width="23.3828125" bestFit="1" customWidth="1"/>
    <col min="47" max="47" width="21.15234375" bestFit="1" customWidth="1"/>
    <col min="48" max="48" width="13.15234375" bestFit="1" customWidth="1"/>
    <col min="49" max="49" width="18.15234375" bestFit="1" customWidth="1"/>
    <col min="50" max="50" width="12.3828125" bestFit="1" customWidth="1"/>
    <col min="51" max="51" width="26.15234375" bestFit="1" customWidth="1"/>
    <col min="52" max="52" width="23.3828125" bestFit="1" customWidth="1"/>
    <col min="53" max="53" width="21.15234375" bestFit="1" customWidth="1"/>
    <col min="54" max="54" width="13.15234375" bestFit="1" customWidth="1"/>
    <col min="55" max="55" width="18.15234375" bestFit="1" customWidth="1"/>
    <col min="56" max="56" width="12.3828125" bestFit="1" customWidth="1"/>
    <col min="57" max="57" width="26.15234375" bestFit="1" customWidth="1"/>
    <col min="58" max="58" width="23.3828125" bestFit="1" customWidth="1"/>
    <col min="59" max="59" width="21.15234375" bestFit="1" customWidth="1"/>
    <col min="60" max="60" width="13.15234375" bestFit="1" customWidth="1"/>
    <col min="61" max="61" width="18.15234375" bestFit="1" customWidth="1"/>
    <col min="62" max="62" width="12.3828125" bestFit="1" customWidth="1"/>
    <col min="63" max="63" width="26.15234375" bestFit="1" customWidth="1"/>
    <col min="64" max="64" width="23.3828125" bestFit="1" customWidth="1"/>
    <col min="65" max="65" width="21.15234375" bestFit="1" customWidth="1"/>
    <col min="66" max="66" width="13.15234375" bestFit="1" customWidth="1"/>
    <col min="67" max="67" width="18.15234375" bestFit="1" customWidth="1"/>
    <col min="68" max="68" width="12.3828125" bestFit="1" customWidth="1"/>
    <col min="69" max="69" width="26.15234375" bestFit="1" customWidth="1"/>
    <col min="70" max="70" width="23.3828125" bestFit="1" customWidth="1"/>
    <col min="71" max="71" width="21.15234375" bestFit="1" customWidth="1"/>
    <col min="72" max="72" width="13.15234375" bestFit="1" customWidth="1"/>
    <col min="73" max="73" width="18.15234375" bestFit="1" customWidth="1"/>
    <col min="74" max="74" width="12.3828125" bestFit="1" customWidth="1"/>
    <col min="75" max="75" width="26.15234375" bestFit="1" customWidth="1"/>
    <col min="76" max="76" width="23.3828125" bestFit="1" customWidth="1"/>
    <col min="77" max="77" width="21.15234375" bestFit="1" customWidth="1"/>
    <col min="78" max="78" width="13.15234375" bestFit="1" customWidth="1"/>
    <col min="79" max="79" width="18.15234375" bestFit="1" customWidth="1"/>
    <col min="80" max="80" width="12.3828125" bestFit="1" customWidth="1"/>
    <col min="81" max="81" width="26.15234375" bestFit="1" customWidth="1"/>
    <col min="82" max="82" width="23.3828125" bestFit="1" customWidth="1"/>
  </cols>
  <sheetData>
    <row r="1" spans="1:82" s="32" customFormat="1" ht="28.3" customHeight="1" x14ac:dyDescent="0.4">
      <c r="A1" s="98" t="s">
        <v>31</v>
      </c>
      <c r="B1" s="99"/>
      <c r="C1" s="99"/>
      <c r="D1" s="99"/>
      <c r="E1" s="99"/>
      <c r="F1" s="99"/>
      <c r="G1" s="99"/>
      <c r="H1" s="99"/>
      <c r="I1" s="99"/>
      <c r="J1" s="99"/>
      <c r="K1" s="102" t="s">
        <v>35</v>
      </c>
      <c r="L1" s="102"/>
      <c r="M1" s="102"/>
      <c r="N1" s="102"/>
      <c r="O1" s="102"/>
      <c r="P1" s="102"/>
      <c r="Q1" s="103" t="str">
        <f>"User: "&amp;_xll.EPMUser()&amp;"   |    Planning Area: "&amp;IFERROR(SOP_Planning_Area,"Offline")&amp;"
"&amp;"Template: "&amp;IFERROR(SOP_Template_Name,"none")</f>
        <v>User: #Error, no current connection.   |    Planning Area: SAP6
Template: template name</v>
      </c>
      <c r="R1" s="103"/>
      <c r="S1" s="103"/>
      <c r="T1" s="103"/>
      <c r="U1" s="103"/>
      <c r="V1" s="103"/>
      <c r="W1" s="63"/>
      <c r="X1" s="63"/>
      <c r="Y1" s="63"/>
      <c r="Z1" s="56"/>
      <c r="AA1" s="56"/>
      <c r="AB1" s="56"/>
      <c r="AC1" s="56"/>
      <c r="AD1" s="56"/>
      <c r="AE1" s="57"/>
      <c r="AF1" s="57"/>
      <c r="AG1" s="57"/>
      <c r="AH1" s="57"/>
      <c r="AI1" s="57"/>
      <c r="AJ1" s="57"/>
      <c r="AK1" s="57"/>
      <c r="AL1" s="58"/>
      <c r="AM1" s="58"/>
      <c r="AN1" s="58"/>
      <c r="AO1" s="58"/>
      <c r="AP1" s="58"/>
      <c r="AQ1" s="58"/>
      <c r="AR1" s="58"/>
      <c r="AS1" s="58"/>
      <c r="AT1" s="58"/>
      <c r="AU1" s="58"/>
      <c r="AV1" s="58"/>
      <c r="AW1" s="58"/>
      <c r="AX1" s="58"/>
      <c r="AY1" s="58"/>
      <c r="AZ1" s="58"/>
      <c r="BA1" s="58"/>
      <c r="BB1" s="58"/>
      <c r="BC1" s="58"/>
      <c r="BD1" s="58"/>
      <c r="BE1" s="58"/>
      <c r="BF1" s="58"/>
      <c r="BG1" s="58"/>
      <c r="BH1" s="58"/>
      <c r="BI1" s="58"/>
      <c r="BJ1" s="58"/>
      <c r="BK1" s="58"/>
      <c r="BL1" s="58"/>
      <c r="BM1" s="58"/>
      <c r="BN1" s="58"/>
      <c r="BO1" s="58"/>
      <c r="BP1" s="58"/>
      <c r="BQ1" s="58"/>
      <c r="BR1" s="59"/>
      <c r="BS1" s="59"/>
      <c r="BT1" s="59"/>
      <c r="BU1" s="59"/>
      <c r="BV1" s="59"/>
      <c r="BW1" s="59"/>
      <c r="BX1" s="59"/>
      <c r="BY1" s="59"/>
      <c r="BZ1" s="59"/>
      <c r="CA1" s="59"/>
      <c r="CB1" s="59"/>
      <c r="CC1" s="59"/>
      <c r="CD1" s="59"/>
    </row>
    <row r="2" spans="1:82" s="32" customFormat="1" ht="60" customHeight="1" x14ac:dyDescent="0.4">
      <c r="A2" s="100"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(Ad Hoc Filter) (2 criteria):
Product ID = HT_002
Location ID = HD_DC_CA_E
</v>
      </c>
      <c r="B2" s="100"/>
      <c r="C2" s="100"/>
      <c r="D2" s="100"/>
      <c r="E2" s="100"/>
      <c r="F2" s="100"/>
      <c r="G2" s="100"/>
      <c r="H2" s="100"/>
      <c r="I2" s="100"/>
      <c r="J2" s="100"/>
      <c r="K2" s="101" t="str">
        <f>"  Last Refresh: "&amp;IFERROR(YEAR(SOP_Refresh_Timestamp)&amp;"-"&amp;TEXT(SOP_Refresh_Timestamp,"MMM")&amp;"-"&amp;DAY(SOP_Refresh_Timestamp)&amp;"   "&amp;TEXT(SOP_Refresh_Timestamp,"HH:MM:SS"),"Offline")</f>
        <v xml:space="preserve">  Last Refresh: 2022-Apr-29   14:37:40</v>
      </c>
      <c r="L2" s="101"/>
      <c r="M2" s="101"/>
      <c r="N2" s="101"/>
      <c r="O2" s="101"/>
      <c r="P2" s="101"/>
      <c r="Q2" s="101"/>
      <c r="R2" s="101"/>
      <c r="S2" s="101"/>
      <c r="T2" s="101"/>
      <c r="U2" s="101"/>
      <c r="V2" s="101"/>
      <c r="W2" s="55"/>
      <c r="X2" s="56"/>
      <c r="Y2" s="56"/>
      <c r="Z2" s="56"/>
      <c r="AA2" s="56"/>
      <c r="AB2" s="56"/>
      <c r="AC2" s="56"/>
      <c r="AD2" s="56"/>
      <c r="AE2" s="57"/>
      <c r="AF2" s="57"/>
      <c r="AG2" s="57"/>
      <c r="AH2" s="57"/>
      <c r="AI2" s="57"/>
      <c r="AJ2" s="57"/>
      <c r="AK2" s="57"/>
      <c r="AL2" s="58"/>
      <c r="AM2" s="58"/>
      <c r="AN2" s="58"/>
      <c r="AO2" s="58"/>
      <c r="AP2" s="58"/>
      <c r="AQ2" s="58"/>
      <c r="AR2" s="58"/>
      <c r="AS2" s="58"/>
      <c r="AT2" s="58"/>
      <c r="AU2" s="58"/>
      <c r="AV2" s="58"/>
      <c r="AW2" s="58"/>
      <c r="AX2" s="58"/>
      <c r="AY2" s="58"/>
      <c r="AZ2" s="58"/>
      <c r="BA2" s="58"/>
      <c r="BB2" s="58"/>
      <c r="BC2" s="58"/>
      <c r="BD2" s="58"/>
      <c r="BE2" s="58"/>
      <c r="BF2" s="58"/>
      <c r="BG2" s="58"/>
      <c r="BH2" s="58"/>
      <c r="BI2" s="58"/>
      <c r="BJ2" s="58"/>
      <c r="BK2" s="58"/>
      <c r="BL2" s="58"/>
      <c r="BM2" s="58"/>
      <c r="BN2" s="58"/>
      <c r="BO2" s="58"/>
      <c r="BP2" s="58"/>
      <c r="BQ2" s="58"/>
      <c r="BR2" s="59"/>
      <c r="BS2" s="59"/>
      <c r="BT2" s="59"/>
      <c r="BU2" s="59"/>
      <c r="BV2" s="59"/>
      <c r="BW2" s="59"/>
      <c r="BX2" s="59"/>
      <c r="BY2" s="59"/>
      <c r="BZ2" s="59"/>
      <c r="CA2" s="59"/>
      <c r="CB2" s="59"/>
      <c r="CC2" s="59"/>
      <c r="CD2" s="59"/>
    </row>
    <row r="3" spans="1:82" s="31" customFormat="1" ht="60" customHeight="1" x14ac:dyDescent="0.4">
      <c r="A3" s="97"/>
      <c r="B3" s="97"/>
      <c r="C3" s="97"/>
      <c r="D3" s="97"/>
      <c r="E3" s="97"/>
      <c r="F3" s="97"/>
      <c r="G3" s="97"/>
      <c r="H3" s="97"/>
      <c r="I3" s="97"/>
      <c r="J3" s="97"/>
      <c r="K3" s="60"/>
      <c r="L3" s="60"/>
      <c r="M3" s="60"/>
      <c r="N3" s="60"/>
      <c r="O3" s="60"/>
      <c r="P3" s="60"/>
      <c r="Q3" s="60"/>
      <c r="R3" s="60"/>
      <c r="S3" s="60"/>
      <c r="T3" s="60"/>
      <c r="U3" s="60"/>
      <c r="V3" s="60"/>
      <c r="W3" s="60"/>
      <c r="X3" s="60"/>
      <c r="Y3" s="60"/>
      <c r="Z3" s="60"/>
      <c r="AA3" s="60"/>
      <c r="AB3" s="60"/>
      <c r="AC3" s="60"/>
      <c r="AD3" s="60"/>
      <c r="AE3" s="60"/>
      <c r="AF3" s="60"/>
      <c r="AG3" s="60"/>
      <c r="AH3" s="60"/>
      <c r="AI3" s="60"/>
      <c r="AJ3" s="60"/>
      <c r="AK3" s="60"/>
      <c r="AL3" s="60"/>
      <c r="AM3" s="60"/>
      <c r="AN3" s="60"/>
      <c r="AO3" s="60"/>
      <c r="AP3" s="60"/>
      <c r="AQ3" s="60"/>
      <c r="AR3" s="60"/>
      <c r="AS3" s="60"/>
      <c r="AT3" s="60"/>
      <c r="AU3" s="60"/>
      <c r="AV3" s="60"/>
      <c r="AW3" s="60"/>
      <c r="AX3" s="60"/>
      <c r="AY3" s="60"/>
      <c r="AZ3" s="60"/>
      <c r="BA3" s="60"/>
      <c r="BB3" s="60"/>
      <c r="BC3" s="60"/>
      <c r="BD3" s="60"/>
      <c r="BE3" s="60"/>
      <c r="BF3" s="60"/>
      <c r="BG3" s="60"/>
      <c r="BH3" s="60"/>
      <c r="BI3" s="60"/>
      <c r="BJ3" s="60"/>
      <c r="BK3" s="60"/>
      <c r="BL3" s="60"/>
      <c r="BM3" s="60"/>
      <c r="BN3" s="60"/>
      <c r="BO3" s="60"/>
      <c r="BP3" s="60"/>
      <c r="BQ3" s="60"/>
      <c r="BR3" s="60"/>
      <c r="BS3" s="60"/>
      <c r="BT3" s="60"/>
      <c r="BU3" s="60"/>
      <c r="BV3" s="60"/>
      <c r="BW3" s="60"/>
      <c r="BX3" s="60"/>
      <c r="BY3" s="60"/>
      <c r="BZ3" s="60"/>
      <c r="CA3" s="60"/>
      <c r="CB3" s="60"/>
      <c r="CC3" s="60"/>
      <c r="CD3" s="60"/>
    </row>
    <row r="4" spans="1:82" s="33" customFormat="1" x14ac:dyDescent="0.4">
      <c r="A4" s="62" t="str">
        <f>SOP_Heading10</f>
        <v xml:space="preserve"> </v>
      </c>
      <c r="B4" s="62" t="str">
        <f>SOP_Heading9</f>
        <v xml:space="preserve"> </v>
      </c>
      <c r="C4" s="62" t="str">
        <f>SOP_Heading8</f>
        <v xml:space="preserve"> </v>
      </c>
      <c r="D4" s="62" t="str">
        <f>SOP_Heading7</f>
        <v xml:space="preserve"> </v>
      </c>
      <c r="E4" s="62" t="str">
        <f>SOP_Heading6</f>
        <v xml:space="preserve"> </v>
      </c>
      <c r="F4" s="62" t="str">
        <f>SOP_Heading5</f>
        <v xml:space="preserve"> </v>
      </c>
      <c r="G4" s="62" t="str">
        <f>SOP_Heading4</f>
        <v xml:space="preserve"> </v>
      </c>
      <c r="H4" s="62" t="str">
        <f>SOP_Heading3</f>
        <v>Product ID</v>
      </c>
      <c r="I4" s="62" t="str">
        <f>SOP_Heading2</f>
        <v>Location ID</v>
      </c>
      <c r="J4" s="62" t="str">
        <f>SOP_Heading1</f>
        <v>Key Figure</v>
      </c>
      <c r="K4" s="67" t="str">
        <f xml:space="preserve"> _xll.EPMOlapMemberO("[PERIODID3].[].[70616]","","APR 2021","","000")</f>
        <v>APR 2021</v>
      </c>
      <c r="L4" s="67" t="str">
        <f xml:space="preserve"> _xll.EPMOlapMemberO("[PERIODID3].[].[70617]","","MAY 2021","","000")</f>
        <v>MAY 2021</v>
      </c>
      <c r="M4" s="67" t="str">
        <f xml:space="preserve"> _xll.EPMOlapMemberO("[PERIODID3].[].[70618]","","JUN 2021","","000")</f>
        <v>JUN 2021</v>
      </c>
      <c r="N4" s="67" t="str">
        <f xml:space="preserve"> _xll.EPMOlapMemberO("[PERIODID3].[].[70619]","","JUL 2021","","000")</f>
        <v>JUL 2021</v>
      </c>
      <c r="O4" s="67" t="str">
        <f xml:space="preserve"> _xll.EPMOlapMemberO("[PERIODID3].[].[70620]","","AUG 2021","","000")</f>
        <v>AUG 2021</v>
      </c>
      <c r="P4" s="67" t="str">
        <f xml:space="preserve"> _xll.EPMOlapMemberO("[PERIODID3].[].[70621]","","SEP 2021","","000")</f>
        <v>SEP 2021</v>
      </c>
      <c r="Q4" s="67" t="str">
        <f xml:space="preserve"> _xll.EPMOlapMemberO("[PERIODID3].[].[70622]","","OCT 2021","","000")</f>
        <v>OCT 2021</v>
      </c>
      <c r="R4" s="67" t="str">
        <f xml:space="preserve"> _xll.EPMOlapMemberO("[PERIODID3].[].[70623]","","NOV 2021","","000")</f>
        <v>NOV 2021</v>
      </c>
      <c r="S4" s="67" t="str">
        <f xml:space="preserve"> _xll.EPMOlapMemberO("[PERIODID3].[].[70624]","","DEC 2021","","000")</f>
        <v>DEC 2021</v>
      </c>
      <c r="T4" s="67" t="str">
        <f xml:space="preserve"> _xll.EPMOlapMemberO("[PERIODID3].[].[70625]","","JAN 2022","","000")</f>
        <v>JAN 2022</v>
      </c>
      <c r="U4" s="67" t="str">
        <f xml:space="preserve"> _xll.EPMOlapMemberO("[PERIODID3].[].[70626]","","FEB 2022","","000")</f>
        <v>FEB 2022</v>
      </c>
      <c r="V4"/>
      <c r="W4"/>
      <c r="X4"/>
      <c r="Y4"/>
      <c r="Z4"/>
      <c r="AA4"/>
      <c r="AB4"/>
      <c r="AC4"/>
      <c r="AD4"/>
      <c r="AE4"/>
      <c r="AF4"/>
      <c r="AG4"/>
      <c r="AH4"/>
      <c r="AI4" s="61"/>
      <c r="AJ4" s="61"/>
      <c r="AK4" s="61"/>
      <c r="AL4" s="61"/>
      <c r="AM4" s="61"/>
      <c r="AN4" s="61"/>
      <c r="AO4" s="61"/>
      <c r="AP4" s="61"/>
      <c r="AQ4" s="61"/>
      <c r="AR4" s="61"/>
      <c r="AS4" s="61"/>
      <c r="AT4" s="61"/>
      <c r="AU4" s="61"/>
      <c r="AV4" s="61"/>
      <c r="AW4" s="61"/>
      <c r="AX4" s="61"/>
      <c r="AY4" s="61"/>
      <c r="AZ4" s="61"/>
      <c r="BA4" s="61"/>
      <c r="BB4" s="61"/>
      <c r="BC4" s="61"/>
      <c r="BD4" s="61"/>
      <c r="BE4" s="61"/>
      <c r="BF4" s="61"/>
      <c r="BG4" s="61"/>
      <c r="BH4" s="61"/>
      <c r="BI4" s="61"/>
      <c r="BJ4" s="61"/>
      <c r="BK4" s="61"/>
      <c r="BL4" s="61"/>
      <c r="BM4" s="61"/>
      <c r="BN4" s="61"/>
      <c r="BO4" s="61"/>
      <c r="BP4" s="61"/>
      <c r="BQ4" s="61"/>
      <c r="BR4" s="61"/>
      <c r="BS4" s="61"/>
      <c r="BT4" s="61"/>
      <c r="BU4" s="61"/>
      <c r="BV4" s="61"/>
      <c r="BW4" s="61"/>
      <c r="BX4" s="61"/>
      <c r="BY4" s="61"/>
      <c r="BZ4" s="61"/>
      <c r="CA4" s="61"/>
      <c r="CB4" s="61"/>
      <c r="CC4" s="61"/>
      <c r="CD4" s="61"/>
    </row>
    <row r="5" spans="1:82" x14ac:dyDescent="0.4">
      <c r="A5" s="61"/>
      <c r="B5" s="61"/>
      <c r="C5" s="61"/>
      <c r="D5" s="61"/>
      <c r="E5" s="61"/>
      <c r="F5" s="61"/>
      <c r="H5" s="65" t="str">
        <f xml:space="preserve"> _xll.EPMOlapMemberO("[PRDID].[].[HT_002]","","HT_002","","000")</f>
        <v>HT_002</v>
      </c>
      <c r="I5" s="65" t="str">
        <f xml:space="preserve"> _xll.EPMOlapMemberO("[LOCID].[].[HD_DC_CA_E]","","HD_DC_CA_E","","000")</f>
        <v>HD_DC_CA_E</v>
      </c>
      <c r="J5" s="65" t="str">
        <f xml:space="preserve"> _xll.EPMOlapMemberO("[KEY_FIGURES].[].[CONSENSUSDEMAND]","","Consensus Demand without Promotion","","000")</f>
        <v>Consensus Demand without Promotion</v>
      </c>
      <c r="K5" s="68"/>
      <c r="L5" s="68"/>
      <c r="M5" s="68"/>
      <c r="N5" s="68">
        <v>175</v>
      </c>
      <c r="O5" s="68">
        <v>175.00200000000001</v>
      </c>
      <c r="P5" s="68">
        <v>175</v>
      </c>
      <c r="Q5" s="68">
        <v>175</v>
      </c>
      <c r="R5" s="68">
        <v>175</v>
      </c>
      <c r="S5" s="68">
        <v>175</v>
      </c>
      <c r="T5" s="68">
        <v>25.692</v>
      </c>
      <c r="U5" s="68"/>
      <c r="AI5" s="61"/>
      <c r="AJ5" s="61"/>
      <c r="AK5" s="61"/>
      <c r="AL5" s="61"/>
      <c r="AM5" s="61"/>
      <c r="AN5" s="61"/>
      <c r="AO5" s="61"/>
      <c r="AP5" s="61"/>
      <c r="AQ5" s="61"/>
      <c r="AR5" s="61"/>
      <c r="AS5" s="61"/>
      <c r="AT5" s="61"/>
      <c r="AU5" s="61"/>
      <c r="AV5" s="61"/>
      <c r="AW5" s="61"/>
      <c r="AX5" s="61"/>
      <c r="AY5" s="61"/>
      <c r="AZ5" s="61"/>
      <c r="BA5" s="61"/>
      <c r="BB5" s="61"/>
      <c r="BC5" s="61"/>
      <c r="BD5" s="61"/>
      <c r="BE5" s="61"/>
      <c r="BF5" s="61"/>
      <c r="BG5" s="61"/>
      <c r="BH5" s="61"/>
      <c r="BI5" s="61"/>
      <c r="BJ5" s="61"/>
      <c r="BK5" s="61"/>
      <c r="BL5" s="61"/>
      <c r="BM5" s="61"/>
      <c r="BN5" s="61"/>
      <c r="BO5" s="61"/>
      <c r="BP5" s="61"/>
      <c r="BQ5" s="61"/>
      <c r="BR5" s="61"/>
      <c r="BS5" s="61"/>
      <c r="BT5" s="61"/>
      <c r="BU5" s="61"/>
      <c r="BV5" s="61"/>
      <c r="BW5" s="61"/>
      <c r="BX5" s="61"/>
      <c r="BY5" s="61"/>
      <c r="BZ5" s="61"/>
      <c r="CA5" s="61"/>
      <c r="CB5" s="61"/>
      <c r="CC5" s="61"/>
      <c r="CD5" s="61"/>
    </row>
    <row r="6" spans="1:82" x14ac:dyDescent="0.4">
      <c r="A6" s="61"/>
      <c r="B6" s="61"/>
      <c r="C6" s="61"/>
      <c r="D6" s="61"/>
      <c r="E6" s="61"/>
      <c r="F6" s="61"/>
      <c r="H6" s="29"/>
      <c r="I6" s="29"/>
      <c r="J6" s="29" t="s">
        <v>32</v>
      </c>
      <c r="K6" s="40"/>
      <c r="L6" s="40"/>
      <c r="M6" s="40"/>
      <c r="N6" s="40"/>
      <c r="O6" s="40"/>
      <c r="P6" s="40"/>
      <c r="Q6" s="40"/>
      <c r="R6" s="40"/>
      <c r="S6" s="40"/>
      <c r="T6" s="40"/>
      <c r="U6" s="40"/>
      <c r="V6" s="64"/>
      <c r="AI6" s="61"/>
      <c r="AJ6" s="61"/>
      <c r="AK6" s="61"/>
      <c r="AL6" s="61"/>
      <c r="AM6" s="61"/>
      <c r="AN6" s="61"/>
      <c r="AO6" s="61"/>
      <c r="AP6" s="61"/>
      <c r="AQ6" s="61"/>
      <c r="AR6" s="61"/>
      <c r="AS6" s="61"/>
      <c r="AT6" s="61"/>
      <c r="AU6" s="61"/>
      <c r="AV6" s="61"/>
      <c r="AW6" s="61"/>
      <c r="AX6" s="61"/>
      <c r="AY6" s="61"/>
      <c r="AZ6" s="61"/>
      <c r="BA6" s="61"/>
      <c r="BB6" s="61"/>
      <c r="BC6" s="61"/>
      <c r="BD6" s="61"/>
      <c r="BE6" s="61"/>
      <c r="BF6" s="61"/>
      <c r="BG6" s="61"/>
      <c r="BH6" s="61"/>
      <c r="BI6" s="61"/>
      <c r="BJ6" s="61"/>
      <c r="BK6" s="61"/>
      <c r="BL6" s="61"/>
      <c r="BM6" s="61"/>
      <c r="BN6" s="61"/>
      <c r="BO6" s="61"/>
      <c r="BP6" s="61"/>
      <c r="BQ6" s="61"/>
      <c r="BR6" s="61"/>
      <c r="BS6" s="61"/>
      <c r="BT6" s="61"/>
      <c r="BU6" s="61"/>
      <c r="BV6" s="61"/>
      <c r="BW6" s="61"/>
      <c r="BX6" s="61"/>
      <c r="BY6" s="61"/>
      <c r="BZ6" s="61"/>
      <c r="CA6" s="61"/>
      <c r="CB6" s="61"/>
      <c r="CC6" s="61"/>
      <c r="CD6" s="61"/>
    </row>
    <row r="7" spans="1:82" x14ac:dyDescent="0.4">
      <c r="A7" s="61"/>
      <c r="B7" s="61"/>
      <c r="C7" s="61"/>
      <c r="D7" s="61"/>
      <c r="E7" s="61"/>
      <c r="F7" s="61"/>
      <c r="H7" s="65"/>
      <c r="I7" s="65"/>
      <c r="J7" s="65" t="str">
        <f xml:space="preserve"> _xll.EPMOlapMemberO("[KEY_FIGURES].[].[DEMANDPLANNINGQTY]","","Demand Planning Qty","","000")</f>
        <v>Demand Planning Qty</v>
      </c>
      <c r="K7" s="66">
        <v>0</v>
      </c>
      <c r="L7" s="66">
        <v>0</v>
      </c>
      <c r="M7" s="66"/>
      <c r="N7" s="66"/>
      <c r="O7" s="66"/>
      <c r="P7" s="66"/>
      <c r="Q7" s="66"/>
      <c r="R7" s="66">
        <v>150</v>
      </c>
      <c r="S7" s="66">
        <v>150</v>
      </c>
      <c r="T7" s="66">
        <v>150</v>
      </c>
      <c r="U7" s="66">
        <v>175</v>
      </c>
      <c r="AI7" s="61"/>
      <c r="AJ7" s="61"/>
      <c r="AK7" s="61"/>
      <c r="AL7" s="61"/>
      <c r="AM7" s="61"/>
      <c r="AN7" s="61"/>
      <c r="AO7" s="61"/>
      <c r="AP7" s="61"/>
      <c r="AQ7" s="61"/>
      <c r="AR7" s="61"/>
      <c r="AS7" s="61"/>
      <c r="AT7" s="61"/>
      <c r="AU7" s="61"/>
      <c r="AV7" s="61"/>
      <c r="AW7" s="61"/>
      <c r="AX7" s="61"/>
      <c r="AY7" s="61"/>
      <c r="AZ7" s="61"/>
      <c r="BA7" s="61"/>
      <c r="BB7" s="61"/>
      <c r="BC7" s="61"/>
      <c r="BD7" s="61"/>
      <c r="BE7" s="61"/>
      <c r="BF7" s="61"/>
      <c r="BG7" s="61"/>
      <c r="BH7" s="61"/>
      <c r="BI7" s="61"/>
      <c r="BJ7" s="61"/>
      <c r="BK7" s="61"/>
      <c r="BL7" s="61"/>
      <c r="BM7" s="61"/>
      <c r="BN7" s="61"/>
      <c r="BO7" s="61"/>
      <c r="BP7" s="61"/>
      <c r="BQ7" s="61"/>
      <c r="BR7" s="61"/>
      <c r="BS7" s="61"/>
      <c r="BT7" s="61"/>
      <c r="BU7" s="61"/>
      <c r="BV7" s="61"/>
      <c r="BW7" s="61"/>
      <c r="BX7" s="61"/>
      <c r="BY7" s="61"/>
      <c r="BZ7" s="61"/>
      <c r="CA7" s="61"/>
      <c r="CB7" s="61"/>
      <c r="CC7" s="61"/>
      <c r="CD7" s="61"/>
    </row>
    <row r="8" spans="1:82" x14ac:dyDescent="0.4">
      <c r="A8" s="61"/>
      <c r="B8" s="61"/>
      <c r="C8" s="61"/>
      <c r="D8" s="61"/>
      <c r="E8" s="61"/>
      <c r="F8" s="61"/>
      <c r="H8" s="29"/>
      <c r="I8" s="29"/>
      <c r="J8" s="29" t="s">
        <v>33</v>
      </c>
      <c r="K8" s="35"/>
      <c r="L8" s="35"/>
      <c r="M8" s="35"/>
      <c r="N8" s="35"/>
      <c r="O8" s="35"/>
      <c r="P8" s="35"/>
      <c r="Q8" s="35"/>
      <c r="R8" s="35"/>
      <c r="S8" s="35"/>
      <c r="T8" s="35"/>
      <c r="U8" s="35"/>
      <c r="V8" s="35"/>
      <c r="AI8" s="61"/>
      <c r="AJ8" s="61"/>
      <c r="AK8" s="61"/>
      <c r="AL8" s="61"/>
      <c r="AM8" s="61"/>
      <c r="AN8" s="61"/>
      <c r="AO8" s="61"/>
      <c r="AP8" s="61"/>
      <c r="AQ8" s="61"/>
      <c r="AR8" s="61"/>
      <c r="AS8" s="61"/>
      <c r="AT8" s="61"/>
      <c r="AU8" s="61"/>
      <c r="AV8" s="61"/>
      <c r="AW8" s="61"/>
      <c r="AX8" s="61"/>
      <c r="AY8" s="61"/>
      <c r="AZ8" s="61"/>
      <c r="BA8" s="61"/>
      <c r="BB8" s="61"/>
      <c r="BC8" s="61"/>
      <c r="BD8" s="61"/>
      <c r="BE8" s="61"/>
      <c r="BF8" s="61"/>
      <c r="BG8" s="61"/>
      <c r="BH8" s="61"/>
      <c r="BI8" s="61"/>
      <c r="BJ8" s="61"/>
      <c r="BK8" s="61"/>
      <c r="BL8" s="61"/>
      <c r="BM8" s="61"/>
      <c r="BN8" s="61"/>
      <c r="BO8" s="61"/>
      <c r="BP8" s="61"/>
      <c r="BQ8" s="61"/>
      <c r="BR8" s="61"/>
      <c r="BS8" s="61"/>
      <c r="BT8" s="61"/>
      <c r="BU8" s="61"/>
      <c r="BV8" s="61"/>
      <c r="BW8" s="61"/>
      <c r="BX8" s="61"/>
      <c r="BY8" s="61"/>
      <c r="BZ8" s="61"/>
      <c r="CA8" s="61"/>
      <c r="CB8" s="61"/>
      <c r="CC8" s="61"/>
      <c r="CD8" s="61"/>
    </row>
    <row r="9" spans="1:82" x14ac:dyDescent="0.4">
      <c r="A9" s="61"/>
      <c r="B9" s="61"/>
      <c r="C9" s="61"/>
      <c r="D9" s="61"/>
      <c r="E9" s="61"/>
      <c r="F9" s="61"/>
      <c r="H9" s="65"/>
      <c r="I9" s="65"/>
      <c r="J9" s="65" t="str">
        <f xml:space="preserve"> _xll.EPMOlapMemberO("[KEY_FIGURES].[].[ACTUALSREV]","","Actuals Revenue","","000")</f>
        <v>Actuals Revenue</v>
      </c>
      <c r="K9" s="68"/>
      <c r="L9" s="68"/>
      <c r="M9" s="68"/>
      <c r="N9" s="68"/>
      <c r="O9" s="68"/>
      <c r="P9" s="68"/>
      <c r="Q9" s="68"/>
      <c r="R9" s="68"/>
      <c r="S9" s="68"/>
      <c r="T9" s="68"/>
      <c r="U9" s="68"/>
      <c r="AI9" s="61"/>
      <c r="AJ9" s="61"/>
      <c r="AK9" s="61"/>
      <c r="AL9" s="61"/>
      <c r="AM9" s="61"/>
      <c r="AN9" s="61"/>
      <c r="AO9" s="61"/>
      <c r="AP9" s="61"/>
      <c r="AQ9" s="61"/>
      <c r="AR9" s="61"/>
      <c r="AS9" s="61"/>
      <c r="AT9" s="61"/>
      <c r="AU9" s="61"/>
      <c r="AV9" s="61"/>
      <c r="AW9" s="61"/>
      <c r="AX9" s="61"/>
      <c r="AY9" s="61"/>
      <c r="AZ9" s="61"/>
      <c r="BA9" s="61"/>
      <c r="BB9" s="61"/>
      <c r="BC9" s="61"/>
      <c r="BD9" s="61"/>
      <c r="BE9" s="61"/>
      <c r="BF9" s="61"/>
      <c r="BG9" s="61"/>
      <c r="BH9" s="61"/>
      <c r="BI9" s="61"/>
      <c r="BJ9" s="61"/>
      <c r="BK9" s="61"/>
      <c r="BL9" s="61"/>
      <c r="BM9" s="61"/>
      <c r="BN9" s="61"/>
      <c r="BO9" s="61"/>
      <c r="BP9" s="61"/>
      <c r="BQ9" s="61"/>
      <c r="BR9" s="61"/>
      <c r="BS9" s="61"/>
      <c r="BT9" s="61"/>
      <c r="BU9" s="61"/>
      <c r="BV9" s="61"/>
      <c r="BW9" s="61"/>
      <c r="BX9" s="61"/>
      <c r="BY9" s="61"/>
      <c r="BZ9" s="61"/>
      <c r="CA9" s="61"/>
      <c r="CB9" s="61"/>
      <c r="CC9" s="61"/>
      <c r="CD9" s="61"/>
    </row>
    <row r="10" spans="1:82" x14ac:dyDescent="0.4">
      <c r="A10" s="61"/>
      <c r="B10" s="61"/>
      <c r="C10" s="61"/>
      <c r="D10" s="61"/>
      <c r="E10" s="61"/>
      <c r="F10" s="61"/>
      <c r="H10" s="65"/>
      <c r="I10" s="65"/>
      <c r="J10" s="65" t="str">
        <f xml:space="preserve"> _xll.EPMOlapMemberO("[KEY_FIGURES].[].[CONFQTY]","","Confirmed Qty","","000")</f>
        <v>Confirmed Qty</v>
      </c>
      <c r="K10" s="66"/>
      <c r="L10" s="66"/>
      <c r="M10" s="66"/>
      <c r="N10" s="66"/>
      <c r="O10" s="66"/>
      <c r="P10" s="66"/>
      <c r="Q10" s="66"/>
      <c r="R10" s="66"/>
      <c r="S10" s="66"/>
      <c r="T10" s="66"/>
      <c r="U10" s="66"/>
      <c r="AI10" s="61"/>
      <c r="AJ10" s="61"/>
      <c r="AK10" s="61"/>
      <c r="AL10" s="61"/>
      <c r="AM10" s="61"/>
      <c r="AN10" s="61"/>
      <c r="AO10" s="61"/>
      <c r="AP10" s="61"/>
      <c r="AQ10" s="61"/>
      <c r="AR10" s="61"/>
      <c r="AS10" s="61"/>
      <c r="AT10" s="61"/>
      <c r="AU10" s="61"/>
      <c r="AV10" s="61"/>
      <c r="AW10" s="61"/>
      <c r="AX10" s="61"/>
      <c r="AY10" s="61"/>
      <c r="AZ10" s="61"/>
      <c r="BA10" s="61"/>
      <c r="BB10" s="61"/>
      <c r="BC10" s="61"/>
      <c r="BD10" s="61"/>
      <c r="BE10" s="61"/>
      <c r="BF10" s="61"/>
      <c r="BG10" s="61"/>
      <c r="BH10" s="61"/>
      <c r="BI10" s="61"/>
      <c r="BJ10" s="61"/>
      <c r="BK10" s="61"/>
      <c r="BL10" s="61"/>
      <c r="BM10" s="61"/>
      <c r="BN10" s="61"/>
      <c r="BO10" s="61"/>
      <c r="BP10" s="61"/>
      <c r="BQ10" s="61"/>
      <c r="BR10" s="61"/>
      <c r="BS10" s="61"/>
      <c r="BT10" s="61"/>
      <c r="BU10" s="61"/>
      <c r="BV10" s="61"/>
      <c r="BW10" s="61"/>
      <c r="BX10" s="61"/>
      <c r="BY10" s="61"/>
      <c r="BZ10" s="61"/>
      <c r="CA10" s="61"/>
      <c r="CB10" s="61"/>
      <c r="CC10" s="61"/>
      <c r="CD10" s="61"/>
    </row>
    <row r="11" spans="1:82" x14ac:dyDescent="0.4">
      <c r="A11" s="61"/>
      <c r="B11" s="61"/>
      <c r="C11" s="61"/>
      <c r="D11" s="61"/>
      <c r="E11" s="61"/>
      <c r="F11" s="61"/>
      <c r="J11" t="s">
        <v>34</v>
      </c>
      <c r="AI11" s="61"/>
      <c r="AJ11" s="61"/>
      <c r="AK11" s="61"/>
      <c r="AL11" s="61"/>
      <c r="AM11" s="61"/>
      <c r="AN11" s="61"/>
      <c r="AO11" s="61"/>
      <c r="AP11" s="61"/>
      <c r="AQ11" s="61"/>
      <c r="AR11" s="61"/>
      <c r="AS11" s="61"/>
      <c r="AT11" s="61"/>
      <c r="AU11" s="61"/>
      <c r="AV11" s="61"/>
      <c r="AW11" s="61"/>
      <c r="AX11" s="61"/>
      <c r="AY11" s="61"/>
      <c r="AZ11" s="61"/>
      <c r="BA11" s="61"/>
      <c r="BB11" s="61"/>
      <c r="BC11" s="61"/>
      <c r="BD11" s="61"/>
      <c r="BE11" s="61"/>
      <c r="BF11" s="61"/>
      <c r="BG11" s="61"/>
      <c r="BH11" s="61"/>
      <c r="BI11" s="61"/>
      <c r="BJ11" s="61"/>
      <c r="BK11" s="61"/>
      <c r="BL11" s="61"/>
      <c r="BM11" s="61"/>
      <c r="BN11" s="61"/>
      <c r="BO11" s="61"/>
      <c r="BP11" s="61"/>
      <c r="BQ11" s="61"/>
      <c r="BR11" s="61"/>
      <c r="BS11" s="61"/>
      <c r="BT11" s="61"/>
      <c r="BU11" s="61"/>
      <c r="BV11" s="61"/>
      <c r="BW11" s="61"/>
      <c r="BX11" s="61"/>
      <c r="BY11" s="61"/>
      <c r="BZ11" s="61"/>
      <c r="CA11" s="61"/>
      <c r="CB11" s="61"/>
      <c r="CC11" s="61"/>
      <c r="CD11" s="61"/>
    </row>
    <row r="12" spans="1:82" x14ac:dyDescent="0.4">
      <c r="A12" s="61"/>
      <c r="B12" s="61"/>
      <c r="C12" s="61"/>
      <c r="D12" s="61"/>
      <c r="E12" s="61"/>
      <c r="F12" s="61"/>
      <c r="AI12" s="61"/>
      <c r="AJ12" s="61"/>
      <c r="AK12" s="61"/>
      <c r="AL12" s="61"/>
      <c r="AM12" s="61"/>
      <c r="AN12" s="61"/>
      <c r="AO12" s="61"/>
      <c r="AP12" s="61"/>
      <c r="AQ12" s="61"/>
      <c r="AR12" s="61"/>
      <c r="AS12" s="61"/>
      <c r="AT12" s="61"/>
      <c r="AU12" s="61"/>
      <c r="AV12" s="61"/>
      <c r="AW12" s="61"/>
      <c r="AX12" s="61"/>
      <c r="AY12" s="61"/>
      <c r="AZ12" s="61"/>
      <c r="BA12" s="61"/>
      <c r="BB12" s="61"/>
      <c r="BC12" s="61"/>
      <c r="BD12" s="61"/>
      <c r="BE12" s="61"/>
      <c r="BF12" s="61"/>
      <c r="BG12" s="61"/>
      <c r="BH12" s="61"/>
      <c r="BI12" s="61"/>
      <c r="BJ12" s="61"/>
      <c r="BK12" s="61"/>
      <c r="BL12" s="61"/>
      <c r="BM12" s="61"/>
      <c r="BN12" s="61"/>
      <c r="BO12" s="61"/>
      <c r="BP12" s="61"/>
      <c r="BQ12" s="61"/>
      <c r="BR12" s="61"/>
      <c r="BS12" s="61"/>
      <c r="BT12" s="61"/>
      <c r="BU12" s="61"/>
      <c r="BV12" s="61"/>
      <c r="BW12" s="61"/>
      <c r="BX12" s="61"/>
      <c r="BY12" s="61"/>
      <c r="BZ12" s="61"/>
      <c r="CA12" s="61"/>
      <c r="CB12" s="61"/>
      <c r="CC12" s="61"/>
      <c r="CD12" s="61"/>
    </row>
    <row r="13" spans="1:82" x14ac:dyDescent="0.4">
      <c r="A13" s="61"/>
      <c r="B13" s="61"/>
      <c r="C13" s="61"/>
      <c r="D13" s="61"/>
      <c r="E13" s="61"/>
      <c r="F13" s="61"/>
      <c r="AI13" s="61"/>
      <c r="AJ13" s="61"/>
      <c r="AK13" s="61"/>
      <c r="AL13" s="61"/>
      <c r="AM13" s="61"/>
      <c r="AN13" s="61"/>
      <c r="AO13" s="61"/>
      <c r="AP13" s="61"/>
      <c r="AQ13" s="61"/>
      <c r="AR13" s="61"/>
      <c r="AS13" s="61"/>
      <c r="AT13" s="61"/>
      <c r="AU13" s="61"/>
      <c r="AV13" s="61"/>
      <c r="AW13" s="61"/>
      <c r="AX13" s="61"/>
      <c r="AY13" s="61"/>
      <c r="AZ13" s="61"/>
      <c r="BA13" s="61"/>
      <c r="BB13" s="61"/>
      <c r="BC13" s="61"/>
      <c r="BD13" s="61"/>
      <c r="BE13" s="61"/>
      <c r="BF13" s="61"/>
      <c r="BG13" s="61"/>
      <c r="BH13" s="61"/>
      <c r="BI13" s="61"/>
      <c r="BJ13" s="61"/>
      <c r="BK13" s="61"/>
      <c r="BL13" s="61"/>
      <c r="BM13" s="61"/>
      <c r="BN13" s="61"/>
      <c r="BO13" s="61"/>
      <c r="BP13" s="61"/>
      <c r="BQ13" s="61"/>
      <c r="BR13" s="61"/>
      <c r="BS13" s="61"/>
      <c r="BT13" s="61"/>
      <c r="BU13" s="61"/>
      <c r="BV13" s="61"/>
      <c r="BW13" s="61"/>
      <c r="BX13" s="61"/>
      <c r="BY13" s="61"/>
      <c r="BZ13" s="61"/>
      <c r="CA13" s="61"/>
      <c r="CB13" s="61"/>
      <c r="CC13" s="61"/>
      <c r="CD13" s="61"/>
    </row>
    <row r="14" spans="1:82" x14ac:dyDescent="0.4">
      <c r="A14" s="61"/>
      <c r="B14" s="61"/>
      <c r="C14" s="61"/>
      <c r="D14" s="61"/>
      <c r="E14" s="61"/>
      <c r="F14" s="61"/>
      <c r="AI14" s="61"/>
      <c r="AJ14" s="61"/>
      <c r="AK14" s="61"/>
      <c r="AL14" s="61"/>
      <c r="AM14" s="61"/>
      <c r="AN14" s="61"/>
      <c r="AO14" s="61"/>
      <c r="AP14" s="61"/>
      <c r="AQ14" s="61"/>
      <c r="AR14" s="61"/>
      <c r="AS14" s="61"/>
      <c r="AT14" s="61"/>
      <c r="AU14" s="61"/>
      <c r="AV14" s="61"/>
      <c r="AW14" s="61"/>
      <c r="AX14" s="61"/>
      <c r="AY14" s="61"/>
      <c r="AZ14" s="61"/>
      <c r="BA14" s="61"/>
      <c r="BB14" s="61"/>
      <c r="BC14" s="61"/>
      <c r="BD14" s="61"/>
      <c r="BE14" s="61"/>
      <c r="BF14" s="61"/>
      <c r="BG14" s="61"/>
      <c r="BH14" s="61"/>
      <c r="BI14" s="61"/>
      <c r="BJ14" s="61"/>
      <c r="BK14" s="61"/>
      <c r="BL14" s="61"/>
      <c r="BM14" s="61"/>
      <c r="BN14" s="61"/>
      <c r="BO14" s="61"/>
      <c r="BP14" s="61"/>
      <c r="BQ14" s="61"/>
      <c r="BR14" s="61"/>
      <c r="BS14" s="61"/>
      <c r="BT14" s="61"/>
      <c r="BU14" s="61"/>
      <c r="BV14" s="61"/>
      <c r="BW14" s="61"/>
      <c r="BX14" s="61"/>
      <c r="BY14" s="61"/>
      <c r="BZ14" s="61"/>
      <c r="CA14" s="61"/>
      <c r="CB14" s="61"/>
      <c r="CC14" s="61"/>
      <c r="CD14" s="61"/>
    </row>
    <row r="15" spans="1:82" x14ac:dyDescent="0.4">
      <c r="A15" s="61"/>
      <c r="B15" s="61"/>
      <c r="C15" s="61"/>
      <c r="D15" s="61"/>
      <c r="E15" s="61"/>
      <c r="F15" s="61"/>
      <c r="AI15" s="61"/>
      <c r="AJ15" s="61"/>
      <c r="AK15" s="61"/>
      <c r="AL15" s="61"/>
      <c r="AM15" s="61"/>
      <c r="AN15" s="61"/>
      <c r="AO15" s="61"/>
      <c r="AP15" s="61"/>
      <c r="AQ15" s="61"/>
      <c r="AR15" s="61"/>
      <c r="AS15" s="61"/>
      <c r="AT15" s="61"/>
      <c r="AU15" s="61"/>
      <c r="AV15" s="61"/>
      <c r="AW15" s="61"/>
      <c r="AX15" s="61"/>
      <c r="AY15" s="61"/>
      <c r="AZ15" s="61"/>
      <c r="BA15" s="61"/>
      <c r="BB15" s="61"/>
      <c r="BC15" s="61"/>
      <c r="BD15" s="61"/>
      <c r="BE15" s="61"/>
      <c r="BF15" s="61"/>
      <c r="BG15" s="61"/>
      <c r="BH15" s="61"/>
      <c r="BI15" s="61"/>
      <c r="BJ15" s="61"/>
      <c r="BK15" s="61"/>
      <c r="BL15" s="61"/>
      <c r="BM15" s="61"/>
      <c r="BN15" s="61"/>
      <c r="BO15" s="61"/>
      <c r="BP15" s="61"/>
      <c r="BQ15" s="61"/>
      <c r="BR15" s="61"/>
      <c r="BS15" s="61"/>
      <c r="BT15" s="61"/>
      <c r="BU15" s="61"/>
      <c r="BV15" s="61"/>
      <c r="BW15" s="61"/>
      <c r="BX15" s="61"/>
      <c r="BY15" s="61"/>
      <c r="BZ15" s="61"/>
      <c r="CA15" s="61"/>
      <c r="CB15" s="61"/>
      <c r="CC15" s="61"/>
      <c r="CD15" s="61"/>
    </row>
    <row r="16" spans="1:82" x14ac:dyDescent="0.4">
      <c r="A16" s="61"/>
      <c r="B16" s="61"/>
      <c r="C16" s="61"/>
      <c r="D16" s="61"/>
      <c r="E16" s="61"/>
      <c r="F16" s="61"/>
      <c r="AI16" s="61"/>
      <c r="AJ16" s="61"/>
      <c r="AK16" s="61"/>
      <c r="AL16" s="61"/>
      <c r="AM16" s="61"/>
      <c r="AN16" s="61"/>
      <c r="AO16" s="61"/>
      <c r="AP16" s="61"/>
      <c r="AQ16" s="61"/>
      <c r="AR16" s="61"/>
      <c r="AS16" s="61"/>
      <c r="AT16" s="61"/>
      <c r="AU16" s="61"/>
      <c r="AV16" s="61"/>
      <c r="AW16" s="61"/>
      <c r="AX16" s="61"/>
      <c r="AY16" s="61"/>
      <c r="AZ16" s="61"/>
      <c r="BA16" s="61"/>
      <c r="BB16" s="61"/>
      <c r="BC16" s="61"/>
      <c r="BD16" s="61"/>
      <c r="BE16" s="61"/>
      <c r="BF16" s="61"/>
      <c r="BG16" s="61"/>
      <c r="BH16" s="61"/>
      <c r="BI16" s="61"/>
      <c r="BJ16" s="61"/>
      <c r="BK16" s="61"/>
      <c r="BL16" s="61"/>
      <c r="BM16" s="61"/>
      <c r="BN16" s="61"/>
      <c r="BO16" s="61"/>
      <c r="BP16" s="61"/>
      <c r="BQ16" s="61"/>
      <c r="BR16" s="61"/>
      <c r="BS16" s="61"/>
      <c r="BT16" s="61"/>
      <c r="BU16" s="61"/>
      <c r="BV16" s="61"/>
      <c r="BW16" s="61"/>
      <c r="BX16" s="61"/>
      <c r="BY16" s="61"/>
      <c r="BZ16" s="61"/>
      <c r="CA16" s="61"/>
      <c r="CB16" s="61"/>
      <c r="CC16" s="61"/>
      <c r="CD16" s="61"/>
    </row>
    <row r="17" spans="1:82" x14ac:dyDescent="0.4">
      <c r="A17" s="61"/>
      <c r="B17" s="61"/>
      <c r="C17" s="61"/>
      <c r="D17" s="61"/>
      <c r="E17" s="61"/>
      <c r="F17" s="61"/>
      <c r="AI17" s="61"/>
      <c r="AJ17" s="61"/>
      <c r="AK17" s="61"/>
      <c r="AL17" s="61"/>
      <c r="AM17" s="61"/>
      <c r="AN17" s="61"/>
      <c r="AO17" s="61"/>
      <c r="AP17" s="61"/>
      <c r="AQ17" s="61"/>
      <c r="AR17" s="61"/>
      <c r="AS17" s="61"/>
      <c r="AT17" s="61"/>
      <c r="AU17" s="61"/>
      <c r="AV17" s="61"/>
      <c r="AW17" s="61"/>
      <c r="AX17" s="61"/>
      <c r="AY17" s="61"/>
      <c r="AZ17" s="61"/>
      <c r="BA17" s="61"/>
      <c r="BB17" s="61"/>
      <c r="BC17" s="61"/>
      <c r="BD17" s="61"/>
      <c r="BE17" s="61"/>
      <c r="BF17" s="61"/>
      <c r="BG17" s="61"/>
      <c r="BH17" s="61"/>
      <c r="BI17" s="61"/>
      <c r="BJ17" s="61"/>
      <c r="BK17" s="61"/>
      <c r="BL17" s="61"/>
      <c r="BM17" s="61"/>
      <c r="BN17" s="61"/>
      <c r="BO17" s="61"/>
      <c r="BP17" s="61"/>
      <c r="BQ17" s="61"/>
      <c r="BR17" s="61"/>
      <c r="BS17" s="61"/>
      <c r="BT17" s="61"/>
      <c r="BU17" s="61"/>
      <c r="BV17" s="61"/>
      <c r="BW17" s="61"/>
      <c r="BX17" s="61"/>
      <c r="BY17" s="61"/>
      <c r="BZ17" s="61"/>
      <c r="CA17" s="61"/>
      <c r="CB17" s="61"/>
      <c r="CC17" s="61"/>
      <c r="CD17" s="61"/>
    </row>
    <row r="18" spans="1:82" x14ac:dyDescent="0.4">
      <c r="A18" s="61"/>
      <c r="B18" s="61"/>
      <c r="C18" s="61"/>
      <c r="D18" s="61"/>
      <c r="E18" s="61"/>
      <c r="F18" s="61"/>
      <c r="AI18" s="61"/>
      <c r="AJ18" s="61"/>
      <c r="AK18" s="61"/>
      <c r="AL18" s="61"/>
      <c r="AM18" s="61"/>
      <c r="AN18" s="61"/>
      <c r="AO18" s="61"/>
      <c r="AP18" s="61"/>
      <c r="AQ18" s="61"/>
      <c r="AR18" s="61"/>
      <c r="AS18" s="61"/>
      <c r="AT18" s="61"/>
      <c r="AU18" s="61"/>
      <c r="AV18" s="61"/>
      <c r="AW18" s="61"/>
      <c r="AX18" s="61"/>
      <c r="AY18" s="61"/>
      <c r="AZ18" s="61"/>
      <c r="BA18" s="61"/>
      <c r="BB18" s="61"/>
      <c r="BC18" s="61"/>
      <c r="BD18" s="61"/>
      <c r="BE18" s="61"/>
      <c r="BF18" s="61"/>
      <c r="BG18" s="61"/>
      <c r="BH18" s="61"/>
      <c r="BI18" s="61"/>
      <c r="BJ18" s="61"/>
      <c r="BK18" s="61"/>
      <c r="BL18" s="61"/>
      <c r="BM18" s="61"/>
      <c r="BN18" s="61"/>
      <c r="BO18" s="61"/>
      <c r="BP18" s="61"/>
      <c r="BQ18" s="61"/>
      <c r="BR18" s="61"/>
      <c r="BS18" s="61"/>
      <c r="BT18" s="61"/>
      <c r="BU18" s="61"/>
      <c r="BV18" s="61"/>
      <c r="BW18" s="61"/>
      <c r="BX18" s="61"/>
      <c r="BY18" s="61"/>
      <c r="BZ18" s="61"/>
      <c r="CA18" s="61"/>
      <c r="CB18" s="61"/>
      <c r="CC18" s="61"/>
      <c r="CD18" s="61"/>
    </row>
    <row r="19" spans="1:82" x14ac:dyDescent="0.4">
      <c r="A19" s="61"/>
      <c r="B19" s="61"/>
      <c r="C19" s="61"/>
      <c r="D19" s="61"/>
      <c r="E19" s="61"/>
      <c r="F19" s="61"/>
      <c r="AI19" s="61"/>
      <c r="AJ19" s="61"/>
      <c r="AK19" s="61"/>
      <c r="AL19" s="61"/>
      <c r="AM19" s="61"/>
      <c r="AN19" s="61"/>
      <c r="AO19" s="61"/>
      <c r="AP19" s="61"/>
      <c r="AQ19" s="61"/>
      <c r="AR19" s="61"/>
      <c r="AS19" s="61"/>
      <c r="AT19" s="61"/>
      <c r="AU19" s="61"/>
      <c r="AV19" s="61"/>
      <c r="AW19" s="61"/>
      <c r="AX19" s="61"/>
      <c r="AY19" s="61"/>
      <c r="AZ19" s="61"/>
      <c r="BA19" s="61"/>
      <c r="BB19" s="61"/>
      <c r="BC19" s="61"/>
      <c r="BD19" s="61"/>
      <c r="BE19" s="61"/>
      <c r="BF19" s="61"/>
      <c r="BG19" s="61"/>
      <c r="BH19" s="61"/>
      <c r="BI19" s="61"/>
      <c r="BJ19" s="61"/>
      <c r="BK19" s="61"/>
      <c r="BL19" s="61"/>
      <c r="BM19" s="61"/>
      <c r="BN19" s="61"/>
      <c r="BO19" s="61"/>
      <c r="BP19" s="61"/>
      <c r="BQ19" s="61"/>
      <c r="BR19" s="61"/>
      <c r="BS19" s="61"/>
      <c r="BT19" s="61"/>
      <c r="BU19" s="61"/>
      <c r="BV19" s="61"/>
      <c r="BW19" s="61"/>
      <c r="BX19" s="61"/>
      <c r="BY19" s="61"/>
      <c r="BZ19" s="61"/>
      <c r="CA19" s="61"/>
      <c r="CB19" s="61"/>
      <c r="CC19" s="61"/>
      <c r="CD19" s="61"/>
    </row>
    <row r="20" spans="1:82" x14ac:dyDescent="0.4">
      <c r="A20" s="61"/>
      <c r="B20" s="61"/>
      <c r="C20" s="61"/>
      <c r="D20" s="61"/>
      <c r="E20" s="61"/>
      <c r="F20" s="61"/>
      <c r="AI20" s="61"/>
      <c r="AJ20" s="61"/>
      <c r="AK20" s="61"/>
      <c r="AL20" s="61"/>
      <c r="AM20" s="61"/>
      <c r="AN20" s="61"/>
      <c r="AO20" s="61"/>
      <c r="AP20" s="61"/>
      <c r="AQ20" s="61"/>
      <c r="AR20" s="61"/>
      <c r="AS20" s="61"/>
      <c r="AT20" s="61"/>
      <c r="AU20" s="61"/>
      <c r="AV20" s="61"/>
      <c r="AW20" s="61"/>
      <c r="AX20" s="61"/>
      <c r="AY20" s="61"/>
      <c r="AZ20" s="61"/>
      <c r="BA20" s="61"/>
      <c r="BB20" s="61"/>
      <c r="BC20" s="61"/>
      <c r="BD20" s="61"/>
      <c r="BE20" s="61"/>
      <c r="BF20" s="61"/>
      <c r="BG20" s="61"/>
      <c r="BH20" s="61"/>
      <c r="BI20" s="61"/>
      <c r="BJ20" s="61"/>
      <c r="BK20" s="61"/>
      <c r="BL20" s="61"/>
      <c r="BM20" s="61"/>
      <c r="BN20" s="61"/>
      <c r="BO20" s="61"/>
      <c r="BP20" s="61"/>
      <c r="BQ20" s="61"/>
      <c r="BR20" s="61"/>
      <c r="BS20" s="61"/>
      <c r="BT20" s="61"/>
      <c r="BU20" s="61"/>
      <c r="BV20" s="61"/>
      <c r="BW20" s="61"/>
      <c r="BX20" s="61"/>
      <c r="BY20" s="61"/>
      <c r="BZ20" s="61"/>
      <c r="CA20" s="61"/>
      <c r="CB20" s="61"/>
      <c r="CC20" s="61"/>
      <c r="CD20" s="61"/>
    </row>
    <row r="21" spans="1:82" x14ac:dyDescent="0.4">
      <c r="A21" s="61"/>
      <c r="B21" s="61"/>
      <c r="C21" s="61"/>
      <c r="D21" s="61"/>
      <c r="E21" s="61"/>
      <c r="F21" s="61"/>
      <c r="AI21" s="61"/>
      <c r="AJ21" s="61"/>
      <c r="AK21" s="61"/>
      <c r="AL21" s="61"/>
      <c r="AM21" s="61"/>
      <c r="AN21" s="61"/>
      <c r="AO21" s="61"/>
      <c r="AP21" s="61"/>
      <c r="AQ21" s="61"/>
      <c r="AR21" s="61"/>
      <c r="AS21" s="61"/>
      <c r="AT21" s="61"/>
      <c r="AU21" s="61"/>
      <c r="AV21" s="61"/>
      <c r="AW21" s="61"/>
      <c r="AX21" s="61"/>
      <c r="AY21" s="61"/>
      <c r="AZ21" s="61"/>
      <c r="BA21" s="61"/>
      <c r="BB21" s="61"/>
      <c r="BC21" s="61"/>
      <c r="BD21" s="61"/>
      <c r="BE21" s="61"/>
      <c r="BF21" s="61"/>
      <c r="BG21" s="61"/>
      <c r="BH21" s="61"/>
      <c r="BI21" s="61"/>
      <c r="BJ21" s="61"/>
      <c r="BK21" s="61"/>
      <c r="BL21" s="61"/>
      <c r="BM21" s="61"/>
      <c r="BN21" s="61"/>
      <c r="BO21" s="61"/>
      <c r="BP21" s="61"/>
      <c r="BQ21" s="61"/>
      <c r="BR21" s="61"/>
      <c r="BS21" s="61"/>
      <c r="BT21" s="61"/>
      <c r="BU21" s="61"/>
      <c r="BV21" s="61"/>
      <c r="BW21" s="61"/>
      <c r="BX21" s="61"/>
      <c r="BY21" s="61"/>
      <c r="BZ21" s="61"/>
      <c r="CA21" s="61"/>
      <c r="CB21" s="61"/>
      <c r="CC21" s="61"/>
      <c r="CD21" s="61"/>
    </row>
    <row r="22" spans="1:82" x14ac:dyDescent="0.4">
      <c r="A22" s="61"/>
      <c r="B22" s="61"/>
      <c r="C22" s="61"/>
      <c r="D22" s="61"/>
      <c r="E22" s="61"/>
      <c r="F22" s="61"/>
      <c r="AI22" s="61"/>
      <c r="AJ22" s="61"/>
      <c r="AK22" s="61"/>
      <c r="AL22" s="61"/>
      <c r="AM22" s="61"/>
      <c r="AN22" s="61"/>
      <c r="AO22" s="61"/>
      <c r="AP22" s="61"/>
      <c r="AQ22" s="61"/>
      <c r="AR22" s="61"/>
      <c r="AS22" s="61"/>
      <c r="AT22" s="61"/>
      <c r="AU22" s="61"/>
      <c r="AV22" s="61"/>
      <c r="AW22" s="61"/>
      <c r="AX22" s="61"/>
      <c r="AY22" s="61"/>
      <c r="AZ22" s="61"/>
      <c r="BA22" s="61"/>
      <c r="BB22" s="61"/>
      <c r="BC22" s="61"/>
      <c r="BD22" s="61"/>
      <c r="BE22" s="61"/>
      <c r="BF22" s="61"/>
      <c r="BG22" s="61"/>
      <c r="BH22" s="61"/>
      <c r="BI22" s="61"/>
      <c r="BJ22" s="61"/>
      <c r="BK22" s="61"/>
      <c r="BL22" s="61"/>
      <c r="BM22" s="61"/>
      <c r="BN22" s="61"/>
      <c r="BO22" s="61"/>
      <c r="BP22" s="61"/>
      <c r="BQ22" s="61"/>
      <c r="BR22" s="61"/>
      <c r="BS22" s="61"/>
      <c r="BT22" s="61"/>
      <c r="BU22" s="61"/>
      <c r="BV22" s="61"/>
      <c r="BW22" s="61"/>
      <c r="BX22" s="61"/>
      <c r="BY22" s="61"/>
      <c r="BZ22" s="61"/>
      <c r="CA22" s="61"/>
      <c r="CB22" s="61"/>
      <c r="CC22" s="61"/>
      <c r="CD22" s="61"/>
    </row>
    <row r="23" spans="1:82" x14ac:dyDescent="0.4">
      <c r="A23" s="61"/>
      <c r="B23" s="61"/>
      <c r="C23" s="61"/>
      <c r="D23" s="61"/>
      <c r="E23" s="61"/>
      <c r="F23" s="61"/>
      <c r="AI23" s="61"/>
      <c r="AJ23" s="61"/>
      <c r="AK23" s="61"/>
      <c r="AL23" s="61"/>
      <c r="AM23" s="61"/>
      <c r="AN23" s="61"/>
      <c r="AO23" s="61"/>
      <c r="AP23" s="61"/>
      <c r="AQ23" s="61"/>
      <c r="AR23" s="61"/>
      <c r="AS23" s="61"/>
      <c r="AT23" s="61"/>
      <c r="AU23" s="61"/>
      <c r="AV23" s="61"/>
      <c r="AW23" s="61"/>
      <c r="AX23" s="61"/>
      <c r="AY23" s="61"/>
      <c r="AZ23" s="61"/>
      <c r="BA23" s="61"/>
      <c r="BB23" s="61"/>
      <c r="BC23" s="61"/>
      <c r="BD23" s="61"/>
      <c r="BE23" s="61"/>
      <c r="BF23" s="61"/>
      <c r="BG23" s="61"/>
      <c r="BH23" s="61"/>
      <c r="BI23" s="61"/>
      <c r="BJ23" s="61"/>
      <c r="BK23" s="61"/>
      <c r="BL23" s="61"/>
      <c r="BM23" s="61"/>
      <c r="BN23" s="61"/>
      <c r="BO23" s="61"/>
      <c r="BP23" s="61"/>
      <c r="BQ23" s="61"/>
      <c r="BR23" s="61"/>
      <c r="BS23" s="61"/>
      <c r="BT23" s="61"/>
      <c r="BU23" s="61"/>
      <c r="BV23" s="61"/>
      <c r="BW23" s="61"/>
      <c r="BX23" s="61"/>
      <c r="BY23" s="61"/>
      <c r="BZ23" s="61"/>
      <c r="CA23" s="61"/>
      <c r="CB23" s="61"/>
      <c r="CC23" s="61"/>
      <c r="CD23" s="61"/>
    </row>
    <row r="24" spans="1:82" x14ac:dyDescent="0.4">
      <c r="A24" s="61"/>
      <c r="B24" s="61"/>
      <c r="C24" s="61"/>
      <c r="D24" s="61"/>
      <c r="E24" s="61"/>
      <c r="F24" s="61"/>
      <c r="AI24" s="61"/>
      <c r="AJ24" s="61"/>
      <c r="AK24" s="61"/>
      <c r="AL24" s="61"/>
      <c r="AM24" s="61"/>
      <c r="AN24" s="61"/>
      <c r="AO24" s="61"/>
      <c r="AP24" s="61"/>
      <c r="AQ24" s="61"/>
      <c r="AR24" s="61"/>
      <c r="AS24" s="61"/>
      <c r="AT24" s="61"/>
      <c r="AU24" s="61"/>
      <c r="AV24" s="61"/>
      <c r="AW24" s="61"/>
      <c r="AX24" s="61"/>
      <c r="AY24" s="61"/>
      <c r="AZ24" s="61"/>
      <c r="BA24" s="61"/>
      <c r="BB24" s="61"/>
      <c r="BC24" s="61"/>
      <c r="BD24" s="61"/>
      <c r="BE24" s="61"/>
      <c r="BF24" s="61"/>
      <c r="BG24" s="61"/>
      <c r="BH24" s="61"/>
      <c r="BI24" s="61"/>
      <c r="BJ24" s="61"/>
      <c r="BK24" s="61"/>
      <c r="BL24" s="61"/>
      <c r="BM24" s="61"/>
      <c r="BN24" s="61"/>
      <c r="BO24" s="61"/>
      <c r="BP24" s="61"/>
      <c r="BQ24" s="61"/>
      <c r="BR24" s="61"/>
      <c r="BS24" s="61"/>
      <c r="BT24" s="61"/>
      <c r="BU24" s="61"/>
      <c r="BV24" s="61"/>
      <c r="BW24" s="61"/>
      <c r="BX24" s="61"/>
      <c r="BY24" s="61"/>
      <c r="BZ24" s="61"/>
      <c r="CA24" s="61"/>
      <c r="CB24" s="61"/>
      <c r="CC24" s="61"/>
      <c r="CD24" s="61"/>
    </row>
    <row r="25" spans="1:82" x14ac:dyDescent="0.4">
      <c r="A25" s="61"/>
      <c r="B25" s="61"/>
      <c r="C25" s="61"/>
      <c r="D25" s="61"/>
      <c r="E25" s="61"/>
      <c r="F25" s="61"/>
      <c r="AI25" s="61"/>
      <c r="AJ25" s="61"/>
      <c r="AK25" s="61"/>
      <c r="AL25" s="61"/>
      <c r="AM25" s="61"/>
      <c r="AN25" s="61"/>
      <c r="AO25" s="61"/>
      <c r="AP25" s="61"/>
      <c r="AQ25" s="61"/>
      <c r="AR25" s="61"/>
      <c r="AS25" s="61"/>
      <c r="AT25" s="61"/>
      <c r="AU25" s="61"/>
      <c r="AV25" s="61"/>
      <c r="AW25" s="61"/>
      <c r="AX25" s="61"/>
      <c r="AY25" s="61"/>
      <c r="AZ25" s="61"/>
      <c r="BA25" s="61"/>
      <c r="BB25" s="61"/>
      <c r="BC25" s="61"/>
      <c r="BD25" s="61"/>
      <c r="BE25" s="61"/>
      <c r="BF25" s="61"/>
      <c r="BG25" s="61"/>
      <c r="BH25" s="61"/>
      <c r="BI25" s="61"/>
      <c r="BJ25" s="61"/>
      <c r="BK25" s="61"/>
      <c r="BL25" s="61"/>
      <c r="BM25" s="61"/>
      <c r="BN25" s="61"/>
      <c r="BO25" s="61"/>
      <c r="BP25" s="61"/>
      <c r="BQ25" s="61"/>
      <c r="BR25" s="61"/>
      <c r="BS25" s="61"/>
      <c r="BT25" s="61"/>
      <c r="BU25" s="61"/>
      <c r="BV25" s="61"/>
      <c r="BW25" s="61"/>
      <c r="BX25" s="61"/>
      <c r="BY25" s="61"/>
      <c r="BZ25" s="61"/>
      <c r="CA25" s="61"/>
      <c r="CB25" s="61"/>
      <c r="CC25" s="61"/>
      <c r="CD25" s="61"/>
    </row>
    <row r="26" spans="1:82" x14ac:dyDescent="0.4">
      <c r="A26" s="61"/>
      <c r="B26" s="61"/>
      <c r="C26" s="61"/>
      <c r="D26" s="61"/>
      <c r="E26" s="61"/>
      <c r="F26" s="61"/>
      <c r="AI26" s="61"/>
      <c r="AJ26" s="61"/>
      <c r="AK26" s="61"/>
      <c r="AL26" s="61"/>
      <c r="AM26" s="61"/>
      <c r="AN26" s="61"/>
      <c r="AO26" s="61"/>
      <c r="AP26" s="61"/>
      <c r="AQ26" s="61"/>
      <c r="AR26" s="61"/>
      <c r="AS26" s="61"/>
      <c r="AT26" s="61"/>
      <c r="AU26" s="61"/>
      <c r="AV26" s="61"/>
      <c r="AW26" s="61"/>
      <c r="AX26" s="61"/>
      <c r="AY26" s="61"/>
      <c r="AZ26" s="61"/>
      <c r="BA26" s="61"/>
      <c r="BB26" s="61"/>
      <c r="BC26" s="61"/>
      <c r="BD26" s="61"/>
      <c r="BE26" s="61"/>
      <c r="BF26" s="61"/>
      <c r="BG26" s="61"/>
      <c r="BH26" s="61"/>
      <c r="BI26" s="61"/>
      <c r="BJ26" s="61"/>
      <c r="BK26" s="61"/>
      <c r="BL26" s="61"/>
      <c r="BM26" s="61"/>
      <c r="BN26" s="61"/>
      <c r="BO26" s="61"/>
      <c r="BP26" s="61"/>
      <c r="BQ26" s="61"/>
      <c r="BR26" s="61"/>
      <c r="BS26" s="61"/>
      <c r="BT26" s="61"/>
      <c r="BU26" s="61"/>
      <c r="BV26" s="61"/>
      <c r="BW26" s="61"/>
      <c r="BX26" s="61"/>
      <c r="BY26" s="61"/>
      <c r="BZ26" s="61"/>
      <c r="CA26" s="61"/>
      <c r="CB26" s="61"/>
      <c r="CC26" s="61"/>
      <c r="CD26" s="61"/>
    </row>
    <row r="27" spans="1:82" x14ac:dyDescent="0.4">
      <c r="A27" s="61"/>
      <c r="B27" s="61"/>
      <c r="C27" s="61"/>
      <c r="D27" s="61"/>
      <c r="E27" s="61"/>
      <c r="F27" s="61"/>
      <c r="AI27" s="61"/>
      <c r="AJ27" s="61"/>
      <c r="AK27" s="61"/>
      <c r="AL27" s="61"/>
      <c r="AM27" s="61"/>
      <c r="AN27" s="61"/>
      <c r="AO27" s="61"/>
      <c r="AP27" s="61"/>
      <c r="AQ27" s="61"/>
      <c r="AR27" s="61"/>
      <c r="AS27" s="61"/>
      <c r="AT27" s="61"/>
      <c r="AU27" s="61"/>
      <c r="AV27" s="61"/>
      <c r="AW27" s="61"/>
      <c r="AX27" s="61"/>
      <c r="AY27" s="61"/>
      <c r="AZ27" s="61"/>
      <c r="BA27" s="61"/>
      <c r="BB27" s="61"/>
      <c r="BC27" s="61"/>
      <c r="BD27" s="61"/>
      <c r="BE27" s="61"/>
      <c r="BF27" s="61"/>
      <c r="BG27" s="61"/>
      <c r="BH27" s="61"/>
      <c r="BI27" s="61"/>
      <c r="BJ27" s="61"/>
      <c r="BK27" s="61"/>
      <c r="BL27" s="61"/>
      <c r="BM27" s="61"/>
      <c r="BN27" s="61"/>
      <c r="BO27" s="61"/>
      <c r="BP27" s="61"/>
      <c r="BQ27" s="61"/>
      <c r="BR27" s="61"/>
      <c r="BS27" s="61"/>
      <c r="BT27" s="61"/>
      <c r="BU27" s="61"/>
      <c r="BV27" s="61"/>
      <c r="BW27" s="61"/>
      <c r="BX27" s="61"/>
      <c r="BY27" s="61"/>
      <c r="BZ27" s="61"/>
      <c r="CA27" s="61"/>
      <c r="CB27" s="61"/>
      <c r="CC27" s="61"/>
      <c r="CD27" s="61"/>
    </row>
    <row r="28" spans="1:82" x14ac:dyDescent="0.4">
      <c r="A28" s="61"/>
      <c r="B28" s="61"/>
      <c r="C28" s="61"/>
      <c r="D28" s="61"/>
      <c r="E28" s="61"/>
      <c r="F28" s="61"/>
      <c r="AI28" s="61"/>
      <c r="AJ28" s="61"/>
      <c r="AK28" s="61"/>
      <c r="AL28" s="61"/>
      <c r="AM28" s="61"/>
      <c r="AN28" s="61"/>
      <c r="AO28" s="61"/>
      <c r="AP28" s="61"/>
      <c r="AQ28" s="61"/>
      <c r="AR28" s="61"/>
      <c r="AS28" s="61"/>
      <c r="AT28" s="61"/>
      <c r="AU28" s="61"/>
      <c r="AV28" s="61"/>
      <c r="AW28" s="61"/>
      <c r="AX28" s="61"/>
      <c r="AY28" s="61"/>
      <c r="AZ28" s="61"/>
      <c r="BA28" s="61"/>
      <c r="BB28" s="61"/>
      <c r="BC28" s="61"/>
      <c r="BD28" s="61"/>
      <c r="BE28" s="61"/>
      <c r="BF28" s="61"/>
      <c r="BG28" s="61"/>
      <c r="BH28" s="61"/>
      <c r="BI28" s="61"/>
      <c r="BJ28" s="61"/>
      <c r="BK28" s="61"/>
      <c r="BL28" s="61"/>
      <c r="BM28" s="61"/>
      <c r="BN28" s="61"/>
      <c r="BO28" s="61"/>
      <c r="BP28" s="61"/>
      <c r="BQ28" s="61"/>
      <c r="BR28" s="61"/>
      <c r="BS28" s="61"/>
      <c r="BT28" s="61"/>
      <c r="BU28" s="61"/>
      <c r="BV28" s="61"/>
      <c r="BW28" s="61"/>
      <c r="BX28" s="61"/>
      <c r="BY28" s="61"/>
      <c r="BZ28" s="61"/>
      <c r="CA28" s="61"/>
      <c r="CB28" s="61"/>
      <c r="CC28" s="61"/>
      <c r="CD28" s="61"/>
    </row>
    <row r="29" spans="1:82" x14ac:dyDescent="0.4">
      <c r="A29" s="61"/>
      <c r="B29" s="61"/>
      <c r="C29" s="61"/>
      <c r="D29" s="61"/>
      <c r="E29" s="61"/>
      <c r="F29" s="61"/>
      <c r="AI29" s="61"/>
      <c r="AJ29" s="61"/>
      <c r="AK29" s="61"/>
      <c r="AL29" s="61"/>
      <c r="AM29" s="61"/>
      <c r="AN29" s="61"/>
      <c r="AO29" s="61"/>
      <c r="AP29" s="61"/>
      <c r="AQ29" s="61"/>
      <c r="AR29" s="61"/>
      <c r="AS29" s="61"/>
      <c r="AT29" s="61"/>
      <c r="AU29" s="61"/>
      <c r="AV29" s="61"/>
      <c r="AW29" s="61"/>
      <c r="AX29" s="61"/>
      <c r="AY29" s="61"/>
      <c r="AZ29" s="61"/>
      <c r="BA29" s="61"/>
      <c r="BB29" s="61"/>
      <c r="BC29" s="61"/>
      <c r="BD29" s="61"/>
      <c r="BE29" s="61"/>
      <c r="BF29" s="61"/>
      <c r="BG29" s="61"/>
      <c r="BH29" s="61"/>
      <c r="BI29" s="61"/>
      <c r="BJ29" s="61"/>
      <c r="BK29" s="61"/>
      <c r="BL29" s="61"/>
      <c r="BM29" s="61"/>
      <c r="BN29" s="61"/>
      <c r="BO29" s="61"/>
      <c r="BP29" s="61"/>
      <c r="BQ29" s="61"/>
      <c r="BR29" s="61"/>
      <c r="BS29" s="61"/>
      <c r="BT29" s="61"/>
      <c r="BU29" s="61"/>
      <c r="BV29" s="61"/>
      <c r="BW29" s="61"/>
      <c r="BX29" s="61"/>
      <c r="BY29" s="61"/>
      <c r="BZ29" s="61"/>
      <c r="CA29" s="61"/>
      <c r="CB29" s="61"/>
      <c r="CC29" s="61"/>
      <c r="CD29" s="61"/>
    </row>
    <row r="30" spans="1:82" x14ac:dyDescent="0.4">
      <c r="A30" s="61"/>
      <c r="B30" s="61"/>
      <c r="C30" s="61"/>
      <c r="D30" s="61"/>
      <c r="E30" s="61"/>
      <c r="F30" s="61"/>
      <c r="AI30" s="61"/>
      <c r="AJ30" s="61"/>
      <c r="AK30" s="61"/>
      <c r="AL30" s="61"/>
      <c r="AM30" s="61"/>
      <c r="AN30" s="61"/>
      <c r="AO30" s="61"/>
      <c r="AP30" s="61"/>
      <c r="AQ30" s="61"/>
      <c r="AR30" s="61"/>
      <c r="AS30" s="61"/>
      <c r="AT30" s="61"/>
      <c r="AU30" s="61"/>
      <c r="AV30" s="61"/>
      <c r="AW30" s="61"/>
      <c r="AX30" s="61"/>
      <c r="AY30" s="61"/>
      <c r="AZ30" s="61"/>
      <c r="BA30" s="61"/>
      <c r="BB30" s="61"/>
      <c r="BC30" s="61"/>
      <c r="BD30" s="61"/>
      <c r="BE30" s="61"/>
      <c r="BF30" s="61"/>
      <c r="BG30" s="61"/>
      <c r="BH30" s="61"/>
      <c r="BI30" s="61"/>
      <c r="BJ30" s="61"/>
      <c r="BK30" s="61"/>
      <c r="BL30" s="61"/>
      <c r="BM30" s="61"/>
      <c r="BN30" s="61"/>
      <c r="BO30" s="61"/>
      <c r="BP30" s="61"/>
      <c r="BQ30" s="61"/>
      <c r="BR30" s="61"/>
      <c r="BS30" s="61"/>
      <c r="BT30" s="61"/>
      <c r="BU30" s="61"/>
      <c r="BV30" s="61"/>
      <c r="BW30" s="61"/>
      <c r="BX30" s="61"/>
      <c r="BY30" s="61"/>
      <c r="BZ30" s="61"/>
      <c r="CA30" s="61"/>
      <c r="CB30" s="61"/>
      <c r="CC30" s="61"/>
      <c r="CD30" s="61"/>
    </row>
    <row r="31" spans="1:82" x14ac:dyDescent="0.4">
      <c r="A31" s="61"/>
      <c r="B31" s="61"/>
      <c r="C31" s="61"/>
      <c r="D31" s="61"/>
      <c r="E31" s="61"/>
      <c r="F31" s="61"/>
      <c r="AI31" s="61"/>
      <c r="AJ31" s="61"/>
      <c r="AK31" s="61"/>
      <c r="AL31" s="61"/>
      <c r="AM31" s="61"/>
      <c r="AN31" s="61"/>
      <c r="AO31" s="61"/>
      <c r="AP31" s="61"/>
      <c r="AQ31" s="61"/>
      <c r="AR31" s="61"/>
      <c r="AS31" s="61"/>
      <c r="AT31" s="61"/>
      <c r="AU31" s="61"/>
      <c r="AV31" s="61"/>
      <c r="AW31" s="61"/>
      <c r="AX31" s="61"/>
      <c r="AY31" s="61"/>
      <c r="AZ31" s="61"/>
      <c r="BA31" s="61"/>
      <c r="BB31" s="61"/>
      <c r="BC31" s="61"/>
      <c r="BD31" s="61"/>
      <c r="BE31" s="61"/>
      <c r="BF31" s="61"/>
      <c r="BG31" s="61"/>
      <c r="BH31" s="61"/>
      <c r="BI31" s="61"/>
      <c r="BJ31" s="61"/>
      <c r="BK31" s="61"/>
      <c r="BL31" s="61"/>
      <c r="BM31" s="61"/>
      <c r="BN31" s="61"/>
      <c r="BO31" s="61"/>
      <c r="BP31" s="61"/>
      <c r="BQ31" s="61"/>
      <c r="BR31" s="61"/>
      <c r="BS31" s="61"/>
      <c r="BT31" s="61"/>
      <c r="BU31" s="61"/>
      <c r="BV31" s="61"/>
      <c r="BW31" s="61"/>
      <c r="BX31" s="61"/>
      <c r="BY31" s="61"/>
      <c r="BZ31" s="61"/>
      <c r="CA31" s="61"/>
      <c r="CB31" s="61"/>
      <c r="CC31" s="61"/>
      <c r="CD31" s="61"/>
    </row>
    <row r="32" spans="1:82" x14ac:dyDescent="0.4">
      <c r="A32" s="61"/>
      <c r="B32" s="61"/>
      <c r="C32" s="61"/>
      <c r="D32" s="61"/>
      <c r="E32" s="61"/>
      <c r="F32" s="61"/>
      <c r="AI32" s="61"/>
      <c r="AJ32" s="61"/>
      <c r="AK32" s="61"/>
      <c r="AL32" s="61"/>
      <c r="AM32" s="61"/>
      <c r="AN32" s="61"/>
      <c r="AO32" s="61"/>
      <c r="AP32" s="61"/>
      <c r="AQ32" s="61"/>
      <c r="AR32" s="61"/>
      <c r="AS32" s="61"/>
      <c r="AT32" s="61"/>
      <c r="AU32" s="61"/>
      <c r="AV32" s="61"/>
      <c r="AW32" s="61"/>
      <c r="AX32" s="61"/>
      <c r="AY32" s="61"/>
      <c r="AZ32" s="61"/>
      <c r="BA32" s="61"/>
      <c r="BB32" s="61"/>
      <c r="BC32" s="61"/>
      <c r="BD32" s="61"/>
      <c r="BE32" s="61"/>
      <c r="BF32" s="61"/>
      <c r="BG32" s="61"/>
      <c r="BH32" s="61"/>
      <c r="BI32" s="61"/>
      <c r="BJ32" s="61"/>
      <c r="BK32" s="61"/>
      <c r="BL32" s="61"/>
      <c r="BM32" s="61"/>
      <c r="BN32" s="61"/>
      <c r="BO32" s="61"/>
      <c r="BP32" s="61"/>
      <c r="BQ32" s="61"/>
      <c r="BR32" s="61"/>
      <c r="BS32" s="61"/>
      <c r="BT32" s="61"/>
      <c r="BU32" s="61"/>
      <c r="BV32" s="61"/>
      <c r="BW32" s="61"/>
      <c r="BX32" s="61"/>
      <c r="BY32" s="61"/>
      <c r="BZ32" s="61"/>
      <c r="CA32" s="61"/>
      <c r="CB32" s="61"/>
      <c r="CC32" s="61"/>
      <c r="CD32" s="61"/>
    </row>
    <row r="33" spans="1:82" x14ac:dyDescent="0.4">
      <c r="A33" s="61"/>
      <c r="B33" s="61"/>
      <c r="C33" s="61"/>
      <c r="D33" s="61"/>
      <c r="E33" s="61"/>
      <c r="F33" s="61"/>
      <c r="AI33" s="61"/>
      <c r="AJ33" s="61"/>
      <c r="AK33" s="61"/>
      <c r="AL33" s="61"/>
      <c r="AM33" s="61"/>
      <c r="AN33" s="61"/>
      <c r="AO33" s="61"/>
      <c r="AP33" s="61"/>
      <c r="AQ33" s="61"/>
      <c r="AR33" s="61"/>
      <c r="AS33" s="61"/>
      <c r="AT33" s="61"/>
      <c r="AU33" s="61"/>
      <c r="AV33" s="61"/>
      <c r="AW33" s="61"/>
      <c r="AX33" s="61"/>
      <c r="AY33" s="61"/>
      <c r="AZ33" s="61"/>
      <c r="BA33" s="61"/>
      <c r="BB33" s="61"/>
      <c r="BC33" s="61"/>
      <c r="BD33" s="61"/>
      <c r="BE33" s="61"/>
      <c r="BF33" s="61"/>
      <c r="BG33" s="61"/>
      <c r="BH33" s="61"/>
      <c r="BI33" s="61"/>
      <c r="BJ33" s="61"/>
      <c r="BK33" s="61"/>
      <c r="BL33" s="61"/>
      <c r="BM33" s="61"/>
      <c r="BN33" s="61"/>
      <c r="BO33" s="61"/>
      <c r="BP33" s="61"/>
      <c r="BQ33" s="61"/>
      <c r="BR33" s="61"/>
      <c r="BS33" s="61"/>
      <c r="BT33" s="61"/>
      <c r="BU33" s="61"/>
      <c r="BV33" s="61"/>
      <c r="BW33" s="61"/>
      <c r="BX33" s="61"/>
      <c r="BY33" s="61"/>
      <c r="BZ33" s="61"/>
      <c r="CA33" s="61"/>
      <c r="CB33" s="61"/>
      <c r="CC33" s="61"/>
      <c r="CD33" s="61"/>
    </row>
    <row r="34" spans="1:82" x14ac:dyDescent="0.4">
      <c r="A34" s="61"/>
      <c r="B34" s="61"/>
      <c r="C34" s="61"/>
      <c r="D34" s="61"/>
      <c r="E34" s="61"/>
      <c r="F34" s="61"/>
      <c r="AI34" s="61"/>
      <c r="AJ34" s="61"/>
      <c r="AK34" s="61"/>
      <c r="AL34" s="61"/>
      <c r="AM34" s="61"/>
      <c r="AN34" s="61"/>
      <c r="AO34" s="61"/>
      <c r="AP34" s="61"/>
      <c r="AQ34" s="61"/>
      <c r="AR34" s="61"/>
      <c r="AS34" s="61"/>
      <c r="AT34" s="61"/>
      <c r="AU34" s="61"/>
      <c r="AV34" s="61"/>
      <c r="AW34" s="61"/>
      <c r="AX34" s="61"/>
      <c r="AY34" s="61"/>
      <c r="AZ34" s="61"/>
      <c r="BA34" s="61"/>
      <c r="BB34" s="61"/>
      <c r="BC34" s="61"/>
      <c r="BD34" s="61"/>
      <c r="BE34" s="61"/>
      <c r="BF34" s="61"/>
      <c r="BG34" s="61"/>
      <c r="BH34" s="61"/>
      <c r="BI34" s="61"/>
      <c r="BJ34" s="61"/>
      <c r="BK34" s="61"/>
      <c r="BL34" s="61"/>
      <c r="BM34" s="61"/>
      <c r="BN34" s="61"/>
      <c r="BO34" s="61"/>
      <c r="BP34" s="61"/>
      <c r="BQ34" s="61"/>
      <c r="BR34" s="61"/>
      <c r="BS34" s="61"/>
      <c r="BT34" s="61"/>
      <c r="BU34" s="61"/>
      <c r="BV34" s="61"/>
      <c r="BW34" s="61"/>
      <c r="BX34" s="61"/>
      <c r="BY34" s="61"/>
      <c r="BZ34" s="61"/>
      <c r="CA34" s="61"/>
      <c r="CB34" s="61"/>
      <c r="CC34" s="61"/>
      <c r="CD34" s="61"/>
    </row>
    <row r="35" spans="1:82" x14ac:dyDescent="0.4">
      <c r="A35" s="61"/>
      <c r="B35" s="61"/>
      <c r="C35" s="61"/>
      <c r="D35" s="61"/>
      <c r="E35" s="61"/>
      <c r="F35" s="61"/>
      <c r="AI35" s="61"/>
      <c r="AJ35" s="61"/>
      <c r="AK35" s="61"/>
      <c r="AL35" s="61"/>
      <c r="AM35" s="61"/>
      <c r="AN35" s="61"/>
      <c r="AO35" s="61"/>
      <c r="AP35" s="61"/>
      <c r="AQ35" s="61"/>
      <c r="AR35" s="61"/>
      <c r="AS35" s="61"/>
      <c r="AT35" s="61"/>
      <c r="AU35" s="61"/>
      <c r="AV35" s="61"/>
      <c r="AW35" s="61"/>
      <c r="AX35" s="61"/>
      <c r="AY35" s="61"/>
      <c r="AZ35" s="61"/>
      <c r="BA35" s="61"/>
      <c r="BB35" s="61"/>
      <c r="BC35" s="61"/>
      <c r="BD35" s="61"/>
      <c r="BE35" s="61"/>
      <c r="BF35" s="61"/>
      <c r="BG35" s="61"/>
      <c r="BH35" s="61"/>
      <c r="BI35" s="61"/>
      <c r="BJ35" s="61"/>
      <c r="BK35" s="61"/>
      <c r="BL35" s="61"/>
      <c r="BM35" s="61"/>
      <c r="BN35" s="61"/>
      <c r="BO35" s="61"/>
      <c r="BP35" s="61"/>
      <c r="BQ35" s="61"/>
      <c r="BR35" s="61"/>
      <c r="BS35" s="61"/>
      <c r="BT35" s="61"/>
      <c r="BU35" s="61"/>
      <c r="BV35" s="61"/>
      <c r="BW35" s="61"/>
      <c r="BX35" s="61"/>
      <c r="BY35" s="61"/>
      <c r="BZ35" s="61"/>
      <c r="CA35" s="61"/>
      <c r="CB35" s="61"/>
      <c r="CC35" s="61"/>
      <c r="CD35" s="61"/>
    </row>
    <row r="36" spans="1:82" x14ac:dyDescent="0.4">
      <c r="A36" s="61"/>
      <c r="B36" s="61"/>
      <c r="C36" s="61"/>
      <c r="D36" s="61"/>
      <c r="E36" s="61"/>
      <c r="F36" s="61"/>
      <c r="AI36" s="61"/>
      <c r="AJ36" s="61"/>
      <c r="AK36" s="61"/>
      <c r="AL36" s="61"/>
      <c r="AM36" s="61"/>
      <c r="AN36" s="61"/>
      <c r="AO36" s="61"/>
      <c r="AP36" s="61"/>
      <c r="AQ36" s="61"/>
      <c r="AR36" s="61"/>
      <c r="AS36" s="61"/>
      <c r="AT36" s="61"/>
      <c r="AU36" s="61"/>
      <c r="AV36" s="61"/>
      <c r="AW36" s="61"/>
      <c r="AX36" s="61"/>
      <c r="AY36" s="61"/>
      <c r="AZ36" s="61"/>
      <c r="BA36" s="61"/>
      <c r="BB36" s="61"/>
      <c r="BC36" s="61"/>
      <c r="BD36" s="61"/>
      <c r="BE36" s="61"/>
      <c r="BF36" s="61"/>
      <c r="BG36" s="61"/>
      <c r="BH36" s="61"/>
      <c r="BI36" s="61"/>
      <c r="BJ36" s="61"/>
      <c r="BK36" s="61"/>
      <c r="BL36" s="61"/>
      <c r="BM36" s="61"/>
      <c r="BN36" s="61"/>
      <c r="BO36" s="61"/>
      <c r="BP36" s="61"/>
      <c r="BQ36" s="61"/>
      <c r="BR36" s="61"/>
      <c r="BS36" s="61"/>
      <c r="BT36" s="61"/>
      <c r="BU36" s="61"/>
      <c r="BV36" s="61"/>
      <c r="BW36" s="61"/>
      <c r="BX36" s="61"/>
      <c r="BY36" s="61"/>
      <c r="BZ36" s="61"/>
      <c r="CA36" s="61"/>
      <c r="CB36" s="61"/>
      <c r="CC36" s="61"/>
      <c r="CD36" s="61"/>
    </row>
    <row r="37" spans="1:82" x14ac:dyDescent="0.4">
      <c r="A37" s="61"/>
      <c r="B37" s="61"/>
      <c r="C37" s="61"/>
      <c r="D37" s="61"/>
      <c r="E37" s="61"/>
      <c r="F37" s="61"/>
      <c r="AI37" s="61"/>
      <c r="AJ37" s="61"/>
      <c r="AK37" s="61"/>
      <c r="AL37" s="61"/>
      <c r="AM37" s="61"/>
      <c r="AN37" s="61"/>
      <c r="AO37" s="61"/>
      <c r="AP37" s="61"/>
      <c r="AQ37" s="61"/>
      <c r="AR37" s="61"/>
      <c r="AS37" s="61"/>
      <c r="AT37" s="61"/>
      <c r="AU37" s="61"/>
      <c r="AV37" s="61"/>
      <c r="AW37" s="61"/>
      <c r="AX37" s="61"/>
      <c r="AY37" s="61"/>
      <c r="AZ37" s="61"/>
      <c r="BA37" s="61"/>
      <c r="BB37" s="61"/>
      <c r="BC37" s="61"/>
      <c r="BD37" s="61"/>
      <c r="BE37" s="61"/>
      <c r="BF37" s="61"/>
      <c r="BG37" s="61"/>
      <c r="BH37" s="61"/>
      <c r="BI37" s="61"/>
      <c r="BJ37" s="61"/>
      <c r="BK37" s="61"/>
      <c r="BL37" s="61"/>
      <c r="BM37" s="61"/>
      <c r="BN37" s="61"/>
      <c r="BO37" s="61"/>
      <c r="BP37" s="61"/>
      <c r="BQ37" s="61"/>
      <c r="BR37" s="61"/>
      <c r="BS37" s="61"/>
      <c r="BT37" s="61"/>
      <c r="BU37" s="61"/>
      <c r="BV37" s="61"/>
      <c r="BW37" s="61"/>
      <c r="BX37" s="61"/>
      <c r="BY37" s="61"/>
      <c r="BZ37" s="61"/>
      <c r="CA37" s="61"/>
      <c r="CB37" s="61"/>
      <c r="CC37" s="61"/>
      <c r="CD37" s="61"/>
    </row>
  </sheetData>
  <sheetProtection autoFilter="0"/>
  <mergeCells count="6">
    <mergeCell ref="A3:J3"/>
    <mergeCell ref="A1:J1"/>
    <mergeCell ref="A2:J2"/>
    <mergeCell ref="K2:V2"/>
    <mergeCell ref="K1:P1"/>
    <mergeCell ref="Q1:V1"/>
  </mergeCells>
  <pageMargins left="0.7" right="0.7" top="0.75" bottom="0.75" header="0.3" footer="0.3"/>
  <pageSetup orientation="portrait" horizontalDpi="300" r:id="rId1"/>
  <customProperties>
    <customPr name="EpmWorksheetKeyString_GUID" r:id="rId2"/>
    <customPr name="FPMExcelClientCellBasedFunctionStatus" r:id="rId3"/>
    <customPr name="FPMExcelClientRefreshTime" r:id="rId4"/>
    <customPr name="IbpWorksheetKeyString_GUID" r:id="rId5"/>
  </customProperties>
  <drawing r:id="rId6"/>
  <legacyDrawing r:id="rId7"/>
  <picture r:id="rId8"/>
  <controls>
    <mc:AlternateContent xmlns:mc="http://schemas.openxmlformats.org/markup-compatibility/2006">
      <mc:Choice Requires="x14">
        <control shapeId="3571" r:id="rId9" name="AnalyzerDynReportDC000tb1">
          <controlPr defaultSize="0" autoLine="0" autoPict="0" r:id="rId10">
            <anchor moveWithCells="1">
              <from>
                <xdr:col>0</xdr:col>
                <xdr:colOff>0</xdr:colOff>
                <xdr:row>0</xdr:row>
                <xdr:rowOff>0</xdr:rowOff>
              </from>
              <to>
                <xdr:col>7</xdr:col>
                <xdr:colOff>206829</xdr:colOff>
                <xdr:row>0</xdr:row>
                <xdr:rowOff>0</xdr:rowOff>
              </to>
            </anchor>
          </controlPr>
        </control>
      </mc:Choice>
      <mc:Fallback>
        <control shapeId="3571" r:id="rId9" name="AnalyzerDynReportDC000tb1"/>
      </mc:Fallback>
    </mc:AlternateContent>
    <mc:AlternateContent xmlns:mc="http://schemas.openxmlformats.org/markup-compatibility/2006">
      <mc:Choice Requires="x14">
        <control shapeId="3570" r:id="rId11" name="AnalyzerDynReportHC000tb1">
          <controlPr defaultSize="0" autoLine="0" autoPict="0" r:id="rId12">
            <anchor moveWithCells="1">
              <from>
                <xdr:col>0</xdr:col>
                <xdr:colOff>0</xdr:colOff>
                <xdr:row>0</xdr:row>
                <xdr:rowOff>0</xdr:rowOff>
              </from>
              <to>
                <xdr:col>7</xdr:col>
                <xdr:colOff>206829</xdr:colOff>
                <xdr:row>0</xdr:row>
                <xdr:rowOff>0</xdr:rowOff>
              </to>
            </anchor>
          </controlPr>
        </control>
      </mc:Choice>
      <mc:Fallback>
        <control shapeId="3570" r:id="rId11" name="AnalyzerDynReportHC000tb1"/>
      </mc:Fallback>
    </mc:AlternateContent>
    <mc:AlternateContent xmlns:mc="http://schemas.openxmlformats.org/markup-compatibility/2006">
      <mc:Choice Requires="x14">
        <control shapeId="3569" r:id="rId13" name="ReportSubmitControl_1DCtb1">
          <controlPr defaultSize="0" autoLine="0" autoPict="0" r:id="rId14">
            <anchor moveWithCells="1">
              <from>
                <xdr:col>0</xdr:col>
                <xdr:colOff>0</xdr:colOff>
                <xdr:row>0</xdr:row>
                <xdr:rowOff>0</xdr:rowOff>
              </from>
              <to>
                <xdr:col>7</xdr:col>
                <xdr:colOff>206829</xdr:colOff>
                <xdr:row>0</xdr:row>
                <xdr:rowOff>0</xdr:rowOff>
              </to>
            </anchor>
          </controlPr>
        </control>
      </mc:Choice>
      <mc:Fallback>
        <control shapeId="3569" r:id="rId13" name="ReportSubmitControl_1DCtb1"/>
      </mc:Fallback>
    </mc:AlternateContent>
    <mc:AlternateContent xmlns:mc="http://schemas.openxmlformats.org/markup-compatibility/2006">
      <mc:Choice Requires="x14">
        <control shapeId="3568" r:id="rId15" name="ReportSubmitControl_1HCtb1">
          <controlPr defaultSize="0" autoLine="0" autoPict="0" r:id="rId16">
            <anchor moveWithCells="1">
              <from>
                <xdr:col>0</xdr:col>
                <xdr:colOff>0</xdr:colOff>
                <xdr:row>0</xdr:row>
                <xdr:rowOff>0</xdr:rowOff>
              </from>
              <to>
                <xdr:col>7</xdr:col>
                <xdr:colOff>206829</xdr:colOff>
                <xdr:row>0</xdr:row>
                <xdr:rowOff>0</xdr:rowOff>
              </to>
            </anchor>
          </controlPr>
        </control>
      </mc:Choice>
      <mc:Fallback>
        <control shapeId="3568" r:id="rId15" name="ReportSubmitControl_1HCtb1"/>
      </mc:Fallback>
    </mc:AlternateContent>
    <mc:AlternateContent xmlns:mc="http://schemas.openxmlformats.org/markup-compatibility/2006">
      <mc:Choice Requires="x14">
        <control shapeId="3567" r:id="rId17" name="ReportSubmitManagerControlDCtb1">
          <controlPr defaultSize="0" autoLine="0" autoPict="0" r:id="rId18">
            <anchor moveWithCells="1">
              <from>
                <xdr:col>0</xdr:col>
                <xdr:colOff>0</xdr:colOff>
                <xdr:row>0</xdr:row>
                <xdr:rowOff>0</xdr:rowOff>
              </from>
              <to>
                <xdr:col>7</xdr:col>
                <xdr:colOff>206829</xdr:colOff>
                <xdr:row>0</xdr:row>
                <xdr:rowOff>0</xdr:rowOff>
              </to>
            </anchor>
          </controlPr>
        </control>
      </mc:Choice>
      <mc:Fallback>
        <control shapeId="3567" r:id="rId17" name="ReportSubmitManagerControlDCtb1"/>
      </mc:Fallback>
    </mc:AlternateContent>
    <mc:AlternateContent xmlns:mc="http://schemas.openxmlformats.org/markup-compatibility/2006">
      <mc:Choice Requires="x14">
        <control shapeId="3566" r:id="rId19" name="ReportSubmitManagerControlHCtb1">
          <controlPr defaultSize="0" autoLine="0" autoPict="0" r:id="rId20">
            <anchor moveWithCells="1">
              <from>
                <xdr:col>0</xdr:col>
                <xdr:colOff>0</xdr:colOff>
                <xdr:row>0</xdr:row>
                <xdr:rowOff>0</xdr:rowOff>
              </from>
              <to>
                <xdr:col>7</xdr:col>
                <xdr:colOff>206829</xdr:colOff>
                <xdr:row>0</xdr:row>
                <xdr:rowOff>0</xdr:rowOff>
              </to>
            </anchor>
          </controlPr>
        </control>
      </mc:Choice>
      <mc:Fallback>
        <control shapeId="3566" r:id="rId19" name="ReportSubmitManagerControlHCtb1"/>
      </mc:Fallback>
    </mc:AlternateContent>
    <mc:AlternateContent xmlns:mc="http://schemas.openxmlformats.org/markup-compatibility/2006">
      <mc:Choice Requires="x14">
        <control shapeId="3565" r:id="rId21" name="MultipleReportManagerInfoDCtb1">
          <controlPr defaultSize="0" autoLine="0" autoPict="0" r:id="rId22">
            <anchor moveWithCells="1">
              <from>
                <xdr:col>0</xdr:col>
                <xdr:colOff>0</xdr:colOff>
                <xdr:row>0</xdr:row>
                <xdr:rowOff>0</xdr:rowOff>
              </from>
              <to>
                <xdr:col>7</xdr:col>
                <xdr:colOff>206829</xdr:colOff>
                <xdr:row>0</xdr:row>
                <xdr:rowOff>0</xdr:rowOff>
              </to>
            </anchor>
          </controlPr>
        </control>
      </mc:Choice>
      <mc:Fallback>
        <control shapeId="3565" r:id="rId21" name="MultipleReportManagerInfoDCtb1"/>
      </mc:Fallback>
    </mc:AlternateContent>
    <mc:AlternateContent xmlns:mc="http://schemas.openxmlformats.org/markup-compatibility/2006">
      <mc:Choice Requires="x14">
        <control shapeId="3564" r:id="rId23" name="MultipleReportManagerInfoHCtb1">
          <controlPr defaultSize="0" autoLine="0" autoPict="0" r:id="rId24">
            <anchor moveWithCells="1">
              <from>
                <xdr:col>0</xdr:col>
                <xdr:colOff>0</xdr:colOff>
                <xdr:row>0</xdr:row>
                <xdr:rowOff>0</xdr:rowOff>
              </from>
              <to>
                <xdr:col>7</xdr:col>
                <xdr:colOff>206829</xdr:colOff>
                <xdr:row>0</xdr:row>
                <xdr:rowOff>0</xdr:rowOff>
              </to>
            </anchor>
          </controlPr>
        </control>
      </mc:Choice>
      <mc:Fallback>
        <control shapeId="3564" r:id="rId23" name="MultipleReportManagerInfoHCtb1"/>
      </mc:Fallback>
    </mc:AlternateContent>
    <mc:AlternateContent xmlns:mc="http://schemas.openxmlformats.org/markup-compatibility/2006">
      <mc:Choice Requires="x14">
        <control shapeId="3563" r:id="rId25" name="ConnectionDescriptorsInfoDCtb1">
          <controlPr defaultSize="0" autoLine="0" autoPict="0" r:id="rId26">
            <anchor moveWithCells="1">
              <from>
                <xdr:col>0</xdr:col>
                <xdr:colOff>0</xdr:colOff>
                <xdr:row>0</xdr:row>
                <xdr:rowOff>0</xdr:rowOff>
              </from>
              <to>
                <xdr:col>7</xdr:col>
                <xdr:colOff>206829</xdr:colOff>
                <xdr:row>0</xdr:row>
                <xdr:rowOff>0</xdr:rowOff>
              </to>
            </anchor>
          </controlPr>
        </control>
      </mc:Choice>
      <mc:Fallback>
        <control shapeId="3563" r:id="rId25" name="ConnectionDescriptorsInfoDCtb1"/>
      </mc:Fallback>
    </mc:AlternateContent>
    <mc:AlternateContent xmlns:mc="http://schemas.openxmlformats.org/markup-compatibility/2006">
      <mc:Choice Requires="x14">
        <control shapeId="3562" r:id="rId27" name="ConnectionDescriptorsInfoHCtb1">
          <controlPr defaultSize="0" autoLine="0" autoPict="0" r:id="rId28">
            <anchor moveWithCells="1">
              <from>
                <xdr:col>0</xdr:col>
                <xdr:colOff>0</xdr:colOff>
                <xdr:row>0</xdr:row>
                <xdr:rowOff>0</xdr:rowOff>
              </from>
              <to>
                <xdr:col>7</xdr:col>
                <xdr:colOff>206829</xdr:colOff>
                <xdr:row>0</xdr:row>
                <xdr:rowOff>0</xdr:rowOff>
              </to>
            </anchor>
          </controlPr>
        </control>
      </mc:Choice>
      <mc:Fallback>
        <control shapeId="3562" r:id="rId27" name="ConnectionDescriptorsInfoHCtb1"/>
      </mc:Fallback>
    </mc:AlternateContent>
    <mc:AlternateContent xmlns:mc="http://schemas.openxmlformats.org/markup-compatibility/2006">
      <mc:Choice Requires="x14">
        <control shapeId="3561" r:id="rId29" name="PreviousItem">
          <controlPr defaultSize="0" autoLine="0" r:id="rId30">
            <anchor moveWithCells="1">
              <from>
                <xdr:col>13</xdr:col>
                <xdr:colOff>70757</xdr:colOff>
                <xdr:row>2</xdr:row>
                <xdr:rowOff>130629</xdr:rowOff>
              </from>
              <to>
                <xdr:col>15</xdr:col>
                <xdr:colOff>304800</xdr:colOff>
                <xdr:row>2</xdr:row>
                <xdr:rowOff>549729</xdr:rowOff>
              </to>
            </anchor>
          </controlPr>
        </control>
      </mc:Choice>
      <mc:Fallback>
        <control shapeId="3561" r:id="rId29" name="PreviousItem"/>
      </mc:Fallback>
    </mc:AlternateContent>
    <mc:AlternateContent xmlns:mc="http://schemas.openxmlformats.org/markup-compatibility/2006">
      <mc:Choice Requires="x14">
        <control shapeId="3528" r:id="rId31" name="SaveAndNext">
          <controlPr defaultSize="0" autoLine="0" r:id="rId32">
            <anchor moveWithCells="1">
              <from>
                <xdr:col>18</xdr:col>
                <xdr:colOff>517071</xdr:colOff>
                <xdr:row>2</xdr:row>
                <xdr:rowOff>81643</xdr:rowOff>
              </from>
              <to>
                <xdr:col>21</xdr:col>
                <xdr:colOff>168729</xdr:colOff>
                <xdr:row>2</xdr:row>
                <xdr:rowOff>587829</xdr:rowOff>
              </to>
            </anchor>
          </controlPr>
        </control>
      </mc:Choice>
      <mc:Fallback>
        <control shapeId="3528" r:id="rId31" name="SaveAndNext"/>
      </mc:Fallback>
    </mc:AlternateContent>
    <mc:AlternateContent xmlns:mc="http://schemas.openxmlformats.org/markup-compatibility/2006">
      <mc:Choice Requires="x14">
        <control shapeId="3527" r:id="rId33" name="NextItem">
          <controlPr defaultSize="0" autoLine="0" r:id="rId34">
            <anchor moveWithCells="1">
              <from>
                <xdr:col>15</xdr:col>
                <xdr:colOff>533400</xdr:colOff>
                <xdr:row>2</xdr:row>
                <xdr:rowOff>136071</xdr:rowOff>
              </from>
              <to>
                <xdr:col>18</xdr:col>
                <xdr:colOff>136071</xdr:colOff>
                <xdr:row>2</xdr:row>
                <xdr:rowOff>555171</xdr:rowOff>
              </to>
            </anchor>
          </controlPr>
        </control>
      </mc:Choice>
      <mc:Fallback>
        <control shapeId="3527" r:id="rId33" name="NextItem"/>
      </mc:Fallback>
    </mc:AlternateContent>
    <mc:AlternateContent xmlns:mc="http://schemas.openxmlformats.org/markup-compatibility/2006">
      <mc:Choice Requires="x14">
        <control shapeId="3526" r:id="rId35" name="RefreshList">
          <controlPr defaultSize="0" autoLine="0" r:id="rId36">
            <anchor moveWithCells="1">
              <from>
                <xdr:col>10</xdr:col>
                <xdr:colOff>212271</xdr:colOff>
                <xdr:row>2</xdr:row>
                <xdr:rowOff>130629</xdr:rowOff>
              </from>
              <to>
                <xdr:col>12</xdr:col>
                <xdr:colOff>386443</xdr:colOff>
                <xdr:row>2</xdr:row>
                <xdr:rowOff>549729</xdr:rowOff>
              </to>
            </anchor>
          </controlPr>
        </control>
      </mc:Choice>
      <mc:Fallback>
        <control shapeId="3526" r:id="rId35" name="RefreshList"/>
      </mc:Fallback>
    </mc:AlternateContent>
    <mc:AlternateContent xmlns:mc="http://schemas.openxmlformats.org/markup-compatibility/2006">
      <mc:Choice Requires="x14">
        <control shapeId="3093" r:id="rId37" name="FPMExcelClientSheetOptionstb1">
          <controlPr defaultSize="0" autoLine="0" r:id="rId38">
            <anchor moveWithCells="1" sizeWithCells="1">
              <from>
                <xdr:col>0</xdr:col>
                <xdr:colOff>0</xdr:colOff>
                <xdr:row>0</xdr:row>
                <xdr:rowOff>0</xdr:rowOff>
              </from>
              <to>
                <xdr:col>0</xdr:col>
                <xdr:colOff>0</xdr:colOff>
                <xdr:row>0</xdr:row>
                <xdr:rowOff>0</xdr:rowOff>
              </to>
            </anchor>
          </controlPr>
        </control>
      </mc:Choice>
      <mc:Fallback>
        <control shapeId="3093" r:id="rId37" name="FPMExcelClientSheetOptionstb1"/>
      </mc:Fallback>
    </mc:AlternateContent>
    <mc:AlternateContent xmlns:mc="http://schemas.openxmlformats.org/markup-compatibility/2006">
      <mc:Choice Requires="x14">
        <control shapeId="3115" r:id="rId39" name="TextBox1">
          <controlPr defaultSize="0" disabled="1" autoLine="0" r:id="rId40">
            <anchor>
              <from>
                <xdr:col>0</xdr:col>
                <xdr:colOff>38100</xdr:colOff>
                <xdr:row>2</xdr:row>
                <xdr:rowOff>152400</xdr:rowOff>
              </from>
              <to>
                <xdr:col>0</xdr:col>
                <xdr:colOff>43543</xdr:colOff>
                <xdr:row>2</xdr:row>
                <xdr:rowOff>157843</xdr:rowOff>
              </to>
            </anchor>
          </controlPr>
        </control>
      </mc:Choice>
      <mc:Fallback>
        <control shapeId="3115" r:id="rId39" name="TextBox1"/>
      </mc:Fallback>
    </mc:AlternateContent>
    <mc:AlternateContent xmlns:mc="http://schemas.openxmlformats.org/markup-compatibility/2006">
      <mc:Choice Requires="x14">
        <control shapeId="3119" r:id="rId41" name="TextBox2">
          <controlPr defaultSize="0" disabled="1" autoLine="0" r:id="rId42">
            <anchor>
              <from>
                <xdr:col>9</xdr:col>
                <xdr:colOff>555171</xdr:colOff>
                <xdr:row>2</xdr:row>
                <xdr:rowOff>152400</xdr:rowOff>
              </from>
              <to>
                <xdr:col>9</xdr:col>
                <xdr:colOff>560614</xdr:colOff>
                <xdr:row>2</xdr:row>
                <xdr:rowOff>157843</xdr:rowOff>
              </to>
            </anchor>
          </controlPr>
        </control>
      </mc:Choice>
      <mc:Fallback>
        <control shapeId="3119" r:id="rId41" name="TextBox2"/>
      </mc:Fallback>
    </mc:AlternateContent>
    <mc:AlternateContent xmlns:mc="http://schemas.openxmlformats.org/markup-compatibility/2006">
      <mc:Choice Requires="x14">
        <control shapeId="3130" r:id="rId43" name="AnalyzerDynReport000tb1">
          <controlPr defaultSize="0" autoLine="0" autoPict="0" r:id="rId44">
            <anchor moveWithCells="1" sizeWithCells="1">
              <from>
                <xdr:col>0</xdr:col>
                <xdr:colOff>0</xdr:colOff>
                <xdr:row>0</xdr:row>
                <xdr:rowOff>0</xdr:rowOff>
              </from>
              <to>
                <xdr:col>6</xdr:col>
                <xdr:colOff>97971</xdr:colOff>
                <xdr:row>0</xdr:row>
                <xdr:rowOff>0</xdr:rowOff>
              </to>
            </anchor>
          </controlPr>
        </control>
      </mc:Choice>
      <mc:Fallback>
        <control shapeId="3130" r:id="rId43" name="AnalyzerDynReport000tb1"/>
      </mc:Fallback>
    </mc:AlternateContent>
    <mc:AlternateContent xmlns:mc="http://schemas.openxmlformats.org/markup-compatibility/2006">
      <mc:Choice Requires="x14">
        <control shapeId="3131" r:id="rId45" name="ConnectionDescriptorsInfotb1">
          <controlPr defaultSize="0" autoLine="0" autoPict="0" r:id="rId46">
            <anchor moveWithCells="1" sizeWithCells="1">
              <from>
                <xdr:col>0</xdr:col>
                <xdr:colOff>0</xdr:colOff>
                <xdr:row>0</xdr:row>
                <xdr:rowOff>0</xdr:rowOff>
              </from>
              <to>
                <xdr:col>6</xdr:col>
                <xdr:colOff>97971</xdr:colOff>
                <xdr:row>0</xdr:row>
                <xdr:rowOff>0</xdr:rowOff>
              </to>
            </anchor>
          </controlPr>
        </control>
      </mc:Choice>
      <mc:Fallback>
        <control shapeId="3131" r:id="rId45" name="ConnectionDescriptorsInfotb1"/>
      </mc:Fallback>
    </mc:AlternateContent>
    <mc:AlternateContent xmlns:mc="http://schemas.openxmlformats.org/markup-compatibility/2006">
      <mc:Choice Requires="x14">
        <control shapeId="3132" r:id="rId47" name="MultipleReportManagerInfotb1">
          <controlPr defaultSize="0" autoLine="0" autoPict="0" r:id="rId48">
            <anchor moveWithCells="1" sizeWithCells="1">
              <from>
                <xdr:col>0</xdr:col>
                <xdr:colOff>0</xdr:colOff>
                <xdr:row>0</xdr:row>
                <xdr:rowOff>0</xdr:rowOff>
              </from>
              <to>
                <xdr:col>6</xdr:col>
                <xdr:colOff>97971</xdr:colOff>
                <xdr:row>0</xdr:row>
                <xdr:rowOff>0</xdr:rowOff>
              </to>
            </anchor>
          </controlPr>
        </control>
      </mc:Choice>
      <mc:Fallback>
        <control shapeId="3132" r:id="rId47" name="MultipleReportManagerInfotb1"/>
      </mc:Fallback>
    </mc:AlternateContent>
    <mc:AlternateContent xmlns:mc="http://schemas.openxmlformats.org/markup-compatibility/2006">
      <mc:Choice Requires="x14">
        <control shapeId="3133" r:id="rId49" name="ReportSubmitManagerControltb1">
          <controlPr defaultSize="0" autoLine="0" autoPict="0" r:id="rId50">
            <anchor moveWithCells="1" sizeWithCells="1">
              <from>
                <xdr:col>0</xdr:col>
                <xdr:colOff>0</xdr:colOff>
                <xdr:row>0</xdr:row>
                <xdr:rowOff>0</xdr:rowOff>
              </from>
              <to>
                <xdr:col>6</xdr:col>
                <xdr:colOff>97971</xdr:colOff>
                <xdr:row>0</xdr:row>
                <xdr:rowOff>0</xdr:rowOff>
              </to>
            </anchor>
          </controlPr>
        </control>
      </mc:Choice>
      <mc:Fallback>
        <control shapeId="3133" r:id="rId49" name="ReportSubmitManagerControltb1"/>
      </mc:Fallback>
    </mc:AlternateContent>
    <mc:AlternateContent xmlns:mc="http://schemas.openxmlformats.org/markup-compatibility/2006">
      <mc:Choice Requires="x14">
        <control shapeId="3134" r:id="rId51" name="ReportSubmitControl_1tb1">
          <controlPr defaultSize="0" autoLine="0" autoPict="0" r:id="rId52">
            <anchor moveWithCells="1" sizeWithCells="1">
              <from>
                <xdr:col>0</xdr:col>
                <xdr:colOff>0</xdr:colOff>
                <xdr:row>0</xdr:row>
                <xdr:rowOff>0</xdr:rowOff>
              </from>
              <to>
                <xdr:col>6</xdr:col>
                <xdr:colOff>97971</xdr:colOff>
                <xdr:row>0</xdr:row>
                <xdr:rowOff>0</xdr:rowOff>
              </to>
            </anchor>
          </controlPr>
        </control>
      </mc:Choice>
      <mc:Fallback>
        <control shapeId="3134" r:id="rId51" name="ReportSubmitControl_1tb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24910-40E4-40DD-BFE6-D1B52E878A9D}">
  <sheetPr codeName="Sheet5"/>
  <dimension ref="A1:CD35"/>
  <sheetViews>
    <sheetView showGridLines="0" zoomScaleNormal="100" workbookViewId="0">
      <pane xSplit="10" ySplit="3" topLeftCell="K4" activePane="bottomRight" state="frozen"/>
      <selection activeCell="Y9" sqref="Y9"/>
      <selection pane="topRight" activeCell="Y9" sqref="Y9"/>
      <selection pane="bottomLeft" activeCell="Y9" sqref="Y9"/>
      <selection pane="bottomRight" activeCell="K4" sqref="K4"/>
    </sheetView>
  </sheetViews>
  <sheetFormatPr defaultRowHeight="14.6" x14ac:dyDescent="0.4"/>
  <cols>
    <col min="1" max="6" width="1.3828125" bestFit="1" customWidth="1"/>
    <col min="7" max="7" width="10.15234375" bestFit="1" customWidth="1"/>
    <col min="8" max="8" width="9.61328125" bestFit="1" customWidth="1"/>
    <col min="9" max="9" width="12.61328125" bestFit="1" customWidth="1"/>
    <col min="10" max="10" width="33.61328125" bestFit="1" customWidth="1"/>
    <col min="11" max="11" width="8.765625" bestFit="1" customWidth="1"/>
    <col min="12" max="12" width="9.3828125" bestFit="1" customWidth="1"/>
    <col min="13" max="13" width="8.61328125" bestFit="1" customWidth="1"/>
    <col min="14" max="14" width="8.15234375" bestFit="1" customWidth="1"/>
    <col min="15" max="15" width="9.15234375" bestFit="1" customWidth="1"/>
    <col min="16" max="16" width="8.3046875" bestFit="1" customWidth="1"/>
    <col min="17" max="17" width="8.765625" bestFit="1" customWidth="1"/>
    <col min="18" max="18" width="9.15234375" bestFit="1" customWidth="1"/>
    <col min="19" max="19" width="8.61328125" bestFit="1" customWidth="1"/>
    <col min="20" max="20" width="8.53515625" bestFit="1" customWidth="1"/>
    <col min="21" max="22" width="8.3828125" bestFit="1" customWidth="1"/>
    <col min="23" max="23" width="8.53515625" bestFit="1" customWidth="1"/>
    <col min="24" max="24" width="13.15234375" bestFit="1" customWidth="1"/>
    <col min="25" max="25" width="18.15234375" bestFit="1" customWidth="1"/>
    <col min="26" max="26" width="12.3828125" bestFit="1" customWidth="1"/>
    <col min="27" max="27" width="26.15234375" bestFit="1" customWidth="1"/>
    <col min="28" max="28" width="23.3828125" bestFit="1" customWidth="1"/>
    <col min="29" max="29" width="21.15234375" bestFit="1" customWidth="1"/>
    <col min="30" max="30" width="13.15234375" bestFit="1" customWidth="1"/>
    <col min="31" max="31" width="18.15234375" bestFit="1" customWidth="1"/>
    <col min="32" max="32" width="12.3828125" bestFit="1" customWidth="1"/>
    <col min="33" max="33" width="26.15234375" bestFit="1" customWidth="1"/>
    <col min="34" max="34" width="23.3828125" bestFit="1" customWidth="1"/>
    <col min="35" max="35" width="21.15234375" bestFit="1" customWidth="1"/>
    <col min="36" max="36" width="13.15234375" bestFit="1" customWidth="1"/>
    <col min="37" max="37" width="18.15234375" bestFit="1" customWidth="1"/>
    <col min="38" max="38" width="12.3828125" bestFit="1" customWidth="1"/>
    <col min="39" max="39" width="26.15234375" bestFit="1" customWidth="1"/>
    <col min="40" max="40" width="23.3828125" bestFit="1" customWidth="1"/>
    <col min="41" max="41" width="21.15234375" bestFit="1" customWidth="1"/>
    <col min="42" max="42" width="13.15234375" bestFit="1" customWidth="1"/>
    <col min="43" max="43" width="18.15234375" bestFit="1" customWidth="1"/>
    <col min="44" max="44" width="12.3828125" bestFit="1" customWidth="1"/>
    <col min="45" max="45" width="26.15234375" bestFit="1" customWidth="1"/>
    <col min="46" max="46" width="23.3828125" bestFit="1" customWidth="1"/>
    <col min="47" max="47" width="21.15234375" bestFit="1" customWidth="1"/>
    <col min="48" max="48" width="13.15234375" bestFit="1" customWidth="1"/>
    <col min="49" max="49" width="18.15234375" bestFit="1" customWidth="1"/>
    <col min="50" max="50" width="12.3828125" bestFit="1" customWidth="1"/>
    <col min="51" max="51" width="26.15234375" bestFit="1" customWidth="1"/>
    <col min="52" max="52" width="23.3828125" bestFit="1" customWidth="1"/>
    <col min="53" max="53" width="21.15234375" bestFit="1" customWidth="1"/>
    <col min="54" max="54" width="13.15234375" bestFit="1" customWidth="1"/>
    <col min="55" max="55" width="18.15234375" bestFit="1" customWidth="1"/>
    <col min="56" max="56" width="12.3828125" bestFit="1" customWidth="1"/>
    <col min="57" max="57" width="26.15234375" bestFit="1" customWidth="1"/>
    <col min="58" max="58" width="23.3828125" bestFit="1" customWidth="1"/>
    <col min="59" max="59" width="21.15234375" bestFit="1" customWidth="1"/>
    <col min="60" max="60" width="13.15234375" bestFit="1" customWidth="1"/>
    <col min="61" max="61" width="18.15234375" bestFit="1" customWidth="1"/>
    <col min="62" max="62" width="12.3828125" bestFit="1" customWidth="1"/>
    <col min="63" max="63" width="26.15234375" bestFit="1" customWidth="1"/>
    <col min="64" max="64" width="23.3828125" bestFit="1" customWidth="1"/>
    <col min="65" max="65" width="21.15234375" bestFit="1" customWidth="1"/>
    <col min="66" max="66" width="13.15234375" bestFit="1" customWidth="1"/>
    <col min="67" max="67" width="18.15234375" bestFit="1" customWidth="1"/>
    <col min="68" max="68" width="12.3828125" bestFit="1" customWidth="1"/>
    <col min="69" max="69" width="26.15234375" bestFit="1" customWidth="1"/>
    <col min="70" max="70" width="23.3828125" bestFit="1" customWidth="1"/>
    <col min="71" max="71" width="21.15234375" bestFit="1" customWidth="1"/>
    <col min="72" max="72" width="13.15234375" bestFit="1" customWidth="1"/>
    <col min="73" max="73" width="18.15234375" bestFit="1" customWidth="1"/>
    <col min="74" max="74" width="12.3828125" bestFit="1" customWidth="1"/>
    <col min="75" max="75" width="26.15234375" bestFit="1" customWidth="1"/>
    <col min="76" max="76" width="23.3828125" bestFit="1" customWidth="1"/>
    <col min="77" max="77" width="21.15234375" bestFit="1" customWidth="1"/>
    <col min="78" max="78" width="13.15234375" bestFit="1" customWidth="1"/>
    <col min="79" max="79" width="18.15234375" bestFit="1" customWidth="1"/>
    <col min="80" max="80" width="12.3828125" bestFit="1" customWidth="1"/>
    <col min="81" max="81" width="26.15234375" bestFit="1" customWidth="1"/>
    <col min="82" max="82" width="23.3828125" bestFit="1" customWidth="1"/>
  </cols>
  <sheetData>
    <row r="1" spans="1:82" s="32" customFormat="1" ht="28.3" customHeight="1" x14ac:dyDescent="0.4">
      <c r="A1" s="98" t="s">
        <v>31</v>
      </c>
      <c r="B1" s="99"/>
      <c r="C1" s="99"/>
      <c r="D1" s="99"/>
      <c r="E1" s="99"/>
      <c r="F1" s="99"/>
      <c r="G1" s="99"/>
      <c r="H1" s="99"/>
      <c r="I1" s="99"/>
      <c r="J1" s="99"/>
      <c r="K1" s="102" t="str">
        <f>" "&amp;IFERROR(IF(SOP_Favorite_Name&lt;&gt;" ",SOP_Favorite_Name,IF(SOP_Template_Name&lt;&gt;" ",SOP_Template_Name,"Ad Hoc Planning View")),"Offline")</f>
        <v xml:space="preserve"> Combination-based Planning with Status</v>
      </c>
      <c r="L1" s="102"/>
      <c r="M1" s="102"/>
      <c r="N1" s="102"/>
      <c r="O1" s="102"/>
      <c r="P1" s="102"/>
      <c r="Q1" s="103" t="str">
        <f>"User: "&amp;_xll.EPMUser()&amp;"   |    Planning Area: "&amp;IFERROR(SOP_Planning_Area,"Offline")&amp;"
"&amp;"Template: "&amp;IFERROR(SOP_Template_Name,"none")</f>
        <v>User: #Error, no current connection.   |    Planning Area: SAP6
Template: template name</v>
      </c>
      <c r="R1" s="103"/>
      <c r="S1" s="103"/>
      <c r="T1" s="103"/>
      <c r="U1" s="103"/>
      <c r="V1" s="103"/>
      <c r="W1" s="55"/>
      <c r="X1" s="56"/>
      <c r="Y1" s="56"/>
      <c r="Z1" s="56"/>
      <c r="AA1" s="56"/>
      <c r="AB1" s="56"/>
      <c r="AC1" s="56"/>
      <c r="AD1" s="56"/>
      <c r="AE1" s="57"/>
      <c r="AF1" s="57"/>
      <c r="AG1" s="57"/>
      <c r="AH1" s="57"/>
      <c r="AI1" s="57"/>
      <c r="AJ1" s="57"/>
      <c r="AK1" s="57"/>
      <c r="AL1" s="58"/>
      <c r="AM1" s="58"/>
      <c r="AN1" s="58"/>
      <c r="AO1" s="58"/>
      <c r="AP1" s="58"/>
      <c r="AQ1" s="58"/>
      <c r="AR1" s="58"/>
      <c r="AS1" s="58"/>
      <c r="AT1" s="58"/>
      <c r="AU1" s="58"/>
      <c r="AV1" s="58"/>
      <c r="AW1" s="58"/>
      <c r="AX1" s="58"/>
      <c r="AY1" s="58"/>
      <c r="AZ1" s="58"/>
      <c r="BA1" s="58"/>
      <c r="BB1" s="58"/>
      <c r="BC1" s="58"/>
      <c r="BD1" s="58"/>
      <c r="BE1" s="58"/>
      <c r="BF1" s="58"/>
      <c r="BG1" s="58"/>
      <c r="BH1" s="58"/>
      <c r="BI1" s="58"/>
      <c r="BJ1" s="58"/>
      <c r="BK1" s="58"/>
      <c r="BL1" s="58"/>
      <c r="BM1" s="58"/>
      <c r="BN1" s="58"/>
      <c r="BO1" s="58"/>
      <c r="BP1" s="58"/>
      <c r="BQ1" s="58"/>
      <c r="BR1" s="59"/>
      <c r="BS1" s="59"/>
      <c r="BT1" s="59"/>
      <c r="BU1" s="59"/>
      <c r="BV1" s="59"/>
      <c r="BW1" s="59"/>
      <c r="BX1" s="59"/>
      <c r="BY1" s="59"/>
      <c r="BZ1" s="59"/>
      <c r="CA1" s="59"/>
      <c r="CB1" s="59"/>
      <c r="CC1" s="59"/>
      <c r="CD1" s="59"/>
    </row>
    <row r="2" spans="1:82" s="32" customFormat="1" ht="60" customHeight="1" x14ac:dyDescent="0.4">
      <c r="A2" s="100"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(Ad Hoc Filter) (2 criteria):
Product ID = HT_002; HT_003
Status of the Planning = Open
</v>
      </c>
      <c r="B2" s="100"/>
      <c r="C2" s="100"/>
      <c r="D2" s="100"/>
      <c r="E2" s="100"/>
      <c r="F2" s="100"/>
      <c r="G2" s="100"/>
      <c r="H2" s="100"/>
      <c r="I2" s="100"/>
      <c r="J2" s="100"/>
      <c r="K2" s="101" t="str">
        <f>"  Last Refresh: "&amp;IFERROR(YEAR(SOP_Refresh_Timestamp)&amp;"-"&amp;TEXT(SOP_Refresh_Timestamp,"MMM")&amp;"-"&amp;DAY(SOP_Refresh_Timestamp)&amp;"   "&amp;TEXT(SOP_Refresh_Timestamp,"HH:MM:SS"),"Offline")</f>
        <v xml:space="preserve">  Last Refresh: 2022-Apr-29   14:37:40</v>
      </c>
      <c r="L2" s="101"/>
      <c r="M2" s="101"/>
      <c r="N2" s="101"/>
      <c r="O2" s="101"/>
      <c r="P2" s="101"/>
      <c r="Q2" s="101"/>
      <c r="R2" s="101"/>
      <c r="S2" s="101"/>
      <c r="T2" s="101"/>
      <c r="U2" s="101"/>
      <c r="V2" s="101"/>
      <c r="W2" s="55"/>
      <c r="X2" s="56"/>
      <c r="Y2" s="56"/>
      <c r="Z2" s="56"/>
      <c r="AA2" s="56"/>
      <c r="AB2" s="56"/>
      <c r="AC2" s="56"/>
      <c r="AD2" s="56"/>
      <c r="AE2" s="57"/>
      <c r="AF2" s="57"/>
      <c r="AG2" s="57"/>
      <c r="AH2" s="57"/>
      <c r="AI2" s="57"/>
      <c r="AJ2" s="57"/>
      <c r="AK2" s="57"/>
      <c r="AL2" s="58"/>
      <c r="AM2" s="58"/>
      <c r="AN2" s="58"/>
      <c r="AO2" s="58"/>
      <c r="AP2" s="58"/>
      <c r="AQ2" s="58"/>
      <c r="AR2" s="58"/>
      <c r="AS2" s="58"/>
      <c r="AT2" s="58"/>
      <c r="AU2" s="58"/>
      <c r="AV2" s="58"/>
      <c r="AW2" s="58"/>
      <c r="AX2" s="58"/>
      <c r="AY2" s="58"/>
      <c r="AZ2" s="58"/>
      <c r="BA2" s="58"/>
      <c r="BB2" s="58"/>
      <c r="BC2" s="58"/>
      <c r="BD2" s="58"/>
      <c r="BE2" s="58"/>
      <c r="BF2" s="58"/>
      <c r="BG2" s="58"/>
      <c r="BH2" s="58"/>
      <c r="BI2" s="58"/>
      <c r="BJ2" s="58"/>
      <c r="BK2" s="58"/>
      <c r="BL2" s="58"/>
      <c r="BM2" s="58"/>
      <c r="BN2" s="58"/>
      <c r="BO2" s="58"/>
      <c r="BP2" s="58"/>
      <c r="BQ2" s="58"/>
      <c r="BR2" s="59"/>
      <c r="BS2" s="59"/>
      <c r="BT2" s="59"/>
      <c r="BU2" s="59"/>
      <c r="BV2" s="59"/>
      <c r="BW2" s="59"/>
      <c r="BX2" s="59"/>
      <c r="BY2" s="59"/>
      <c r="BZ2" s="59"/>
      <c r="CA2" s="59"/>
      <c r="CB2" s="59"/>
      <c r="CC2" s="59"/>
      <c r="CD2" s="59"/>
    </row>
    <row r="3" spans="1:82" s="33" customFormat="1" ht="14.6" customHeight="1" x14ac:dyDescent="0.4">
      <c r="A3" s="62" t="str">
        <f>SOP_Heading10</f>
        <v xml:space="preserve"> </v>
      </c>
      <c r="B3" s="62" t="str">
        <f>SOP_Heading9</f>
        <v xml:space="preserve"> </v>
      </c>
      <c r="C3" s="62" t="str">
        <f>SOP_Heading8</f>
        <v xml:space="preserve"> </v>
      </c>
      <c r="D3" s="62" t="str">
        <f>SOP_Heading7</f>
        <v xml:space="preserve"> </v>
      </c>
      <c r="E3" s="62" t="str">
        <f>SOP_Heading6</f>
        <v xml:space="preserve"> </v>
      </c>
      <c r="F3" s="62" t="str">
        <f>SOP_Heading5</f>
        <v xml:space="preserve"> </v>
      </c>
      <c r="G3" s="62" t="str">
        <f>SOP_Heading4</f>
        <v xml:space="preserve"> </v>
      </c>
      <c r="H3" s="62" t="str">
        <f>SOP_Heading3</f>
        <v>Product ID</v>
      </c>
      <c r="I3" s="62" t="str">
        <f>SOP_Heading2</f>
        <v>Location ID</v>
      </c>
      <c r="J3" s="62" t="str">
        <f>SOP_Heading1</f>
        <v>Key Figure</v>
      </c>
      <c r="K3" s="67" t="str">
        <f xml:space="preserve"> _xll.EPMOlapMemberO("[PERIODID3].[].[70616]","","APR 2021","","000")</f>
        <v>APR 2021</v>
      </c>
      <c r="L3" s="67" t="str">
        <f xml:space="preserve"> _xll.EPMOlapMemberO("[PERIODID3].[].[70617]","","MAY 2021","","000")</f>
        <v>MAY 2021</v>
      </c>
      <c r="M3" s="67" t="str">
        <f xml:space="preserve"> _xll.EPMOlapMemberO("[PERIODID3].[].[70618]","","JUN 2021","","000")</f>
        <v>JUN 2021</v>
      </c>
      <c r="N3" s="67" t="str">
        <f xml:space="preserve"> _xll.EPMOlapMemberO("[PERIODID3].[].[70619]","","JUL 2021","","000")</f>
        <v>JUL 2021</v>
      </c>
      <c r="O3" s="67" t="str">
        <f xml:space="preserve"> _xll.EPMOlapMemberO("[PERIODID3].[].[70620]","","AUG 2021","","000")</f>
        <v>AUG 2021</v>
      </c>
      <c r="P3" s="67" t="str">
        <f xml:space="preserve"> _xll.EPMOlapMemberO("[PERIODID3].[].[70621]","","SEP 2021","","000")</f>
        <v>SEP 2021</v>
      </c>
      <c r="Q3" s="67" t="str">
        <f xml:space="preserve"> _xll.EPMOlapMemberO("[PERIODID3].[].[70622]","","OCT 2021","","000")</f>
        <v>OCT 2021</v>
      </c>
      <c r="R3" s="67" t="str">
        <f xml:space="preserve"> _xll.EPMOlapMemberO("[PERIODID3].[].[70623]","","NOV 2021","","000")</f>
        <v>NOV 2021</v>
      </c>
      <c r="S3" s="67" t="str">
        <f xml:space="preserve"> _xll.EPMOlapMemberO("[PERIODID3].[].[70624]","","DEC 2021","","000")</f>
        <v>DEC 2021</v>
      </c>
      <c r="T3" s="67" t="str">
        <f xml:space="preserve"> _xll.EPMOlapMemberO("[PERIODID3].[].[70625]","","JAN 2022","","000")</f>
        <v>JAN 2022</v>
      </c>
      <c r="U3" s="67" t="str">
        <f xml:space="preserve"> _xll.EPMOlapMemberO("[PERIODID3].[].[70626]","","FEB 2022","","000")</f>
        <v>FEB 2022</v>
      </c>
      <c r="V3"/>
      <c r="W3"/>
      <c r="X3" s="61"/>
      <c r="Y3" s="61"/>
      <c r="Z3" s="61"/>
      <c r="AA3" s="61"/>
      <c r="AB3" s="61"/>
      <c r="AC3" s="61"/>
      <c r="AD3" s="61"/>
      <c r="AE3" s="61"/>
      <c r="AF3" s="61"/>
      <c r="AG3" s="61"/>
      <c r="AH3" s="61"/>
      <c r="AI3" s="61"/>
      <c r="AJ3" s="61"/>
      <c r="AK3" s="61"/>
      <c r="AL3" s="61"/>
      <c r="AM3" s="61"/>
      <c r="AN3" s="61"/>
      <c r="AO3" s="61"/>
      <c r="AP3" s="61"/>
      <c r="AQ3" s="61"/>
      <c r="AR3" s="61"/>
      <c r="AS3" s="61"/>
      <c r="AT3" s="61"/>
      <c r="AU3" s="61"/>
      <c r="AV3" s="61"/>
      <c r="AW3" s="61"/>
      <c r="AX3" s="61"/>
      <c r="AY3" s="61"/>
      <c r="AZ3" s="61"/>
      <c r="BA3" s="61"/>
      <c r="BB3" s="61"/>
      <c r="BC3" s="61"/>
      <c r="BD3" s="61"/>
      <c r="BE3" s="61"/>
      <c r="BF3" s="61"/>
      <c r="BG3" s="61"/>
      <c r="BH3" s="61"/>
      <c r="BI3" s="61"/>
      <c r="BJ3" s="61"/>
      <c r="BK3" s="61"/>
      <c r="BL3" s="61"/>
      <c r="BM3" s="61"/>
      <c r="BN3" s="61"/>
      <c r="BO3" s="61"/>
      <c r="BP3" s="61"/>
      <c r="BQ3" s="61"/>
      <c r="BR3" s="61"/>
      <c r="BS3" s="61"/>
      <c r="BT3" s="61"/>
      <c r="BU3" s="61"/>
      <c r="BV3" s="61"/>
      <c r="BW3" s="61"/>
      <c r="BX3" s="61"/>
      <c r="BY3" s="61"/>
      <c r="BZ3" s="61"/>
      <c r="CA3" s="61"/>
      <c r="CB3" s="61"/>
      <c r="CC3" s="61"/>
      <c r="CD3" s="61"/>
    </row>
    <row r="4" spans="1:82" ht="14.6" customHeight="1" x14ac:dyDescent="0.4">
      <c r="A4" s="61"/>
      <c r="B4" s="61"/>
      <c r="C4" s="61"/>
      <c r="D4" s="61"/>
      <c r="E4" s="61"/>
      <c r="F4" s="61"/>
      <c r="H4" s="65" t="str">
        <f xml:space="preserve"> _xll.EPMOlapMemberO("[PRDID].[].[HT_002]","","HT_002","","000")</f>
        <v>HT_002</v>
      </c>
      <c r="I4" s="65" t="str">
        <f xml:space="preserve"> _xll.EPMOlapMemberO("[LOCID].[].[HD_DC_CA_E]","","HD_DC_CA_E","","000")</f>
        <v>HD_DC_CA_E</v>
      </c>
      <c r="J4" s="65" t="str">
        <f xml:space="preserve"> _xll.EPMOlapMemberO("[KEY_FIGURES].[].[CONSENSUSDEMAND]","","Consensus Demand without Promotion","","000")</f>
        <v>Consensus Demand without Promotion</v>
      </c>
      <c r="K4" s="68"/>
      <c r="L4" s="68"/>
      <c r="M4" s="68"/>
      <c r="N4" s="68">
        <v>175</v>
      </c>
      <c r="O4" s="68">
        <v>175.00200000000001</v>
      </c>
      <c r="P4" s="68">
        <v>175</v>
      </c>
      <c r="Q4" s="68">
        <v>175</v>
      </c>
      <c r="R4" s="68">
        <v>175</v>
      </c>
      <c r="S4" s="68">
        <v>175</v>
      </c>
      <c r="T4" s="68">
        <v>25.692</v>
      </c>
      <c r="U4" s="68"/>
      <c r="X4" s="61"/>
      <c r="Y4" s="61"/>
      <c r="Z4" s="61"/>
      <c r="AA4" s="61"/>
      <c r="AB4" s="61"/>
      <c r="AC4" s="61"/>
      <c r="AD4" s="61"/>
      <c r="AE4" s="61"/>
      <c r="AF4" s="61"/>
      <c r="AG4" s="61"/>
      <c r="AH4" s="61"/>
      <c r="AI4" s="61"/>
      <c r="AJ4" s="61"/>
      <c r="AK4" s="61"/>
      <c r="AL4" s="61"/>
      <c r="AM4" s="61"/>
      <c r="AN4" s="61"/>
      <c r="AO4" s="61"/>
      <c r="AP4" s="61"/>
      <c r="AQ4" s="61"/>
      <c r="AR4" s="61"/>
      <c r="AS4" s="61"/>
      <c r="AT4" s="61"/>
      <c r="AU4" s="61"/>
      <c r="AV4" s="61"/>
      <c r="AW4" s="61"/>
      <c r="AX4" s="61"/>
      <c r="AY4" s="61"/>
      <c r="AZ4" s="61"/>
      <c r="BA4" s="61"/>
      <c r="BB4" s="61"/>
      <c r="BC4" s="61"/>
      <c r="BD4" s="61"/>
      <c r="BE4" s="61"/>
      <c r="BF4" s="61"/>
      <c r="BG4" s="61"/>
      <c r="BH4" s="61"/>
      <c r="BI4" s="61"/>
      <c r="BJ4" s="61"/>
      <c r="BK4" s="61"/>
      <c r="BL4" s="61"/>
      <c r="BM4" s="61"/>
      <c r="BN4" s="61"/>
      <c r="BO4" s="61"/>
      <c r="BP4" s="61"/>
      <c r="BQ4" s="61"/>
      <c r="BR4" s="61"/>
      <c r="BS4" s="61"/>
      <c r="BT4" s="61"/>
      <c r="BU4" s="61"/>
      <c r="BV4" s="61"/>
      <c r="BW4" s="61"/>
      <c r="BX4" s="61"/>
      <c r="BY4" s="61"/>
      <c r="BZ4" s="61"/>
      <c r="CA4" s="61"/>
      <c r="CB4" s="61"/>
      <c r="CC4" s="61"/>
      <c r="CD4" s="61"/>
    </row>
    <row r="5" spans="1:82" x14ac:dyDescent="0.4">
      <c r="A5" s="61"/>
      <c r="B5" s="61"/>
      <c r="C5" s="61"/>
      <c r="D5" s="61"/>
      <c r="E5" s="61"/>
      <c r="F5" s="61"/>
      <c r="H5" s="65"/>
      <c r="I5" s="65" t="str">
        <f xml:space="preserve"> _xll.EPMOlapMemberO("[LOCID].[].[HD_DC_FR]","","HD_DC_FR","","000")</f>
        <v>HD_DC_FR</v>
      </c>
      <c r="J5" s="65" t="str">
        <f xml:space="preserve"> _xll.EPMOlapMemberO("[KEY_FIGURES].[].[CONSENSUSDEMAND]","","Consensus Demand without Promotion","","000")</f>
        <v>Consensus Demand without Promotion</v>
      </c>
      <c r="K5" s="68"/>
      <c r="L5" s="68"/>
      <c r="M5" s="68">
        <v>6000</v>
      </c>
      <c r="N5" s="68">
        <v>175</v>
      </c>
      <c r="O5" s="68">
        <v>174.99600000000001</v>
      </c>
      <c r="P5" s="68">
        <v>175</v>
      </c>
      <c r="Q5" s="68">
        <v>175</v>
      </c>
      <c r="R5" s="68">
        <v>175</v>
      </c>
      <c r="S5" s="68">
        <v>700</v>
      </c>
      <c r="T5" s="68">
        <v>4699.9250000000002</v>
      </c>
      <c r="U5" s="68"/>
      <c r="X5" s="61"/>
      <c r="Y5" s="61"/>
      <c r="Z5" s="61"/>
      <c r="AA5" s="61"/>
      <c r="AB5" s="61"/>
      <c r="AC5" s="61"/>
      <c r="AD5" s="61"/>
      <c r="AE5" s="61"/>
      <c r="AF5" s="61"/>
      <c r="AG5" s="61"/>
      <c r="AH5" s="61"/>
      <c r="AI5" s="61"/>
      <c r="AJ5" s="61"/>
      <c r="AK5" s="61"/>
      <c r="AL5" s="61"/>
      <c r="AM5" s="61"/>
      <c r="AN5" s="61"/>
      <c r="AO5" s="61"/>
      <c r="AP5" s="61"/>
      <c r="AQ5" s="61"/>
      <c r="AR5" s="61"/>
      <c r="AS5" s="61"/>
      <c r="AT5" s="61"/>
      <c r="AU5" s="61"/>
      <c r="AV5" s="61"/>
      <c r="AW5" s="61"/>
      <c r="AX5" s="61"/>
      <c r="AY5" s="61"/>
      <c r="AZ5" s="61"/>
      <c r="BA5" s="61"/>
      <c r="BB5" s="61"/>
      <c r="BC5" s="61"/>
      <c r="BD5" s="61"/>
      <c r="BE5" s="61"/>
      <c r="BF5" s="61"/>
      <c r="BG5" s="61"/>
      <c r="BH5" s="61"/>
      <c r="BI5" s="61"/>
      <c r="BJ5" s="61"/>
      <c r="BK5" s="61"/>
      <c r="BL5" s="61"/>
      <c r="BM5" s="61"/>
      <c r="BN5" s="61"/>
      <c r="BO5" s="61"/>
      <c r="BP5" s="61"/>
      <c r="BQ5" s="61"/>
      <c r="BR5" s="61"/>
      <c r="BS5" s="61"/>
      <c r="BT5" s="61"/>
      <c r="BU5" s="61"/>
      <c r="BV5" s="61"/>
      <c r="BW5" s="61"/>
      <c r="BX5" s="61"/>
      <c r="BY5" s="61"/>
      <c r="BZ5" s="61"/>
      <c r="CA5" s="61"/>
      <c r="CB5" s="61"/>
      <c r="CC5" s="61"/>
      <c r="CD5" s="61"/>
    </row>
    <row r="6" spans="1:82" x14ac:dyDescent="0.4">
      <c r="A6" s="61"/>
      <c r="B6" s="61"/>
      <c r="C6" s="61"/>
      <c r="D6" s="61"/>
      <c r="E6" s="61"/>
      <c r="F6" s="61"/>
      <c r="H6" s="65"/>
      <c r="I6" s="65" t="str">
        <f xml:space="preserve"> _xll.EPMOlapMemberO("[LOCID].[].[HD_DC_US_W]","","HD_DC_US_W","","000")</f>
        <v>HD_DC_US_W</v>
      </c>
      <c r="J6" s="65" t="str">
        <f xml:space="preserve"> _xll.EPMOlapMemberO("[KEY_FIGURES].[].[CONSENSUSDEMAND]","","Consensus Demand without Promotion","","000")</f>
        <v>Consensus Demand without Promotion</v>
      </c>
      <c r="K6" s="68"/>
      <c r="L6" s="68"/>
      <c r="M6" s="68"/>
      <c r="N6" s="68">
        <v>600</v>
      </c>
      <c r="O6" s="68">
        <v>175</v>
      </c>
      <c r="P6" s="68">
        <v>175</v>
      </c>
      <c r="Q6" s="68">
        <v>175</v>
      </c>
      <c r="R6" s="68">
        <v>175</v>
      </c>
      <c r="S6" s="68">
        <v>175</v>
      </c>
      <c r="T6" s="68">
        <v>25.690999999999999</v>
      </c>
      <c r="U6" s="68"/>
      <c r="X6" s="61"/>
      <c r="Y6" s="61"/>
      <c r="Z6" s="61"/>
      <c r="AA6" s="61"/>
      <c r="AB6" s="61"/>
      <c r="AC6" s="61"/>
      <c r="AD6" s="61"/>
      <c r="AE6" s="61"/>
      <c r="AF6" s="61"/>
      <c r="AG6" s="61"/>
      <c r="AH6" s="61"/>
      <c r="AI6" s="61"/>
      <c r="AJ6" s="61"/>
      <c r="AK6" s="61"/>
      <c r="AL6" s="61"/>
      <c r="AM6" s="61"/>
      <c r="AN6" s="61"/>
      <c r="AO6" s="61"/>
      <c r="AP6" s="61"/>
      <c r="AQ6" s="61"/>
      <c r="AR6" s="61"/>
      <c r="AS6" s="61"/>
      <c r="AT6" s="61"/>
      <c r="AU6" s="61"/>
      <c r="AV6" s="61"/>
      <c r="AW6" s="61"/>
      <c r="AX6" s="61"/>
      <c r="AY6" s="61"/>
      <c r="AZ6" s="61"/>
      <c r="BA6" s="61"/>
      <c r="BB6" s="61"/>
      <c r="BC6" s="61"/>
      <c r="BD6" s="61"/>
      <c r="BE6" s="61"/>
      <c r="BF6" s="61"/>
      <c r="BG6" s="61"/>
      <c r="BH6" s="61"/>
      <c r="BI6" s="61"/>
      <c r="BJ6" s="61"/>
      <c r="BK6" s="61"/>
      <c r="BL6" s="61"/>
      <c r="BM6" s="61"/>
      <c r="BN6" s="61"/>
      <c r="BO6" s="61"/>
      <c r="BP6" s="61"/>
      <c r="BQ6" s="61"/>
      <c r="BR6" s="61"/>
      <c r="BS6" s="61"/>
      <c r="BT6" s="61"/>
      <c r="BU6" s="61"/>
      <c r="BV6" s="61"/>
      <c r="BW6" s="61"/>
      <c r="BX6" s="61"/>
      <c r="BY6" s="61"/>
      <c r="BZ6" s="61"/>
      <c r="CA6" s="61"/>
      <c r="CB6" s="61"/>
      <c r="CC6" s="61"/>
      <c r="CD6" s="61"/>
    </row>
    <row r="7" spans="1:82" x14ac:dyDescent="0.4">
      <c r="A7" s="61"/>
      <c r="B7" s="61"/>
      <c r="C7" s="61"/>
      <c r="D7" s="61"/>
      <c r="E7" s="61"/>
      <c r="F7" s="61"/>
      <c r="H7" s="65" t="str">
        <f xml:space="preserve"> _xll.EPMOlapMemberO("[PRDID].[].[HT_003]","","HT_003","","000")</f>
        <v>HT_003</v>
      </c>
      <c r="I7" s="65" t="str">
        <f xml:space="preserve"> _xll.EPMOlapMemberO("[LOCID].[].[HD_DC_CA_E]","","HD_DC_CA_E","","000")</f>
        <v>HD_DC_CA_E</v>
      </c>
      <c r="J7" s="65" t="str">
        <f xml:space="preserve"> _xll.EPMOlapMemberO("[KEY_FIGURES].[].[CONSENSUSDEMAND]","","Consensus Demand without Promotion","","000")</f>
        <v>Consensus Demand without Promotion</v>
      </c>
      <c r="K7" s="68">
        <v>93.5</v>
      </c>
      <c r="L7" s="68">
        <v>57</v>
      </c>
      <c r="M7" s="68">
        <v>58</v>
      </c>
      <c r="N7" s="68">
        <v>100</v>
      </c>
      <c r="O7" s="68">
        <v>35.003999999999998</v>
      </c>
      <c r="P7" s="68">
        <v>58.005000000000003</v>
      </c>
      <c r="Q7" s="68">
        <v>99.754999999999995</v>
      </c>
      <c r="R7" s="68">
        <v>37.75</v>
      </c>
      <c r="S7" s="68">
        <v>85.5</v>
      </c>
      <c r="T7" s="68"/>
      <c r="U7" s="68"/>
      <c r="X7" s="61"/>
      <c r="Y7" s="61"/>
      <c r="Z7" s="61"/>
      <c r="AA7" s="61"/>
      <c r="AB7" s="61"/>
      <c r="AC7" s="61"/>
      <c r="AD7" s="61"/>
      <c r="AE7" s="61"/>
      <c r="AF7" s="61"/>
      <c r="AG7" s="61"/>
      <c r="AH7" s="61"/>
      <c r="AI7" s="61"/>
      <c r="AJ7" s="61"/>
      <c r="AK7" s="61"/>
      <c r="AL7" s="61"/>
      <c r="AM7" s="61"/>
      <c r="AN7" s="61"/>
      <c r="AO7" s="61"/>
      <c r="AP7" s="61"/>
      <c r="AQ7" s="61"/>
      <c r="AR7" s="61"/>
      <c r="AS7" s="61"/>
      <c r="AT7" s="61"/>
      <c r="AU7" s="61"/>
      <c r="AV7" s="61"/>
      <c r="AW7" s="61"/>
      <c r="AX7" s="61"/>
      <c r="AY7" s="61"/>
      <c r="AZ7" s="61"/>
      <c r="BA7" s="61"/>
      <c r="BB7" s="61"/>
      <c r="BC7" s="61"/>
      <c r="BD7" s="61"/>
      <c r="BE7" s="61"/>
      <c r="BF7" s="61"/>
      <c r="BG7" s="61"/>
      <c r="BH7" s="61"/>
      <c r="BI7" s="61"/>
      <c r="BJ7" s="61"/>
      <c r="BK7" s="61"/>
      <c r="BL7" s="61"/>
      <c r="BM7" s="61"/>
      <c r="BN7" s="61"/>
      <c r="BO7" s="61"/>
      <c r="BP7" s="61"/>
      <c r="BQ7" s="61"/>
      <c r="BR7" s="61"/>
      <c r="BS7" s="61"/>
      <c r="BT7" s="61"/>
      <c r="BU7" s="61"/>
      <c r="BV7" s="61"/>
      <c r="BW7" s="61"/>
      <c r="BX7" s="61"/>
      <c r="BY7" s="61"/>
      <c r="BZ7" s="61"/>
      <c r="CA7" s="61"/>
      <c r="CB7" s="61"/>
      <c r="CC7" s="61"/>
      <c r="CD7" s="61"/>
    </row>
    <row r="8" spans="1:82" x14ac:dyDescent="0.4">
      <c r="A8" s="61"/>
      <c r="B8" s="61"/>
      <c r="C8" s="61"/>
      <c r="D8" s="61"/>
      <c r="E8" s="61"/>
      <c r="F8" s="61"/>
      <c r="H8" s="65"/>
      <c r="I8" s="65" t="str">
        <f xml:space="preserve"> _xll.EPMOlapMemberO("[LOCID].[].[HD_DC_FR]","","HD_DC_FR","","000")</f>
        <v>HD_DC_FR</v>
      </c>
      <c r="J8" s="65" t="str">
        <f xml:space="preserve"> _xll.EPMOlapMemberO("[KEY_FIGURES].[].[CONSENSUSDEMAND]","","Consensus Demand without Promotion","","000")</f>
        <v>Consensus Demand without Promotion</v>
      </c>
      <c r="K8" s="68">
        <v>93.51</v>
      </c>
      <c r="L8" s="68">
        <v>57</v>
      </c>
      <c r="M8" s="68">
        <v>58</v>
      </c>
      <c r="N8" s="68">
        <v>100</v>
      </c>
      <c r="O8" s="68">
        <v>35.003999999999998</v>
      </c>
      <c r="P8" s="68">
        <v>58.01</v>
      </c>
      <c r="Q8" s="68">
        <v>99.765000000000001</v>
      </c>
      <c r="R8" s="68">
        <v>37.75</v>
      </c>
      <c r="S8" s="68">
        <v>85.5</v>
      </c>
      <c r="T8" s="68"/>
      <c r="U8" s="68"/>
      <c r="X8" s="61"/>
      <c r="Y8" s="61"/>
      <c r="Z8" s="61"/>
      <c r="AA8" s="61"/>
      <c r="AB8" s="61"/>
      <c r="AC8" s="61"/>
      <c r="AD8" s="61"/>
      <c r="AE8" s="61"/>
      <c r="AF8" s="61"/>
      <c r="AG8" s="61"/>
      <c r="AH8" s="61"/>
      <c r="AI8" s="61"/>
      <c r="AJ8" s="61"/>
      <c r="AK8" s="61"/>
      <c r="AL8" s="61"/>
      <c r="AM8" s="61"/>
      <c r="AN8" s="61"/>
      <c r="AO8" s="61"/>
      <c r="AP8" s="61"/>
      <c r="AQ8" s="61"/>
      <c r="AR8" s="61"/>
      <c r="AS8" s="61"/>
      <c r="AT8" s="61"/>
      <c r="AU8" s="61"/>
      <c r="AV8" s="61"/>
      <c r="AW8" s="61"/>
      <c r="AX8" s="61"/>
      <c r="AY8" s="61"/>
      <c r="AZ8" s="61"/>
      <c r="BA8" s="61"/>
      <c r="BB8" s="61"/>
      <c r="BC8" s="61"/>
      <c r="BD8" s="61"/>
      <c r="BE8" s="61"/>
      <c r="BF8" s="61"/>
      <c r="BG8" s="61"/>
      <c r="BH8" s="61"/>
      <c r="BI8" s="61"/>
      <c r="BJ8" s="61"/>
      <c r="BK8" s="61"/>
      <c r="BL8" s="61"/>
      <c r="BM8" s="61"/>
      <c r="BN8" s="61"/>
      <c r="BO8" s="61"/>
      <c r="BP8" s="61"/>
      <c r="BQ8" s="61"/>
      <c r="BR8" s="61"/>
      <c r="BS8" s="61"/>
      <c r="BT8" s="61"/>
      <c r="BU8" s="61"/>
      <c r="BV8" s="61"/>
      <c r="BW8" s="61"/>
      <c r="BX8" s="61"/>
      <c r="BY8" s="61"/>
      <c r="BZ8" s="61"/>
      <c r="CA8" s="61"/>
      <c r="CB8" s="61"/>
      <c r="CC8" s="61"/>
      <c r="CD8" s="61"/>
    </row>
    <row r="9" spans="1:82" x14ac:dyDescent="0.4">
      <c r="A9" s="61"/>
      <c r="B9" s="61"/>
      <c r="C9" s="61"/>
      <c r="D9" s="61"/>
      <c r="E9" s="61"/>
      <c r="F9" s="61"/>
      <c r="H9" s="65"/>
      <c r="I9" s="65" t="str">
        <f xml:space="preserve"> _xll.EPMOlapMemberO("[LOCID].[].[HD_DC_US_E]","","HD_DC_US_E","","000")</f>
        <v>HD_DC_US_E</v>
      </c>
      <c r="J9" s="65" t="str">
        <f xml:space="preserve"> _xll.EPMOlapMemberO("[KEY_FIGURES].[].[CONSENSUSDEMAND]","","Consensus Demand without Promotion","","000")</f>
        <v>Consensus Demand without Promotion</v>
      </c>
      <c r="K9" s="68">
        <v>93.49</v>
      </c>
      <c r="L9" s="68">
        <v>57</v>
      </c>
      <c r="M9" s="68">
        <v>58</v>
      </c>
      <c r="N9" s="68">
        <v>100</v>
      </c>
      <c r="O9" s="68">
        <v>35</v>
      </c>
      <c r="P9" s="68">
        <v>57.99</v>
      </c>
      <c r="Q9" s="68">
        <v>99.734999999999999</v>
      </c>
      <c r="R9" s="68">
        <v>37.75</v>
      </c>
      <c r="S9" s="68">
        <v>85.5</v>
      </c>
      <c r="T9" s="68"/>
      <c r="U9" s="68"/>
      <c r="X9" s="61"/>
      <c r="Y9" s="61"/>
      <c r="Z9" s="61"/>
      <c r="AA9" s="61"/>
      <c r="AB9" s="61"/>
      <c r="AC9" s="61"/>
      <c r="AD9" s="61"/>
      <c r="AE9" s="61"/>
      <c r="AF9" s="61"/>
      <c r="AG9" s="61"/>
      <c r="AH9" s="61"/>
      <c r="AI9" s="61"/>
      <c r="AJ9" s="61"/>
      <c r="AK9" s="61"/>
      <c r="AL9" s="61"/>
      <c r="AM9" s="61"/>
      <c r="AN9" s="61"/>
      <c r="AO9" s="61"/>
      <c r="AP9" s="61"/>
      <c r="AQ9" s="61"/>
      <c r="AR9" s="61"/>
      <c r="AS9" s="61"/>
      <c r="AT9" s="61"/>
      <c r="AU9" s="61"/>
      <c r="AV9" s="61"/>
      <c r="AW9" s="61"/>
      <c r="AX9" s="61"/>
      <c r="AY9" s="61"/>
      <c r="AZ9" s="61"/>
      <c r="BA9" s="61"/>
      <c r="BB9" s="61"/>
      <c r="BC9" s="61"/>
      <c r="BD9" s="61"/>
      <c r="BE9" s="61"/>
      <c r="BF9" s="61"/>
      <c r="BG9" s="61"/>
      <c r="BH9" s="61"/>
      <c r="BI9" s="61"/>
      <c r="BJ9" s="61"/>
      <c r="BK9" s="61"/>
      <c r="BL9" s="61"/>
      <c r="BM9" s="61"/>
      <c r="BN9" s="61"/>
      <c r="BO9" s="61"/>
      <c r="BP9" s="61"/>
      <c r="BQ9" s="61"/>
      <c r="BR9" s="61"/>
      <c r="BS9" s="61"/>
      <c r="BT9" s="61"/>
      <c r="BU9" s="61"/>
      <c r="BV9" s="61"/>
      <c r="BW9" s="61"/>
      <c r="BX9" s="61"/>
      <c r="BY9" s="61"/>
      <c r="BZ9" s="61"/>
      <c r="CA9" s="61"/>
      <c r="CB9" s="61"/>
      <c r="CC9" s="61"/>
      <c r="CD9" s="61"/>
    </row>
    <row r="10" spans="1:82" x14ac:dyDescent="0.4">
      <c r="A10" s="61"/>
      <c r="B10" s="61"/>
      <c r="C10" s="61"/>
      <c r="D10" s="61"/>
      <c r="E10" s="61"/>
      <c r="F10" s="61"/>
      <c r="H10" s="65"/>
      <c r="I10" s="65" t="str">
        <f xml:space="preserve"> _xll.EPMOlapMemberO("[LOCID].[].[HD_DC_US_W]","","HD_DC_US_W","","000")</f>
        <v>HD_DC_US_W</v>
      </c>
      <c r="J10" s="65" t="str">
        <f xml:space="preserve"> _xll.EPMOlapMemberO("[KEY_FIGURES].[].[CONSENSUSDEMAND]","","Consensus Demand without Promotion","","000")</f>
        <v>Consensus Demand without Promotion</v>
      </c>
      <c r="K10" s="68">
        <v>93.5</v>
      </c>
      <c r="L10" s="68">
        <v>57</v>
      </c>
      <c r="M10" s="68">
        <v>58</v>
      </c>
      <c r="N10" s="68">
        <v>100</v>
      </c>
      <c r="O10" s="68">
        <v>34.991999999999997</v>
      </c>
      <c r="P10" s="68">
        <v>57.994999999999997</v>
      </c>
      <c r="Q10" s="68">
        <v>99.745000000000005</v>
      </c>
      <c r="R10" s="68">
        <v>37.75</v>
      </c>
      <c r="S10" s="68">
        <v>85.5</v>
      </c>
      <c r="T10" s="68"/>
      <c r="U10" s="68"/>
      <c r="X10" s="61"/>
      <c r="Y10" s="61"/>
      <c r="Z10" s="61"/>
      <c r="AA10" s="61"/>
      <c r="AB10" s="61"/>
      <c r="AC10" s="61"/>
      <c r="AD10" s="61"/>
      <c r="AE10" s="61"/>
      <c r="AF10" s="61"/>
      <c r="AG10" s="61"/>
      <c r="AH10" s="61"/>
      <c r="AI10" s="61"/>
      <c r="AJ10" s="61"/>
      <c r="AK10" s="61"/>
      <c r="AL10" s="61"/>
      <c r="AM10" s="61"/>
      <c r="AN10" s="61"/>
      <c r="AO10" s="61"/>
      <c r="AP10" s="61"/>
      <c r="AQ10" s="61"/>
      <c r="AR10" s="61"/>
      <c r="AS10" s="61"/>
      <c r="AT10" s="61"/>
      <c r="AU10" s="61"/>
      <c r="AV10" s="61"/>
      <c r="AW10" s="61"/>
      <c r="AX10" s="61"/>
      <c r="AY10" s="61"/>
      <c r="AZ10" s="61"/>
      <c r="BA10" s="61"/>
      <c r="BB10" s="61"/>
      <c r="BC10" s="61"/>
      <c r="BD10" s="61"/>
      <c r="BE10" s="61"/>
      <c r="BF10" s="61"/>
      <c r="BG10" s="61"/>
      <c r="BH10" s="61"/>
      <c r="BI10" s="61"/>
      <c r="BJ10" s="61"/>
      <c r="BK10" s="61"/>
      <c r="BL10" s="61"/>
      <c r="BM10" s="61"/>
      <c r="BN10" s="61"/>
      <c r="BO10" s="61"/>
      <c r="BP10" s="61"/>
      <c r="BQ10" s="61"/>
      <c r="BR10" s="61"/>
      <c r="BS10" s="61"/>
      <c r="BT10" s="61"/>
      <c r="BU10" s="61"/>
      <c r="BV10" s="61"/>
      <c r="BW10" s="61"/>
      <c r="BX10" s="61"/>
      <c r="BY10" s="61"/>
      <c r="BZ10" s="61"/>
      <c r="CA10" s="61"/>
      <c r="CB10" s="61"/>
      <c r="CC10" s="61"/>
      <c r="CD10" s="61"/>
    </row>
    <row r="11" spans="1:82" x14ac:dyDescent="0.4">
      <c r="A11" s="61"/>
      <c r="B11" s="61"/>
      <c r="C11" s="61"/>
      <c r="D11" s="61"/>
      <c r="E11" s="61"/>
      <c r="F11" s="61"/>
      <c r="X11" s="61"/>
      <c r="Y11" s="61"/>
      <c r="Z11" s="61"/>
      <c r="AA11" s="61"/>
      <c r="AB11" s="61"/>
      <c r="AC11" s="61"/>
      <c r="AD11" s="61"/>
      <c r="AE11" s="61"/>
      <c r="AF11" s="61"/>
      <c r="AG11" s="61"/>
      <c r="AH11" s="61"/>
      <c r="AI11" s="61"/>
      <c r="AJ11" s="61"/>
      <c r="AK11" s="61"/>
      <c r="AL11" s="61"/>
      <c r="AM11" s="61"/>
      <c r="AN11" s="61"/>
      <c r="AO11" s="61"/>
      <c r="AP11" s="61"/>
      <c r="AQ11" s="61"/>
      <c r="AR11" s="61"/>
      <c r="AS11" s="61"/>
      <c r="AT11" s="61"/>
      <c r="AU11" s="61"/>
      <c r="AV11" s="61"/>
      <c r="AW11" s="61"/>
      <c r="AX11" s="61"/>
      <c r="AY11" s="61"/>
      <c r="AZ11" s="61"/>
      <c r="BA11" s="61"/>
      <c r="BB11" s="61"/>
      <c r="BC11" s="61"/>
      <c r="BD11" s="61"/>
      <c r="BE11" s="61"/>
      <c r="BF11" s="61"/>
      <c r="BG11" s="61"/>
      <c r="BH11" s="61"/>
      <c r="BI11" s="61"/>
      <c r="BJ11" s="61"/>
      <c r="BK11" s="61"/>
      <c r="BL11" s="61"/>
      <c r="BM11" s="61"/>
      <c r="BN11" s="61"/>
      <c r="BO11" s="61"/>
      <c r="BP11" s="61"/>
      <c r="BQ11" s="61"/>
      <c r="BR11" s="61"/>
      <c r="BS11" s="61"/>
      <c r="BT11" s="61"/>
      <c r="BU11" s="61"/>
      <c r="BV11" s="61"/>
      <c r="BW11" s="61"/>
      <c r="BX11" s="61"/>
      <c r="BY11" s="61"/>
      <c r="BZ11" s="61"/>
      <c r="CA11" s="61"/>
      <c r="CB11" s="61"/>
      <c r="CC11" s="61"/>
      <c r="CD11" s="61"/>
    </row>
    <row r="12" spans="1:82" x14ac:dyDescent="0.4">
      <c r="A12" s="61"/>
      <c r="B12" s="61"/>
      <c r="C12" s="61"/>
      <c r="D12" s="61"/>
      <c r="E12" s="61"/>
      <c r="F12" s="61"/>
      <c r="X12" s="61"/>
      <c r="Y12" s="61"/>
      <c r="Z12" s="61"/>
      <c r="AA12" s="61"/>
      <c r="AB12" s="61"/>
      <c r="AC12" s="61"/>
      <c r="AD12" s="61"/>
      <c r="AE12" s="61"/>
      <c r="AF12" s="61"/>
      <c r="AG12" s="61"/>
      <c r="AH12" s="61"/>
      <c r="AI12" s="61"/>
      <c r="AJ12" s="61"/>
      <c r="AK12" s="61"/>
      <c r="AL12" s="61"/>
      <c r="AM12" s="61"/>
      <c r="AN12" s="61"/>
      <c r="AO12" s="61"/>
      <c r="AP12" s="61"/>
      <c r="AQ12" s="61"/>
      <c r="AR12" s="61"/>
      <c r="AS12" s="61"/>
      <c r="AT12" s="61"/>
      <c r="AU12" s="61"/>
      <c r="AV12" s="61"/>
      <c r="AW12" s="61"/>
      <c r="AX12" s="61"/>
      <c r="AY12" s="61"/>
      <c r="AZ12" s="61"/>
      <c r="BA12" s="61"/>
      <c r="BB12" s="61"/>
      <c r="BC12" s="61"/>
      <c r="BD12" s="61"/>
      <c r="BE12" s="61"/>
      <c r="BF12" s="61"/>
      <c r="BG12" s="61"/>
      <c r="BH12" s="61"/>
      <c r="BI12" s="61"/>
      <c r="BJ12" s="61"/>
      <c r="BK12" s="61"/>
      <c r="BL12" s="61"/>
      <c r="BM12" s="61"/>
      <c r="BN12" s="61"/>
      <c r="BO12" s="61"/>
      <c r="BP12" s="61"/>
      <c r="BQ12" s="61"/>
      <c r="BR12" s="61"/>
      <c r="BS12" s="61"/>
      <c r="BT12" s="61"/>
      <c r="BU12" s="61"/>
      <c r="BV12" s="61"/>
      <c r="BW12" s="61"/>
      <c r="BX12" s="61"/>
      <c r="BY12" s="61"/>
      <c r="BZ12" s="61"/>
      <c r="CA12" s="61"/>
      <c r="CB12" s="61"/>
      <c r="CC12" s="61"/>
      <c r="CD12" s="61"/>
    </row>
    <row r="13" spans="1:82" x14ac:dyDescent="0.4">
      <c r="A13" s="61"/>
      <c r="B13" s="61"/>
      <c r="C13" s="61"/>
      <c r="D13" s="61"/>
      <c r="E13" s="61"/>
      <c r="F13" s="61"/>
      <c r="X13" s="61"/>
      <c r="Y13" s="61"/>
      <c r="Z13" s="61"/>
      <c r="AA13" s="61"/>
      <c r="AB13" s="61"/>
      <c r="AC13" s="61"/>
      <c r="AD13" s="61"/>
      <c r="AE13" s="61"/>
      <c r="AF13" s="61"/>
      <c r="AG13" s="61"/>
      <c r="AH13" s="61"/>
      <c r="AI13" s="61"/>
      <c r="AJ13" s="61"/>
      <c r="AK13" s="61"/>
      <c r="AL13" s="61"/>
      <c r="AM13" s="61"/>
      <c r="AN13" s="61"/>
      <c r="AO13" s="61"/>
      <c r="AP13" s="61"/>
      <c r="AQ13" s="61"/>
      <c r="AR13" s="61"/>
      <c r="AS13" s="61"/>
      <c r="AT13" s="61"/>
      <c r="AU13" s="61"/>
      <c r="AV13" s="61"/>
      <c r="AW13" s="61"/>
      <c r="AX13" s="61"/>
      <c r="AY13" s="61"/>
      <c r="AZ13" s="61"/>
      <c r="BA13" s="61"/>
      <c r="BB13" s="61"/>
      <c r="BC13" s="61"/>
      <c r="BD13" s="61"/>
      <c r="BE13" s="61"/>
      <c r="BF13" s="61"/>
      <c r="BG13" s="61"/>
      <c r="BH13" s="61"/>
      <c r="BI13" s="61"/>
      <c r="BJ13" s="61"/>
      <c r="BK13" s="61"/>
      <c r="BL13" s="61"/>
      <c r="BM13" s="61"/>
      <c r="BN13" s="61"/>
      <c r="BO13" s="61"/>
      <c r="BP13" s="61"/>
      <c r="BQ13" s="61"/>
      <c r="BR13" s="61"/>
      <c r="BS13" s="61"/>
      <c r="BT13" s="61"/>
      <c r="BU13" s="61"/>
      <c r="BV13" s="61"/>
      <c r="BW13" s="61"/>
      <c r="BX13" s="61"/>
      <c r="BY13" s="61"/>
      <c r="BZ13" s="61"/>
      <c r="CA13" s="61"/>
      <c r="CB13" s="61"/>
      <c r="CC13" s="61"/>
      <c r="CD13" s="61"/>
    </row>
    <row r="14" spans="1:82" x14ac:dyDescent="0.4">
      <c r="A14" s="61"/>
      <c r="B14" s="61"/>
      <c r="C14" s="61"/>
      <c r="D14" s="61"/>
      <c r="E14" s="61"/>
      <c r="F14" s="61"/>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c r="AW14" s="61"/>
      <c r="AX14" s="61"/>
      <c r="AY14" s="61"/>
      <c r="AZ14" s="61"/>
      <c r="BA14" s="61"/>
      <c r="BB14" s="61"/>
      <c r="BC14" s="61"/>
      <c r="BD14" s="61"/>
      <c r="BE14" s="61"/>
      <c r="BF14" s="61"/>
      <c r="BG14" s="61"/>
      <c r="BH14" s="61"/>
      <c r="BI14" s="61"/>
      <c r="BJ14" s="61"/>
      <c r="BK14" s="61"/>
      <c r="BL14" s="61"/>
      <c r="BM14" s="61"/>
      <c r="BN14" s="61"/>
      <c r="BO14" s="61"/>
      <c r="BP14" s="61"/>
      <c r="BQ14" s="61"/>
      <c r="BR14" s="61"/>
      <c r="BS14" s="61"/>
      <c r="BT14" s="61"/>
      <c r="BU14" s="61"/>
      <c r="BV14" s="61"/>
      <c r="BW14" s="61"/>
      <c r="BX14" s="61"/>
      <c r="BY14" s="61"/>
      <c r="BZ14" s="61"/>
      <c r="CA14" s="61"/>
      <c r="CB14" s="61"/>
      <c r="CC14" s="61"/>
      <c r="CD14" s="61"/>
    </row>
    <row r="15" spans="1:82" x14ac:dyDescent="0.4">
      <c r="A15" s="61"/>
      <c r="B15" s="61"/>
      <c r="C15" s="61"/>
      <c r="D15" s="61"/>
      <c r="E15" s="61"/>
      <c r="F15" s="61"/>
      <c r="X15" s="61"/>
      <c r="Y15" s="61"/>
      <c r="Z15" s="61"/>
      <c r="AA15" s="61"/>
      <c r="AB15" s="61"/>
      <c r="AC15" s="61"/>
      <c r="AD15" s="61"/>
      <c r="AE15" s="61"/>
      <c r="AF15" s="61"/>
      <c r="AG15" s="61"/>
      <c r="AH15" s="61"/>
      <c r="AI15" s="61"/>
      <c r="AJ15" s="61"/>
      <c r="AK15" s="61"/>
      <c r="AL15" s="61"/>
      <c r="AM15" s="61"/>
      <c r="AN15" s="61"/>
      <c r="AO15" s="61"/>
      <c r="AP15" s="61"/>
      <c r="AQ15" s="61"/>
      <c r="AR15" s="61"/>
      <c r="AS15" s="61"/>
      <c r="AT15" s="61"/>
      <c r="AU15" s="61"/>
      <c r="AV15" s="61"/>
      <c r="AW15" s="61"/>
      <c r="AX15" s="61"/>
      <c r="AY15" s="61"/>
      <c r="AZ15" s="61"/>
      <c r="BA15" s="61"/>
      <c r="BB15" s="61"/>
      <c r="BC15" s="61"/>
      <c r="BD15" s="61"/>
      <c r="BE15" s="61"/>
      <c r="BF15" s="61"/>
      <c r="BG15" s="61"/>
      <c r="BH15" s="61"/>
      <c r="BI15" s="61"/>
      <c r="BJ15" s="61"/>
      <c r="BK15" s="61"/>
      <c r="BL15" s="61"/>
      <c r="BM15" s="61"/>
      <c r="BN15" s="61"/>
      <c r="BO15" s="61"/>
      <c r="BP15" s="61"/>
      <c r="BQ15" s="61"/>
      <c r="BR15" s="61"/>
      <c r="BS15" s="61"/>
      <c r="BT15" s="61"/>
      <c r="BU15" s="61"/>
      <c r="BV15" s="61"/>
      <c r="BW15" s="61"/>
      <c r="BX15" s="61"/>
      <c r="BY15" s="61"/>
      <c r="BZ15" s="61"/>
      <c r="CA15" s="61"/>
      <c r="CB15" s="61"/>
      <c r="CC15" s="61"/>
      <c r="CD15" s="61"/>
    </row>
    <row r="16" spans="1:82" x14ac:dyDescent="0.4">
      <c r="A16" s="61"/>
      <c r="B16" s="61"/>
      <c r="C16" s="61"/>
      <c r="D16" s="61"/>
      <c r="E16" s="61"/>
      <c r="F16" s="61"/>
      <c r="X16" s="61"/>
      <c r="Y16" s="61"/>
      <c r="Z16" s="61"/>
      <c r="AA16" s="61"/>
      <c r="AB16" s="61"/>
      <c r="AC16" s="61"/>
      <c r="AD16" s="61"/>
      <c r="AE16" s="61"/>
      <c r="AF16" s="61"/>
      <c r="AG16" s="61"/>
      <c r="AH16" s="61"/>
      <c r="AI16" s="61"/>
      <c r="AJ16" s="61"/>
      <c r="AK16" s="61"/>
      <c r="AL16" s="61"/>
      <c r="AM16" s="61"/>
      <c r="AN16" s="61"/>
      <c r="AO16" s="61"/>
      <c r="AP16" s="61"/>
      <c r="AQ16" s="61"/>
      <c r="AR16" s="61"/>
      <c r="AS16" s="61"/>
      <c r="AT16" s="61"/>
      <c r="AU16" s="61"/>
      <c r="AV16" s="61"/>
      <c r="AW16" s="61"/>
      <c r="AX16" s="61"/>
      <c r="AY16" s="61"/>
      <c r="AZ16" s="61"/>
      <c r="BA16" s="61"/>
      <c r="BB16" s="61"/>
      <c r="BC16" s="61"/>
      <c r="BD16" s="61"/>
      <c r="BE16" s="61"/>
      <c r="BF16" s="61"/>
      <c r="BG16" s="61"/>
      <c r="BH16" s="61"/>
      <c r="BI16" s="61"/>
      <c r="BJ16" s="61"/>
      <c r="BK16" s="61"/>
      <c r="BL16" s="61"/>
      <c r="BM16" s="61"/>
      <c r="BN16" s="61"/>
      <c r="BO16" s="61"/>
      <c r="BP16" s="61"/>
      <c r="BQ16" s="61"/>
      <c r="BR16" s="61"/>
      <c r="BS16" s="61"/>
      <c r="BT16" s="61"/>
      <c r="BU16" s="61"/>
      <c r="BV16" s="61"/>
      <c r="BW16" s="61"/>
      <c r="BX16" s="61"/>
      <c r="BY16" s="61"/>
      <c r="BZ16" s="61"/>
      <c r="CA16" s="61"/>
      <c r="CB16" s="61"/>
      <c r="CC16" s="61"/>
      <c r="CD16" s="61"/>
    </row>
    <row r="17" spans="1:82" x14ac:dyDescent="0.4">
      <c r="A17" s="61"/>
      <c r="B17" s="61"/>
      <c r="C17" s="61"/>
      <c r="D17" s="61"/>
      <c r="E17" s="61"/>
      <c r="F17" s="61"/>
      <c r="X17" s="61"/>
      <c r="Y17" s="61"/>
      <c r="Z17" s="61"/>
      <c r="AA17" s="61"/>
      <c r="AB17" s="61"/>
      <c r="AC17" s="61"/>
      <c r="AD17" s="61"/>
      <c r="AE17" s="61"/>
      <c r="AF17" s="61"/>
      <c r="AG17" s="61"/>
      <c r="AH17" s="61"/>
      <c r="AI17" s="61"/>
      <c r="AJ17" s="61"/>
      <c r="AK17" s="61"/>
      <c r="AL17" s="61"/>
      <c r="AM17" s="61"/>
      <c r="AN17" s="61"/>
      <c r="AO17" s="61"/>
      <c r="AP17" s="61"/>
      <c r="AQ17" s="61"/>
      <c r="AR17" s="61"/>
      <c r="AS17" s="61"/>
      <c r="AT17" s="61"/>
      <c r="AU17" s="61"/>
      <c r="AV17" s="61"/>
      <c r="AW17" s="61"/>
      <c r="AX17" s="61"/>
      <c r="AY17" s="61"/>
      <c r="AZ17" s="61"/>
      <c r="BA17" s="61"/>
      <c r="BB17" s="61"/>
      <c r="BC17" s="61"/>
      <c r="BD17" s="61"/>
      <c r="BE17" s="61"/>
      <c r="BF17" s="61"/>
      <c r="BG17" s="61"/>
      <c r="BH17" s="61"/>
      <c r="BI17" s="61"/>
      <c r="BJ17" s="61"/>
      <c r="BK17" s="61"/>
      <c r="BL17" s="61"/>
      <c r="BM17" s="61"/>
      <c r="BN17" s="61"/>
      <c r="BO17" s="61"/>
      <c r="BP17" s="61"/>
      <c r="BQ17" s="61"/>
      <c r="BR17" s="61"/>
      <c r="BS17" s="61"/>
      <c r="BT17" s="61"/>
      <c r="BU17" s="61"/>
      <c r="BV17" s="61"/>
      <c r="BW17" s="61"/>
      <c r="BX17" s="61"/>
      <c r="BY17" s="61"/>
      <c r="BZ17" s="61"/>
      <c r="CA17" s="61"/>
      <c r="CB17" s="61"/>
      <c r="CC17" s="61"/>
      <c r="CD17" s="61"/>
    </row>
    <row r="18" spans="1:82" x14ac:dyDescent="0.4">
      <c r="A18" s="61"/>
      <c r="B18" s="61"/>
      <c r="C18" s="61"/>
      <c r="D18" s="61"/>
      <c r="E18" s="61"/>
      <c r="F18" s="61"/>
      <c r="X18" s="61"/>
      <c r="Y18" s="61"/>
      <c r="Z18" s="61"/>
      <c r="AA18" s="61"/>
      <c r="AB18" s="61"/>
      <c r="AC18" s="61"/>
      <c r="AD18" s="61"/>
      <c r="AE18" s="61"/>
      <c r="AF18" s="61"/>
      <c r="AG18" s="61"/>
      <c r="AH18" s="61"/>
      <c r="AI18" s="61"/>
      <c r="AJ18" s="61"/>
      <c r="AK18" s="61"/>
      <c r="AL18" s="61"/>
      <c r="AM18" s="61"/>
      <c r="AN18" s="61"/>
      <c r="AO18" s="61"/>
      <c r="AP18" s="61"/>
      <c r="AQ18" s="61"/>
      <c r="AR18" s="61"/>
      <c r="AS18" s="61"/>
      <c r="AT18" s="61"/>
      <c r="AU18" s="61"/>
      <c r="AV18" s="61"/>
      <c r="AW18" s="61"/>
      <c r="AX18" s="61"/>
      <c r="AY18" s="61"/>
      <c r="AZ18" s="61"/>
      <c r="BA18" s="61"/>
      <c r="BB18" s="61"/>
      <c r="BC18" s="61"/>
      <c r="BD18" s="61"/>
      <c r="BE18" s="61"/>
      <c r="BF18" s="61"/>
      <c r="BG18" s="61"/>
      <c r="BH18" s="61"/>
      <c r="BI18" s="61"/>
      <c r="BJ18" s="61"/>
      <c r="BK18" s="61"/>
      <c r="BL18" s="61"/>
      <c r="BM18" s="61"/>
      <c r="BN18" s="61"/>
      <c r="BO18" s="61"/>
      <c r="BP18" s="61"/>
      <c r="BQ18" s="61"/>
      <c r="BR18" s="61"/>
      <c r="BS18" s="61"/>
      <c r="BT18" s="61"/>
      <c r="BU18" s="61"/>
      <c r="BV18" s="61"/>
      <c r="BW18" s="61"/>
      <c r="BX18" s="61"/>
      <c r="BY18" s="61"/>
      <c r="BZ18" s="61"/>
      <c r="CA18" s="61"/>
      <c r="CB18" s="61"/>
      <c r="CC18" s="61"/>
      <c r="CD18" s="61"/>
    </row>
    <row r="19" spans="1:82" x14ac:dyDescent="0.4">
      <c r="A19" s="61"/>
      <c r="B19" s="61"/>
      <c r="C19" s="61"/>
      <c r="D19" s="61"/>
      <c r="E19" s="61"/>
      <c r="F19" s="61"/>
      <c r="X19" s="61"/>
      <c r="Y19" s="61"/>
      <c r="Z19" s="61"/>
      <c r="AA19" s="61"/>
      <c r="AB19" s="61"/>
      <c r="AC19" s="61"/>
      <c r="AD19" s="61"/>
      <c r="AE19" s="61"/>
      <c r="AF19" s="61"/>
      <c r="AG19" s="61"/>
      <c r="AH19" s="61"/>
      <c r="AI19" s="61"/>
      <c r="AJ19" s="61"/>
      <c r="AK19" s="61"/>
      <c r="AL19" s="61"/>
      <c r="AM19" s="61"/>
      <c r="AN19" s="61"/>
      <c r="AO19" s="61"/>
      <c r="AP19" s="61"/>
      <c r="AQ19" s="61"/>
      <c r="AR19" s="61"/>
      <c r="AS19" s="61"/>
      <c r="AT19" s="61"/>
      <c r="AU19" s="61"/>
      <c r="AV19" s="61"/>
      <c r="AW19" s="61"/>
      <c r="AX19" s="61"/>
      <c r="AY19" s="61"/>
      <c r="AZ19" s="61"/>
      <c r="BA19" s="61"/>
      <c r="BB19" s="61"/>
      <c r="BC19" s="61"/>
      <c r="BD19" s="61"/>
      <c r="BE19" s="61"/>
      <c r="BF19" s="61"/>
      <c r="BG19" s="61"/>
      <c r="BH19" s="61"/>
      <c r="BI19" s="61"/>
      <c r="BJ19" s="61"/>
      <c r="BK19" s="61"/>
      <c r="BL19" s="61"/>
      <c r="BM19" s="61"/>
      <c r="BN19" s="61"/>
      <c r="BO19" s="61"/>
      <c r="BP19" s="61"/>
      <c r="BQ19" s="61"/>
      <c r="BR19" s="61"/>
      <c r="BS19" s="61"/>
      <c r="BT19" s="61"/>
      <c r="BU19" s="61"/>
      <c r="BV19" s="61"/>
      <c r="BW19" s="61"/>
      <c r="BX19" s="61"/>
      <c r="BY19" s="61"/>
      <c r="BZ19" s="61"/>
      <c r="CA19" s="61"/>
      <c r="CB19" s="61"/>
      <c r="CC19" s="61"/>
      <c r="CD19" s="61"/>
    </row>
    <row r="20" spans="1:82" x14ac:dyDescent="0.4">
      <c r="A20" s="61"/>
      <c r="B20" s="61"/>
      <c r="C20" s="61"/>
      <c r="D20" s="61"/>
      <c r="E20" s="61"/>
      <c r="F20" s="61"/>
      <c r="X20" s="61"/>
      <c r="Y20" s="61"/>
      <c r="Z20" s="61"/>
      <c r="AA20" s="61"/>
      <c r="AB20" s="61"/>
      <c r="AC20" s="61"/>
      <c r="AD20" s="61"/>
      <c r="AE20" s="61"/>
      <c r="AF20" s="61"/>
      <c r="AG20" s="61"/>
      <c r="AH20" s="61"/>
      <c r="AI20" s="61"/>
      <c r="AJ20" s="61"/>
      <c r="AK20" s="61"/>
      <c r="AL20" s="61"/>
      <c r="AM20" s="61"/>
      <c r="AN20" s="61"/>
      <c r="AO20" s="61"/>
      <c r="AP20" s="61"/>
      <c r="AQ20" s="61"/>
      <c r="AR20" s="61"/>
      <c r="AS20" s="61"/>
      <c r="AT20" s="61"/>
      <c r="AU20" s="61"/>
      <c r="AV20" s="61"/>
      <c r="AW20" s="61"/>
      <c r="AX20" s="61"/>
      <c r="AY20" s="61"/>
      <c r="AZ20" s="61"/>
      <c r="BA20" s="61"/>
      <c r="BB20" s="61"/>
      <c r="BC20" s="61"/>
      <c r="BD20" s="61"/>
      <c r="BE20" s="61"/>
      <c r="BF20" s="61"/>
      <c r="BG20" s="61"/>
      <c r="BH20" s="61"/>
      <c r="BI20" s="61"/>
      <c r="BJ20" s="61"/>
      <c r="BK20" s="61"/>
      <c r="BL20" s="61"/>
      <c r="BM20" s="61"/>
      <c r="BN20" s="61"/>
      <c r="BO20" s="61"/>
      <c r="BP20" s="61"/>
      <c r="BQ20" s="61"/>
      <c r="BR20" s="61"/>
      <c r="BS20" s="61"/>
      <c r="BT20" s="61"/>
      <c r="BU20" s="61"/>
      <c r="BV20" s="61"/>
      <c r="BW20" s="61"/>
      <c r="BX20" s="61"/>
      <c r="BY20" s="61"/>
      <c r="BZ20" s="61"/>
      <c r="CA20" s="61"/>
      <c r="CB20" s="61"/>
      <c r="CC20" s="61"/>
      <c r="CD20" s="61"/>
    </row>
    <row r="21" spans="1:82" x14ac:dyDescent="0.4">
      <c r="A21" s="61"/>
      <c r="B21" s="61"/>
      <c r="C21" s="61"/>
      <c r="D21" s="61"/>
      <c r="E21" s="61"/>
      <c r="F21" s="61"/>
      <c r="X21" s="61"/>
      <c r="Y21" s="61"/>
      <c r="Z21" s="61"/>
      <c r="AA21" s="61"/>
      <c r="AB21" s="61"/>
      <c r="AC21" s="61"/>
      <c r="AD21" s="61"/>
      <c r="AE21" s="61"/>
      <c r="AF21" s="61"/>
      <c r="AG21" s="61"/>
      <c r="AH21" s="61"/>
      <c r="AI21" s="61"/>
      <c r="AJ21" s="61"/>
      <c r="AK21" s="61"/>
      <c r="AL21" s="61"/>
      <c r="AM21" s="61"/>
      <c r="AN21" s="61"/>
      <c r="AO21" s="61"/>
      <c r="AP21" s="61"/>
      <c r="AQ21" s="61"/>
      <c r="AR21" s="61"/>
      <c r="AS21" s="61"/>
      <c r="AT21" s="61"/>
      <c r="AU21" s="61"/>
      <c r="AV21" s="61"/>
      <c r="AW21" s="61"/>
      <c r="AX21" s="61"/>
      <c r="AY21" s="61"/>
      <c r="AZ21" s="61"/>
      <c r="BA21" s="61"/>
      <c r="BB21" s="61"/>
      <c r="BC21" s="61"/>
      <c r="BD21" s="61"/>
      <c r="BE21" s="61"/>
      <c r="BF21" s="61"/>
      <c r="BG21" s="61"/>
      <c r="BH21" s="61"/>
      <c r="BI21" s="61"/>
      <c r="BJ21" s="61"/>
      <c r="BK21" s="61"/>
      <c r="BL21" s="61"/>
      <c r="BM21" s="61"/>
      <c r="BN21" s="61"/>
      <c r="BO21" s="61"/>
      <c r="BP21" s="61"/>
      <c r="BQ21" s="61"/>
      <c r="BR21" s="61"/>
      <c r="BS21" s="61"/>
      <c r="BT21" s="61"/>
      <c r="BU21" s="61"/>
      <c r="BV21" s="61"/>
      <c r="BW21" s="61"/>
      <c r="BX21" s="61"/>
      <c r="BY21" s="61"/>
      <c r="BZ21" s="61"/>
      <c r="CA21" s="61"/>
      <c r="CB21" s="61"/>
      <c r="CC21" s="61"/>
      <c r="CD21" s="61"/>
    </row>
    <row r="22" spans="1:82" x14ac:dyDescent="0.4">
      <c r="A22" s="61"/>
      <c r="B22" s="61"/>
      <c r="C22" s="61"/>
      <c r="D22" s="61"/>
      <c r="E22" s="61"/>
      <c r="F22" s="61"/>
      <c r="X22" s="61"/>
      <c r="Y22" s="61"/>
      <c r="Z22" s="61"/>
      <c r="AA22" s="61"/>
      <c r="AB22" s="61"/>
      <c r="AC22" s="61"/>
      <c r="AD22" s="61"/>
      <c r="AE22" s="61"/>
      <c r="AF22" s="61"/>
      <c r="AG22" s="61"/>
      <c r="AH22" s="61"/>
      <c r="AI22" s="61"/>
      <c r="AJ22" s="61"/>
      <c r="AK22" s="61"/>
      <c r="AL22" s="61"/>
      <c r="AM22" s="61"/>
      <c r="AN22" s="61"/>
      <c r="AO22" s="61"/>
      <c r="AP22" s="61"/>
      <c r="AQ22" s="61"/>
      <c r="AR22" s="61"/>
      <c r="AS22" s="61"/>
      <c r="AT22" s="61"/>
      <c r="AU22" s="61"/>
      <c r="AV22" s="61"/>
      <c r="AW22" s="61"/>
      <c r="AX22" s="61"/>
      <c r="AY22" s="61"/>
      <c r="AZ22" s="61"/>
      <c r="BA22" s="61"/>
      <c r="BB22" s="61"/>
      <c r="BC22" s="61"/>
      <c r="BD22" s="61"/>
      <c r="BE22" s="61"/>
      <c r="BF22" s="61"/>
      <c r="BG22" s="61"/>
      <c r="BH22" s="61"/>
      <c r="BI22" s="61"/>
      <c r="BJ22" s="61"/>
      <c r="BK22" s="61"/>
      <c r="BL22" s="61"/>
      <c r="BM22" s="61"/>
      <c r="BN22" s="61"/>
      <c r="BO22" s="61"/>
      <c r="BP22" s="61"/>
      <c r="BQ22" s="61"/>
      <c r="BR22" s="61"/>
      <c r="BS22" s="61"/>
      <c r="BT22" s="61"/>
      <c r="BU22" s="61"/>
      <c r="BV22" s="61"/>
      <c r="BW22" s="61"/>
      <c r="BX22" s="61"/>
      <c r="BY22" s="61"/>
      <c r="BZ22" s="61"/>
      <c r="CA22" s="61"/>
      <c r="CB22" s="61"/>
      <c r="CC22" s="61"/>
      <c r="CD22" s="61"/>
    </row>
    <row r="23" spans="1:82" x14ac:dyDescent="0.4">
      <c r="A23" s="61"/>
      <c r="B23" s="61"/>
      <c r="C23" s="61"/>
      <c r="D23" s="61"/>
      <c r="E23" s="61"/>
      <c r="F23" s="61"/>
      <c r="X23" s="61"/>
      <c r="Y23" s="61"/>
      <c r="Z23" s="61"/>
      <c r="AA23" s="61"/>
      <c r="AB23" s="61"/>
      <c r="AC23" s="61"/>
      <c r="AD23" s="61"/>
      <c r="AE23" s="61"/>
      <c r="AF23" s="61"/>
      <c r="AG23" s="61"/>
      <c r="AH23" s="61"/>
      <c r="AI23" s="61"/>
      <c r="AJ23" s="61"/>
      <c r="AK23" s="61"/>
      <c r="AL23" s="61"/>
      <c r="AM23" s="61"/>
      <c r="AN23" s="61"/>
      <c r="AO23" s="61"/>
      <c r="AP23" s="61"/>
      <c r="AQ23" s="61"/>
      <c r="AR23" s="61"/>
      <c r="AS23" s="61"/>
      <c r="AT23" s="61"/>
      <c r="AU23" s="61"/>
      <c r="AV23" s="61"/>
      <c r="AW23" s="61"/>
      <c r="AX23" s="61"/>
      <c r="AY23" s="61"/>
      <c r="AZ23" s="61"/>
      <c r="BA23" s="61"/>
      <c r="BB23" s="61"/>
      <c r="BC23" s="61"/>
      <c r="BD23" s="61"/>
      <c r="BE23" s="61"/>
      <c r="BF23" s="61"/>
      <c r="BG23" s="61"/>
      <c r="BH23" s="61"/>
      <c r="BI23" s="61"/>
      <c r="BJ23" s="61"/>
      <c r="BK23" s="61"/>
      <c r="BL23" s="61"/>
      <c r="BM23" s="61"/>
      <c r="BN23" s="61"/>
      <c r="BO23" s="61"/>
      <c r="BP23" s="61"/>
      <c r="BQ23" s="61"/>
      <c r="BR23" s="61"/>
      <c r="BS23" s="61"/>
      <c r="BT23" s="61"/>
      <c r="BU23" s="61"/>
      <c r="BV23" s="61"/>
      <c r="BW23" s="61"/>
      <c r="BX23" s="61"/>
      <c r="BY23" s="61"/>
      <c r="BZ23" s="61"/>
      <c r="CA23" s="61"/>
      <c r="CB23" s="61"/>
      <c r="CC23" s="61"/>
      <c r="CD23" s="61"/>
    </row>
    <row r="24" spans="1:82" x14ac:dyDescent="0.4">
      <c r="A24" s="61"/>
      <c r="B24" s="61"/>
      <c r="C24" s="61"/>
      <c r="D24" s="61"/>
      <c r="E24" s="61"/>
      <c r="F24" s="61"/>
      <c r="X24" s="61"/>
      <c r="Y24" s="61"/>
      <c r="Z24" s="61"/>
      <c r="AA24" s="61"/>
      <c r="AB24" s="61"/>
      <c r="AC24" s="61"/>
      <c r="AD24" s="61"/>
      <c r="AE24" s="61"/>
      <c r="AF24" s="61"/>
      <c r="AG24" s="61"/>
      <c r="AH24" s="61"/>
      <c r="AI24" s="61"/>
      <c r="AJ24" s="61"/>
      <c r="AK24" s="61"/>
      <c r="AL24" s="61"/>
      <c r="AM24" s="61"/>
      <c r="AN24" s="61"/>
      <c r="AO24" s="61"/>
      <c r="AP24" s="61"/>
      <c r="AQ24" s="61"/>
      <c r="AR24" s="61"/>
      <c r="AS24" s="61"/>
      <c r="AT24" s="61"/>
      <c r="AU24" s="61"/>
      <c r="AV24" s="61"/>
      <c r="AW24" s="61"/>
      <c r="AX24" s="61"/>
      <c r="AY24" s="61"/>
      <c r="AZ24" s="61"/>
      <c r="BA24" s="61"/>
      <c r="BB24" s="61"/>
      <c r="BC24" s="61"/>
      <c r="BD24" s="61"/>
      <c r="BE24" s="61"/>
      <c r="BF24" s="61"/>
      <c r="BG24" s="61"/>
      <c r="BH24" s="61"/>
      <c r="BI24" s="61"/>
      <c r="BJ24" s="61"/>
      <c r="BK24" s="61"/>
      <c r="BL24" s="61"/>
      <c r="BM24" s="61"/>
      <c r="BN24" s="61"/>
      <c r="BO24" s="61"/>
      <c r="BP24" s="61"/>
      <c r="BQ24" s="61"/>
      <c r="BR24" s="61"/>
      <c r="BS24" s="61"/>
      <c r="BT24" s="61"/>
      <c r="BU24" s="61"/>
      <c r="BV24" s="61"/>
      <c r="BW24" s="61"/>
      <c r="BX24" s="61"/>
      <c r="BY24" s="61"/>
      <c r="BZ24" s="61"/>
      <c r="CA24" s="61"/>
      <c r="CB24" s="61"/>
      <c r="CC24" s="61"/>
      <c r="CD24" s="61"/>
    </row>
    <row r="25" spans="1:82" x14ac:dyDescent="0.4">
      <c r="A25" s="61"/>
      <c r="B25" s="61"/>
      <c r="C25" s="61"/>
      <c r="D25" s="61"/>
      <c r="E25" s="61"/>
      <c r="F25" s="61"/>
      <c r="X25" s="61"/>
      <c r="Y25" s="61"/>
      <c r="Z25" s="61"/>
      <c r="AA25" s="61"/>
      <c r="AB25" s="61"/>
      <c r="AC25" s="61"/>
      <c r="AD25" s="61"/>
      <c r="AE25" s="61"/>
      <c r="AF25" s="61"/>
      <c r="AG25" s="61"/>
      <c r="AH25" s="61"/>
      <c r="AI25" s="61"/>
      <c r="AJ25" s="61"/>
      <c r="AK25" s="61"/>
      <c r="AL25" s="61"/>
      <c r="AM25" s="61"/>
      <c r="AN25" s="61"/>
      <c r="AO25" s="61"/>
      <c r="AP25" s="61"/>
      <c r="AQ25" s="61"/>
      <c r="AR25" s="61"/>
      <c r="AS25" s="61"/>
      <c r="AT25" s="61"/>
      <c r="AU25" s="61"/>
      <c r="AV25" s="61"/>
      <c r="AW25" s="61"/>
      <c r="AX25" s="61"/>
      <c r="AY25" s="61"/>
      <c r="AZ25" s="61"/>
      <c r="BA25" s="61"/>
      <c r="BB25" s="61"/>
      <c r="BC25" s="61"/>
      <c r="BD25" s="61"/>
      <c r="BE25" s="61"/>
      <c r="BF25" s="61"/>
      <c r="BG25" s="61"/>
      <c r="BH25" s="61"/>
      <c r="BI25" s="61"/>
      <c r="BJ25" s="61"/>
      <c r="BK25" s="61"/>
      <c r="BL25" s="61"/>
      <c r="BM25" s="61"/>
      <c r="BN25" s="61"/>
      <c r="BO25" s="61"/>
      <c r="BP25" s="61"/>
      <c r="BQ25" s="61"/>
      <c r="BR25" s="61"/>
      <c r="BS25" s="61"/>
      <c r="BT25" s="61"/>
      <c r="BU25" s="61"/>
      <c r="BV25" s="61"/>
      <c r="BW25" s="61"/>
      <c r="BX25" s="61"/>
      <c r="BY25" s="61"/>
      <c r="BZ25" s="61"/>
      <c r="CA25" s="61"/>
      <c r="CB25" s="61"/>
      <c r="CC25" s="61"/>
      <c r="CD25" s="61"/>
    </row>
    <row r="26" spans="1:82" x14ac:dyDescent="0.4">
      <c r="A26" s="61"/>
      <c r="B26" s="61"/>
      <c r="C26" s="61"/>
      <c r="D26" s="61"/>
      <c r="E26" s="61"/>
      <c r="F26" s="61"/>
      <c r="X26" s="61"/>
      <c r="Y26" s="61"/>
      <c r="Z26" s="61"/>
      <c r="AA26" s="61"/>
      <c r="AB26" s="61"/>
      <c r="AC26" s="61"/>
      <c r="AD26" s="61"/>
      <c r="AE26" s="61"/>
      <c r="AF26" s="61"/>
      <c r="AG26" s="61"/>
      <c r="AH26" s="61"/>
      <c r="AI26" s="61"/>
      <c r="AJ26" s="61"/>
      <c r="AK26" s="61"/>
      <c r="AL26" s="61"/>
      <c r="AM26" s="61"/>
      <c r="AN26" s="61"/>
      <c r="AO26" s="61"/>
      <c r="AP26" s="61"/>
      <c r="AQ26" s="61"/>
      <c r="AR26" s="61"/>
      <c r="AS26" s="61"/>
      <c r="AT26" s="61"/>
      <c r="AU26" s="61"/>
      <c r="AV26" s="61"/>
      <c r="AW26" s="61"/>
      <c r="AX26" s="61"/>
      <c r="AY26" s="61"/>
      <c r="AZ26" s="61"/>
      <c r="BA26" s="61"/>
      <c r="BB26" s="61"/>
      <c r="BC26" s="61"/>
      <c r="BD26" s="61"/>
      <c r="BE26" s="61"/>
      <c r="BF26" s="61"/>
      <c r="BG26" s="61"/>
      <c r="BH26" s="61"/>
      <c r="BI26" s="61"/>
      <c r="BJ26" s="61"/>
      <c r="BK26" s="61"/>
      <c r="BL26" s="61"/>
      <c r="BM26" s="61"/>
      <c r="BN26" s="61"/>
      <c r="BO26" s="61"/>
      <c r="BP26" s="61"/>
      <c r="BQ26" s="61"/>
      <c r="BR26" s="61"/>
      <c r="BS26" s="61"/>
      <c r="BT26" s="61"/>
      <c r="BU26" s="61"/>
      <c r="BV26" s="61"/>
      <c r="BW26" s="61"/>
      <c r="BX26" s="61"/>
      <c r="BY26" s="61"/>
      <c r="BZ26" s="61"/>
      <c r="CA26" s="61"/>
      <c r="CB26" s="61"/>
      <c r="CC26" s="61"/>
      <c r="CD26" s="61"/>
    </row>
    <row r="27" spans="1:82" x14ac:dyDescent="0.4">
      <c r="A27" s="61"/>
      <c r="B27" s="61"/>
      <c r="C27" s="61"/>
      <c r="D27" s="61"/>
      <c r="E27" s="61"/>
      <c r="F27" s="61"/>
      <c r="X27" s="61"/>
      <c r="Y27" s="61"/>
      <c r="Z27" s="61"/>
      <c r="AA27" s="61"/>
      <c r="AB27" s="61"/>
      <c r="AC27" s="61"/>
      <c r="AD27" s="61"/>
      <c r="AE27" s="61"/>
      <c r="AF27" s="61"/>
      <c r="AG27" s="61"/>
      <c r="AH27" s="61"/>
      <c r="AI27" s="61"/>
      <c r="AJ27" s="61"/>
      <c r="AK27" s="61"/>
      <c r="AL27" s="61"/>
      <c r="AM27" s="61"/>
      <c r="AN27" s="61"/>
      <c r="AO27" s="61"/>
      <c r="AP27" s="61"/>
      <c r="AQ27" s="61"/>
      <c r="AR27" s="61"/>
      <c r="AS27" s="61"/>
      <c r="AT27" s="61"/>
      <c r="AU27" s="61"/>
      <c r="AV27" s="61"/>
      <c r="AW27" s="61"/>
      <c r="AX27" s="61"/>
      <c r="AY27" s="61"/>
      <c r="AZ27" s="61"/>
      <c r="BA27" s="61"/>
      <c r="BB27" s="61"/>
      <c r="BC27" s="61"/>
      <c r="BD27" s="61"/>
      <c r="BE27" s="61"/>
      <c r="BF27" s="61"/>
      <c r="BG27" s="61"/>
      <c r="BH27" s="61"/>
      <c r="BI27" s="61"/>
      <c r="BJ27" s="61"/>
      <c r="BK27" s="61"/>
      <c r="BL27" s="61"/>
      <c r="BM27" s="61"/>
      <c r="BN27" s="61"/>
      <c r="BO27" s="61"/>
      <c r="BP27" s="61"/>
      <c r="BQ27" s="61"/>
      <c r="BR27" s="61"/>
      <c r="BS27" s="61"/>
      <c r="BT27" s="61"/>
      <c r="BU27" s="61"/>
      <c r="BV27" s="61"/>
      <c r="BW27" s="61"/>
      <c r="BX27" s="61"/>
      <c r="BY27" s="61"/>
      <c r="BZ27" s="61"/>
      <c r="CA27" s="61"/>
      <c r="CB27" s="61"/>
      <c r="CC27" s="61"/>
      <c r="CD27" s="61"/>
    </row>
    <row r="28" spans="1:82" x14ac:dyDescent="0.4">
      <c r="A28" s="61"/>
      <c r="B28" s="61"/>
      <c r="C28" s="61"/>
      <c r="D28" s="61"/>
      <c r="E28" s="61"/>
      <c r="F28" s="61"/>
      <c r="X28" s="61"/>
      <c r="Y28" s="61"/>
      <c r="Z28" s="61"/>
      <c r="AA28" s="61"/>
      <c r="AB28" s="61"/>
      <c r="AC28" s="61"/>
      <c r="AD28" s="61"/>
      <c r="AE28" s="61"/>
      <c r="AF28" s="61"/>
      <c r="AG28" s="61"/>
      <c r="AH28" s="61"/>
      <c r="AI28" s="61"/>
      <c r="AJ28" s="61"/>
      <c r="AK28" s="61"/>
      <c r="AL28" s="61"/>
      <c r="AM28" s="61"/>
      <c r="AN28" s="61"/>
      <c r="AO28" s="61"/>
      <c r="AP28" s="61"/>
      <c r="AQ28" s="61"/>
      <c r="AR28" s="61"/>
      <c r="AS28" s="61"/>
      <c r="AT28" s="61"/>
      <c r="AU28" s="61"/>
      <c r="AV28" s="61"/>
      <c r="AW28" s="61"/>
      <c r="AX28" s="61"/>
      <c r="AY28" s="61"/>
      <c r="AZ28" s="61"/>
      <c r="BA28" s="61"/>
      <c r="BB28" s="61"/>
      <c r="BC28" s="61"/>
      <c r="BD28" s="61"/>
      <c r="BE28" s="61"/>
      <c r="BF28" s="61"/>
      <c r="BG28" s="61"/>
      <c r="BH28" s="61"/>
      <c r="BI28" s="61"/>
      <c r="BJ28" s="61"/>
      <c r="BK28" s="61"/>
      <c r="BL28" s="61"/>
      <c r="BM28" s="61"/>
      <c r="BN28" s="61"/>
      <c r="BO28" s="61"/>
      <c r="BP28" s="61"/>
      <c r="BQ28" s="61"/>
      <c r="BR28" s="61"/>
      <c r="BS28" s="61"/>
      <c r="BT28" s="61"/>
      <c r="BU28" s="61"/>
      <c r="BV28" s="61"/>
      <c r="BW28" s="61"/>
      <c r="BX28" s="61"/>
      <c r="BY28" s="61"/>
      <c r="BZ28" s="61"/>
      <c r="CA28" s="61"/>
      <c r="CB28" s="61"/>
      <c r="CC28" s="61"/>
      <c r="CD28" s="61"/>
    </row>
    <row r="29" spans="1:82" x14ac:dyDescent="0.4">
      <c r="A29" s="61"/>
      <c r="B29" s="61"/>
      <c r="C29" s="61"/>
      <c r="D29" s="61"/>
      <c r="E29" s="61"/>
      <c r="F29" s="61"/>
      <c r="X29" s="61"/>
      <c r="Y29" s="61"/>
      <c r="Z29" s="61"/>
      <c r="AA29" s="61"/>
      <c r="AB29" s="61"/>
      <c r="AC29" s="61"/>
      <c r="AD29" s="61"/>
      <c r="AE29" s="61"/>
      <c r="AF29" s="61"/>
      <c r="AG29" s="61"/>
      <c r="AH29" s="61"/>
      <c r="AI29" s="61"/>
      <c r="AJ29" s="61"/>
      <c r="AK29" s="61"/>
      <c r="AL29" s="61"/>
      <c r="AM29" s="61"/>
      <c r="AN29" s="61"/>
      <c r="AO29" s="61"/>
      <c r="AP29" s="61"/>
      <c r="AQ29" s="61"/>
      <c r="AR29" s="61"/>
      <c r="AS29" s="61"/>
      <c r="AT29" s="61"/>
      <c r="AU29" s="61"/>
      <c r="AV29" s="61"/>
      <c r="AW29" s="61"/>
      <c r="AX29" s="61"/>
      <c r="AY29" s="61"/>
      <c r="AZ29" s="61"/>
      <c r="BA29" s="61"/>
      <c r="BB29" s="61"/>
      <c r="BC29" s="61"/>
      <c r="BD29" s="61"/>
      <c r="BE29" s="61"/>
      <c r="BF29" s="61"/>
      <c r="BG29" s="61"/>
      <c r="BH29" s="61"/>
      <c r="BI29" s="61"/>
      <c r="BJ29" s="61"/>
      <c r="BK29" s="61"/>
      <c r="BL29" s="61"/>
      <c r="BM29" s="61"/>
      <c r="BN29" s="61"/>
      <c r="BO29" s="61"/>
      <c r="BP29" s="61"/>
      <c r="BQ29" s="61"/>
      <c r="BR29" s="61"/>
      <c r="BS29" s="61"/>
      <c r="BT29" s="61"/>
      <c r="BU29" s="61"/>
      <c r="BV29" s="61"/>
      <c r="BW29" s="61"/>
      <c r="BX29" s="61"/>
      <c r="BY29" s="61"/>
      <c r="BZ29" s="61"/>
      <c r="CA29" s="61"/>
      <c r="CB29" s="61"/>
      <c r="CC29" s="61"/>
      <c r="CD29" s="61"/>
    </row>
    <row r="30" spans="1:82" x14ac:dyDescent="0.4">
      <c r="A30" s="61"/>
      <c r="B30" s="61"/>
      <c r="C30" s="61"/>
      <c r="D30" s="61"/>
      <c r="E30" s="61"/>
      <c r="F30" s="61"/>
      <c r="X30" s="61"/>
      <c r="Y30" s="61"/>
      <c r="Z30" s="61"/>
      <c r="AA30" s="61"/>
      <c r="AB30" s="61"/>
      <c r="AC30" s="61"/>
      <c r="AD30" s="61"/>
      <c r="AE30" s="61"/>
      <c r="AF30" s="61"/>
      <c r="AG30" s="61"/>
      <c r="AH30" s="61"/>
      <c r="AI30" s="61"/>
      <c r="AJ30" s="61"/>
      <c r="AK30" s="61"/>
      <c r="AL30" s="61"/>
      <c r="AM30" s="61"/>
      <c r="AN30" s="61"/>
      <c r="AO30" s="61"/>
      <c r="AP30" s="61"/>
      <c r="AQ30" s="61"/>
      <c r="AR30" s="61"/>
      <c r="AS30" s="61"/>
      <c r="AT30" s="61"/>
      <c r="AU30" s="61"/>
      <c r="AV30" s="61"/>
      <c r="AW30" s="61"/>
      <c r="AX30" s="61"/>
      <c r="AY30" s="61"/>
      <c r="AZ30" s="61"/>
      <c r="BA30" s="61"/>
      <c r="BB30" s="61"/>
      <c r="BC30" s="61"/>
      <c r="BD30" s="61"/>
      <c r="BE30" s="61"/>
      <c r="BF30" s="61"/>
      <c r="BG30" s="61"/>
      <c r="BH30" s="61"/>
      <c r="BI30" s="61"/>
      <c r="BJ30" s="61"/>
      <c r="BK30" s="61"/>
      <c r="BL30" s="61"/>
      <c r="BM30" s="61"/>
      <c r="BN30" s="61"/>
      <c r="BO30" s="61"/>
      <c r="BP30" s="61"/>
      <c r="BQ30" s="61"/>
      <c r="BR30" s="61"/>
      <c r="BS30" s="61"/>
      <c r="BT30" s="61"/>
      <c r="BU30" s="61"/>
      <c r="BV30" s="61"/>
      <c r="BW30" s="61"/>
      <c r="BX30" s="61"/>
      <c r="BY30" s="61"/>
      <c r="BZ30" s="61"/>
      <c r="CA30" s="61"/>
      <c r="CB30" s="61"/>
      <c r="CC30" s="61"/>
      <c r="CD30" s="61"/>
    </row>
    <row r="31" spans="1:82" x14ac:dyDescent="0.4">
      <c r="A31" s="61"/>
      <c r="B31" s="61"/>
      <c r="C31" s="61"/>
      <c r="D31" s="61"/>
      <c r="E31" s="61"/>
      <c r="F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61"/>
      <c r="AX31" s="61"/>
      <c r="AY31" s="61"/>
      <c r="AZ31" s="61"/>
      <c r="BA31" s="61"/>
      <c r="BB31" s="61"/>
      <c r="BC31" s="61"/>
      <c r="BD31" s="61"/>
      <c r="BE31" s="61"/>
      <c r="BF31" s="61"/>
      <c r="BG31" s="61"/>
      <c r="BH31" s="61"/>
      <c r="BI31" s="61"/>
      <c r="BJ31" s="61"/>
      <c r="BK31" s="61"/>
      <c r="BL31" s="61"/>
      <c r="BM31" s="61"/>
      <c r="BN31" s="61"/>
      <c r="BO31" s="61"/>
      <c r="BP31" s="61"/>
      <c r="BQ31" s="61"/>
      <c r="BR31" s="61"/>
      <c r="BS31" s="61"/>
      <c r="BT31" s="61"/>
      <c r="BU31" s="61"/>
      <c r="BV31" s="61"/>
      <c r="BW31" s="61"/>
      <c r="BX31" s="61"/>
      <c r="BY31" s="61"/>
      <c r="BZ31" s="61"/>
      <c r="CA31" s="61"/>
      <c r="CB31" s="61"/>
      <c r="CC31" s="61"/>
      <c r="CD31" s="61"/>
    </row>
    <row r="32" spans="1:82" x14ac:dyDescent="0.4">
      <c r="A32" s="61"/>
      <c r="B32" s="61"/>
      <c r="C32" s="61"/>
      <c r="D32" s="61"/>
      <c r="E32" s="61"/>
      <c r="F32" s="61"/>
      <c r="X32" s="61"/>
      <c r="Y32" s="61"/>
      <c r="Z32" s="61"/>
      <c r="AA32" s="61"/>
      <c r="AB32" s="61"/>
      <c r="AC32" s="61"/>
      <c r="AD32" s="61"/>
      <c r="AE32" s="61"/>
      <c r="AF32" s="61"/>
      <c r="AG32" s="61"/>
      <c r="AH32" s="61"/>
      <c r="AI32" s="61"/>
      <c r="AJ32" s="61"/>
      <c r="AK32" s="61"/>
      <c r="AL32" s="61"/>
      <c r="AM32" s="61"/>
      <c r="AN32" s="61"/>
      <c r="AO32" s="61"/>
      <c r="AP32" s="61"/>
      <c r="AQ32" s="61"/>
      <c r="AR32" s="61"/>
      <c r="AS32" s="61"/>
      <c r="AT32" s="61"/>
      <c r="AU32" s="61"/>
      <c r="AV32" s="61"/>
      <c r="AW32" s="61"/>
      <c r="AX32" s="61"/>
      <c r="AY32" s="61"/>
      <c r="AZ32" s="61"/>
      <c r="BA32" s="61"/>
      <c r="BB32" s="61"/>
      <c r="BC32" s="61"/>
      <c r="BD32" s="61"/>
      <c r="BE32" s="61"/>
      <c r="BF32" s="61"/>
      <c r="BG32" s="61"/>
      <c r="BH32" s="61"/>
      <c r="BI32" s="61"/>
      <c r="BJ32" s="61"/>
      <c r="BK32" s="61"/>
      <c r="BL32" s="61"/>
      <c r="BM32" s="61"/>
      <c r="BN32" s="61"/>
      <c r="BO32" s="61"/>
      <c r="BP32" s="61"/>
      <c r="BQ32" s="61"/>
      <c r="BR32" s="61"/>
      <c r="BS32" s="61"/>
      <c r="BT32" s="61"/>
      <c r="BU32" s="61"/>
      <c r="BV32" s="61"/>
      <c r="BW32" s="61"/>
      <c r="BX32" s="61"/>
      <c r="BY32" s="61"/>
      <c r="BZ32" s="61"/>
      <c r="CA32" s="61"/>
      <c r="CB32" s="61"/>
      <c r="CC32" s="61"/>
      <c r="CD32" s="61"/>
    </row>
    <row r="33" spans="1:82" x14ac:dyDescent="0.4">
      <c r="A33" s="61"/>
      <c r="B33" s="61"/>
      <c r="C33" s="61"/>
      <c r="D33" s="61"/>
      <c r="E33" s="61"/>
      <c r="F33" s="61"/>
      <c r="X33" s="61"/>
      <c r="Y33" s="61"/>
      <c r="Z33" s="61"/>
      <c r="AA33" s="61"/>
      <c r="AB33" s="61"/>
      <c r="AC33" s="61"/>
      <c r="AD33" s="61"/>
      <c r="AE33" s="61"/>
      <c r="AF33" s="61"/>
      <c r="AG33" s="61"/>
      <c r="AH33" s="61"/>
      <c r="AI33" s="61"/>
      <c r="AJ33" s="61"/>
      <c r="AK33" s="61"/>
      <c r="AL33" s="61"/>
      <c r="AM33" s="61"/>
      <c r="AN33" s="61"/>
      <c r="AO33" s="61"/>
      <c r="AP33" s="61"/>
      <c r="AQ33" s="61"/>
      <c r="AR33" s="61"/>
      <c r="AS33" s="61"/>
      <c r="AT33" s="61"/>
      <c r="AU33" s="61"/>
      <c r="AV33" s="61"/>
      <c r="AW33" s="61"/>
      <c r="AX33" s="61"/>
      <c r="AY33" s="61"/>
      <c r="AZ33" s="61"/>
      <c r="BA33" s="61"/>
      <c r="BB33" s="61"/>
      <c r="BC33" s="61"/>
      <c r="BD33" s="61"/>
      <c r="BE33" s="61"/>
      <c r="BF33" s="61"/>
      <c r="BG33" s="61"/>
      <c r="BH33" s="61"/>
      <c r="BI33" s="61"/>
      <c r="BJ33" s="61"/>
      <c r="BK33" s="61"/>
      <c r="BL33" s="61"/>
      <c r="BM33" s="61"/>
      <c r="BN33" s="61"/>
      <c r="BO33" s="61"/>
      <c r="BP33" s="61"/>
      <c r="BQ33" s="61"/>
      <c r="BR33" s="61"/>
      <c r="BS33" s="61"/>
      <c r="BT33" s="61"/>
      <c r="BU33" s="61"/>
      <c r="BV33" s="61"/>
      <c r="BW33" s="61"/>
      <c r="BX33" s="61"/>
      <c r="BY33" s="61"/>
      <c r="BZ33" s="61"/>
      <c r="CA33" s="61"/>
      <c r="CB33" s="61"/>
      <c r="CC33" s="61"/>
      <c r="CD33" s="61"/>
    </row>
    <row r="34" spans="1:82" x14ac:dyDescent="0.4">
      <c r="A34" s="61"/>
      <c r="B34" s="61"/>
      <c r="C34" s="61"/>
      <c r="D34" s="61"/>
      <c r="E34" s="61"/>
      <c r="F34" s="61"/>
      <c r="X34" s="61"/>
      <c r="Y34" s="61"/>
      <c r="Z34" s="61"/>
      <c r="AA34" s="61"/>
      <c r="AB34" s="61"/>
      <c r="AC34" s="61"/>
      <c r="AD34" s="61"/>
      <c r="AE34" s="61"/>
      <c r="AF34" s="61"/>
      <c r="AG34" s="61"/>
      <c r="AH34" s="61"/>
      <c r="AI34" s="61"/>
      <c r="AJ34" s="61"/>
      <c r="AK34" s="61"/>
      <c r="AL34" s="61"/>
      <c r="AM34" s="61"/>
      <c r="AN34" s="61"/>
      <c r="AO34" s="61"/>
      <c r="AP34" s="61"/>
      <c r="AQ34" s="61"/>
      <c r="AR34" s="61"/>
      <c r="AS34" s="61"/>
      <c r="AT34" s="61"/>
      <c r="AU34" s="61"/>
      <c r="AV34" s="61"/>
      <c r="AW34" s="61"/>
      <c r="AX34" s="61"/>
      <c r="AY34" s="61"/>
      <c r="AZ34" s="61"/>
      <c r="BA34" s="61"/>
      <c r="BB34" s="61"/>
      <c r="BC34" s="61"/>
      <c r="BD34" s="61"/>
      <c r="BE34" s="61"/>
      <c r="BF34" s="61"/>
      <c r="BG34" s="61"/>
      <c r="BH34" s="61"/>
      <c r="BI34" s="61"/>
      <c r="BJ34" s="61"/>
      <c r="BK34" s="61"/>
      <c r="BL34" s="61"/>
      <c r="BM34" s="61"/>
      <c r="BN34" s="61"/>
      <c r="BO34" s="61"/>
      <c r="BP34" s="61"/>
      <c r="BQ34" s="61"/>
      <c r="BR34" s="61"/>
      <c r="BS34" s="61"/>
      <c r="BT34" s="61"/>
      <c r="BU34" s="61"/>
      <c r="BV34" s="61"/>
      <c r="BW34" s="61"/>
      <c r="BX34" s="61"/>
      <c r="BY34" s="61"/>
      <c r="BZ34" s="61"/>
      <c r="CA34" s="61"/>
      <c r="CB34" s="61"/>
      <c r="CC34" s="61"/>
      <c r="CD34" s="61"/>
    </row>
    <row r="35" spans="1:82" x14ac:dyDescent="0.4">
      <c r="A35" s="61"/>
      <c r="B35" s="61"/>
      <c r="C35" s="61"/>
      <c r="D35" s="61"/>
      <c r="E35" s="61"/>
      <c r="F35" s="61"/>
      <c r="X35" s="61"/>
      <c r="Y35" s="61"/>
      <c r="Z35" s="61"/>
      <c r="AA35" s="61"/>
      <c r="AB35" s="61"/>
      <c r="AC35" s="61"/>
      <c r="AD35" s="61"/>
      <c r="AE35" s="61"/>
      <c r="AF35" s="61"/>
      <c r="AG35" s="61"/>
      <c r="AH35" s="61"/>
      <c r="AI35" s="61"/>
      <c r="AJ35" s="61"/>
      <c r="AK35" s="61"/>
      <c r="AL35" s="61"/>
      <c r="AM35" s="61"/>
      <c r="AN35" s="61"/>
      <c r="AO35" s="61"/>
      <c r="AP35" s="61"/>
      <c r="AQ35" s="61"/>
      <c r="AR35" s="61"/>
      <c r="AS35" s="61"/>
      <c r="AT35" s="61"/>
      <c r="AU35" s="61"/>
      <c r="AV35" s="61"/>
      <c r="AW35" s="61"/>
      <c r="AX35" s="61"/>
      <c r="AY35" s="61"/>
      <c r="AZ35" s="61"/>
      <c r="BA35" s="61"/>
      <c r="BB35" s="61"/>
      <c r="BC35" s="61"/>
      <c r="BD35" s="61"/>
      <c r="BE35" s="61"/>
      <c r="BF35" s="61"/>
      <c r="BG35" s="61"/>
      <c r="BH35" s="61"/>
      <c r="BI35" s="61"/>
      <c r="BJ35" s="61"/>
      <c r="BK35" s="61"/>
      <c r="BL35" s="61"/>
      <c r="BM35" s="61"/>
      <c r="BN35" s="61"/>
      <c r="BO35" s="61"/>
      <c r="BP35" s="61"/>
      <c r="BQ35" s="61"/>
      <c r="BR35" s="61"/>
      <c r="BS35" s="61"/>
      <c r="BT35" s="61"/>
      <c r="BU35" s="61"/>
      <c r="BV35" s="61"/>
      <c r="BW35" s="61"/>
      <c r="BX35" s="61"/>
      <c r="BY35" s="61"/>
      <c r="BZ35" s="61"/>
      <c r="CA35" s="61"/>
      <c r="CB35" s="61"/>
      <c r="CC35" s="61"/>
      <c r="CD35" s="61"/>
    </row>
  </sheetData>
  <sheetProtection autoFilter="0"/>
  <mergeCells count="5">
    <mergeCell ref="A1:J1"/>
    <mergeCell ref="K1:P1"/>
    <mergeCell ref="Q1:V1"/>
    <mergeCell ref="A2:J2"/>
    <mergeCell ref="K2:V2"/>
  </mergeCells>
  <pageMargins left="0.7" right="0.7" top="0.75" bottom="0.75" header="0.3" footer="0.3"/>
  <pageSetup orientation="portrait" horizontalDpi="300" r:id="rId1"/>
  <customProperties>
    <customPr name="FPMExcelClientRefreshTime" r:id="rId2"/>
    <customPr name="IbpWorksheetKeyString_GUID" r:id="rId3"/>
  </customProperties>
  <drawing r:id="rId4"/>
  <legacyDrawing r:id="rId5"/>
  <picture r:id="rId6"/>
  <controls>
    <mc:AlternateContent xmlns:mc="http://schemas.openxmlformats.org/markup-compatibility/2006">
      <mc:Choice Requires="x14">
        <control shapeId="9253" r:id="rId7" name="ReportSubmitManagerControlDCtb1">
          <controlPr defaultSize="0" autoLine="0" autoPict="0" r:id="rId8">
            <anchor moveWithCells="1">
              <from>
                <xdr:col>0</xdr:col>
                <xdr:colOff>0</xdr:colOff>
                <xdr:row>0</xdr:row>
                <xdr:rowOff>0</xdr:rowOff>
              </from>
              <to>
                <xdr:col>6</xdr:col>
                <xdr:colOff>326571</xdr:colOff>
                <xdr:row>0</xdr:row>
                <xdr:rowOff>0</xdr:rowOff>
              </to>
            </anchor>
          </controlPr>
        </control>
      </mc:Choice>
      <mc:Fallback>
        <control shapeId="9253" r:id="rId7" name="ReportSubmitManagerControlDCtb1"/>
      </mc:Fallback>
    </mc:AlternateContent>
    <mc:AlternateContent xmlns:mc="http://schemas.openxmlformats.org/markup-compatibility/2006">
      <mc:Choice Requires="x14">
        <control shapeId="9252" r:id="rId9" name="ReportSubmitManagerControlHCtb1">
          <controlPr defaultSize="0" autoLine="0" autoPict="0" r:id="rId10">
            <anchor moveWithCells="1">
              <from>
                <xdr:col>0</xdr:col>
                <xdr:colOff>0</xdr:colOff>
                <xdr:row>0</xdr:row>
                <xdr:rowOff>0</xdr:rowOff>
              </from>
              <to>
                <xdr:col>6</xdr:col>
                <xdr:colOff>326571</xdr:colOff>
                <xdr:row>0</xdr:row>
                <xdr:rowOff>0</xdr:rowOff>
              </to>
            </anchor>
          </controlPr>
        </control>
      </mc:Choice>
      <mc:Fallback>
        <control shapeId="9252" r:id="rId9" name="ReportSubmitManagerControlHCtb1"/>
      </mc:Fallback>
    </mc:AlternateContent>
    <mc:AlternateContent xmlns:mc="http://schemas.openxmlformats.org/markup-compatibility/2006">
      <mc:Choice Requires="x14">
        <control shapeId="9251" r:id="rId11" name="MultipleReportManagerInfoDCtb1">
          <controlPr defaultSize="0" autoLine="0" autoPict="0" r:id="rId12">
            <anchor moveWithCells="1">
              <from>
                <xdr:col>0</xdr:col>
                <xdr:colOff>0</xdr:colOff>
                <xdr:row>0</xdr:row>
                <xdr:rowOff>0</xdr:rowOff>
              </from>
              <to>
                <xdr:col>6</xdr:col>
                <xdr:colOff>326571</xdr:colOff>
                <xdr:row>0</xdr:row>
                <xdr:rowOff>0</xdr:rowOff>
              </to>
            </anchor>
          </controlPr>
        </control>
      </mc:Choice>
      <mc:Fallback>
        <control shapeId="9251" r:id="rId11" name="MultipleReportManagerInfoDCtb1"/>
      </mc:Fallback>
    </mc:AlternateContent>
    <mc:AlternateContent xmlns:mc="http://schemas.openxmlformats.org/markup-compatibility/2006">
      <mc:Choice Requires="x14">
        <control shapeId="9250" r:id="rId13" name="MultipleReportManagerInfoHCtb1">
          <controlPr defaultSize="0" autoLine="0" autoPict="0" r:id="rId14">
            <anchor moveWithCells="1">
              <from>
                <xdr:col>0</xdr:col>
                <xdr:colOff>0</xdr:colOff>
                <xdr:row>0</xdr:row>
                <xdr:rowOff>0</xdr:rowOff>
              </from>
              <to>
                <xdr:col>6</xdr:col>
                <xdr:colOff>326571</xdr:colOff>
                <xdr:row>0</xdr:row>
                <xdr:rowOff>0</xdr:rowOff>
              </to>
            </anchor>
          </controlPr>
        </control>
      </mc:Choice>
      <mc:Fallback>
        <control shapeId="9250" r:id="rId13" name="MultipleReportManagerInfoHCtb1"/>
      </mc:Fallback>
    </mc:AlternateContent>
    <mc:AlternateContent xmlns:mc="http://schemas.openxmlformats.org/markup-compatibility/2006">
      <mc:Choice Requires="x14">
        <control shapeId="9249" r:id="rId15" name="ConnectionDescriptorsInfoDCtb1">
          <controlPr defaultSize="0" autoLine="0" autoPict="0" r:id="rId16">
            <anchor moveWithCells="1">
              <from>
                <xdr:col>0</xdr:col>
                <xdr:colOff>0</xdr:colOff>
                <xdr:row>0</xdr:row>
                <xdr:rowOff>0</xdr:rowOff>
              </from>
              <to>
                <xdr:col>6</xdr:col>
                <xdr:colOff>326571</xdr:colOff>
                <xdr:row>0</xdr:row>
                <xdr:rowOff>0</xdr:rowOff>
              </to>
            </anchor>
          </controlPr>
        </control>
      </mc:Choice>
      <mc:Fallback>
        <control shapeId="9249" r:id="rId15" name="ConnectionDescriptorsInfoDCtb1"/>
      </mc:Fallback>
    </mc:AlternateContent>
    <mc:AlternateContent xmlns:mc="http://schemas.openxmlformats.org/markup-compatibility/2006">
      <mc:Choice Requires="x14">
        <control shapeId="9248" r:id="rId17" name="ConnectionDescriptorsInfoHCtb1">
          <controlPr defaultSize="0" autoLine="0" autoPict="0" r:id="rId18">
            <anchor moveWithCells="1">
              <from>
                <xdr:col>0</xdr:col>
                <xdr:colOff>0</xdr:colOff>
                <xdr:row>0</xdr:row>
                <xdr:rowOff>0</xdr:rowOff>
              </from>
              <to>
                <xdr:col>6</xdr:col>
                <xdr:colOff>326571</xdr:colOff>
                <xdr:row>0</xdr:row>
                <xdr:rowOff>0</xdr:rowOff>
              </to>
            </anchor>
          </controlPr>
        </control>
      </mc:Choice>
      <mc:Fallback>
        <control shapeId="9248" r:id="rId17" name="ConnectionDescriptorsInfoHCtb1"/>
      </mc:Fallback>
    </mc:AlternateContent>
    <mc:AlternateContent xmlns:mc="http://schemas.openxmlformats.org/markup-compatibility/2006">
      <mc:Choice Requires="x14">
        <control shapeId="9224" r:id="rId19" name="ReportSubmitControl_1tb1">
          <controlPr defaultSize="0" autoLine="0" autoPict="0" r:id="rId20">
            <anchor moveWithCells="1" sizeWithCells="1">
              <from>
                <xdr:col>0</xdr:col>
                <xdr:colOff>0</xdr:colOff>
                <xdr:row>0</xdr:row>
                <xdr:rowOff>0</xdr:rowOff>
              </from>
              <to>
                <xdr:col>6</xdr:col>
                <xdr:colOff>97971</xdr:colOff>
                <xdr:row>0</xdr:row>
                <xdr:rowOff>0</xdr:rowOff>
              </to>
            </anchor>
          </controlPr>
        </control>
      </mc:Choice>
      <mc:Fallback>
        <control shapeId="9224" r:id="rId19" name="ReportSubmitControl_1tb1"/>
      </mc:Fallback>
    </mc:AlternateContent>
    <mc:AlternateContent xmlns:mc="http://schemas.openxmlformats.org/markup-compatibility/2006">
      <mc:Choice Requires="x14">
        <control shapeId="9223" r:id="rId21" name="ReportSubmitManagerControltb1">
          <controlPr defaultSize="0" autoLine="0" autoPict="0" r:id="rId22">
            <anchor moveWithCells="1" sizeWithCells="1">
              <from>
                <xdr:col>0</xdr:col>
                <xdr:colOff>0</xdr:colOff>
                <xdr:row>0</xdr:row>
                <xdr:rowOff>0</xdr:rowOff>
              </from>
              <to>
                <xdr:col>6</xdr:col>
                <xdr:colOff>97971</xdr:colOff>
                <xdr:row>0</xdr:row>
                <xdr:rowOff>0</xdr:rowOff>
              </to>
            </anchor>
          </controlPr>
        </control>
      </mc:Choice>
      <mc:Fallback>
        <control shapeId="9223" r:id="rId21" name="ReportSubmitManagerControltb1"/>
      </mc:Fallback>
    </mc:AlternateContent>
    <mc:AlternateContent xmlns:mc="http://schemas.openxmlformats.org/markup-compatibility/2006">
      <mc:Choice Requires="x14">
        <control shapeId="9222" r:id="rId23" name="MultipleReportManagerInfotb1">
          <controlPr defaultSize="0" autoLine="0" autoPict="0" r:id="rId24">
            <anchor moveWithCells="1" sizeWithCells="1">
              <from>
                <xdr:col>0</xdr:col>
                <xdr:colOff>0</xdr:colOff>
                <xdr:row>0</xdr:row>
                <xdr:rowOff>0</xdr:rowOff>
              </from>
              <to>
                <xdr:col>6</xdr:col>
                <xdr:colOff>97971</xdr:colOff>
                <xdr:row>0</xdr:row>
                <xdr:rowOff>0</xdr:rowOff>
              </to>
            </anchor>
          </controlPr>
        </control>
      </mc:Choice>
      <mc:Fallback>
        <control shapeId="9222" r:id="rId23" name="MultipleReportManagerInfotb1"/>
      </mc:Fallback>
    </mc:AlternateContent>
    <mc:AlternateContent xmlns:mc="http://schemas.openxmlformats.org/markup-compatibility/2006">
      <mc:Choice Requires="x14">
        <control shapeId="9221" r:id="rId25" name="ConnectionDescriptorsInfotb1">
          <controlPr defaultSize="0" autoLine="0" autoPict="0" r:id="rId26">
            <anchor moveWithCells="1" sizeWithCells="1">
              <from>
                <xdr:col>0</xdr:col>
                <xdr:colOff>0</xdr:colOff>
                <xdr:row>0</xdr:row>
                <xdr:rowOff>0</xdr:rowOff>
              </from>
              <to>
                <xdr:col>6</xdr:col>
                <xdr:colOff>97971</xdr:colOff>
                <xdr:row>0</xdr:row>
                <xdr:rowOff>0</xdr:rowOff>
              </to>
            </anchor>
          </controlPr>
        </control>
      </mc:Choice>
      <mc:Fallback>
        <control shapeId="9221" r:id="rId25" name="ConnectionDescriptorsInfotb1"/>
      </mc:Fallback>
    </mc:AlternateContent>
    <mc:AlternateContent xmlns:mc="http://schemas.openxmlformats.org/markup-compatibility/2006">
      <mc:Choice Requires="x14">
        <control shapeId="9220" r:id="rId27" name="AnalyzerDynReport000tb1">
          <controlPr defaultSize="0" autoLine="0" autoPict="0" r:id="rId28">
            <anchor moveWithCells="1" sizeWithCells="1">
              <from>
                <xdr:col>0</xdr:col>
                <xdr:colOff>0</xdr:colOff>
                <xdr:row>0</xdr:row>
                <xdr:rowOff>0</xdr:rowOff>
              </from>
              <to>
                <xdr:col>6</xdr:col>
                <xdr:colOff>97971</xdr:colOff>
                <xdr:row>0</xdr:row>
                <xdr:rowOff>0</xdr:rowOff>
              </to>
            </anchor>
          </controlPr>
        </control>
      </mc:Choice>
      <mc:Fallback>
        <control shapeId="9220" r:id="rId27" name="AnalyzerDynReport000tb1"/>
      </mc:Fallback>
    </mc:AlternateContent>
    <mc:AlternateContent xmlns:mc="http://schemas.openxmlformats.org/markup-compatibility/2006">
      <mc:Choice Requires="x14">
        <control shapeId="9219" r:id="rId29" name="TextBox2">
          <controlPr defaultSize="0" disabled="1" autoLine="0" r:id="rId30">
            <anchor>
              <from>
                <xdr:col>8</xdr:col>
                <xdr:colOff>789214</xdr:colOff>
                <xdr:row>2</xdr:row>
                <xdr:rowOff>152400</xdr:rowOff>
              </from>
              <to>
                <xdr:col>8</xdr:col>
                <xdr:colOff>794657</xdr:colOff>
                <xdr:row>2</xdr:row>
                <xdr:rowOff>157843</xdr:rowOff>
              </to>
            </anchor>
          </controlPr>
        </control>
      </mc:Choice>
      <mc:Fallback>
        <control shapeId="9219" r:id="rId29" name="TextBox2"/>
      </mc:Fallback>
    </mc:AlternateContent>
    <mc:AlternateContent xmlns:mc="http://schemas.openxmlformats.org/markup-compatibility/2006">
      <mc:Choice Requires="x14">
        <control shapeId="9218" r:id="rId31" name="TextBox1">
          <controlPr defaultSize="0" disabled="1" autoLine="0" r:id="rId32">
            <anchor>
              <from>
                <xdr:col>0</xdr:col>
                <xdr:colOff>38100</xdr:colOff>
                <xdr:row>2</xdr:row>
                <xdr:rowOff>152400</xdr:rowOff>
              </from>
              <to>
                <xdr:col>0</xdr:col>
                <xdr:colOff>43543</xdr:colOff>
                <xdr:row>2</xdr:row>
                <xdr:rowOff>157843</xdr:rowOff>
              </to>
            </anchor>
          </controlPr>
        </control>
      </mc:Choice>
      <mc:Fallback>
        <control shapeId="9218" r:id="rId31" name="TextBox1"/>
      </mc:Fallback>
    </mc:AlternateContent>
    <mc:AlternateContent xmlns:mc="http://schemas.openxmlformats.org/markup-compatibility/2006">
      <mc:Choice Requires="x14">
        <control shapeId="9217" r:id="rId33" name="FPMExcelClientSheetOptionstb1">
          <controlPr defaultSize="0" autoLine="0" r:id="rId34">
            <anchor moveWithCells="1" sizeWithCells="1">
              <from>
                <xdr:col>0</xdr:col>
                <xdr:colOff>0</xdr:colOff>
                <xdr:row>0</xdr:row>
                <xdr:rowOff>0</xdr:rowOff>
              </from>
              <to>
                <xdr:col>0</xdr:col>
                <xdr:colOff>0</xdr:colOff>
                <xdr:row>0</xdr:row>
                <xdr:rowOff>0</xdr:rowOff>
              </to>
            </anchor>
          </controlPr>
        </control>
      </mc:Choice>
      <mc:Fallback>
        <control shapeId="9217" r:id="rId33" name="FPMExcelClientSheetOptionstb1"/>
      </mc:Fallback>
    </mc:AlternateContent>
    <mc:AlternateContent xmlns:mc="http://schemas.openxmlformats.org/markup-compatibility/2006">
      <mc:Choice Requires="x14">
        <control shapeId="9254" r:id="rId35" name="AnalyzerDynReportHC000tb1">
          <controlPr defaultSize="0" autoLine="0" autoPict="0" r:id="rId36">
            <anchor moveWithCells="1">
              <from>
                <xdr:col>0</xdr:col>
                <xdr:colOff>0</xdr:colOff>
                <xdr:row>0</xdr:row>
                <xdr:rowOff>0</xdr:rowOff>
              </from>
              <to>
                <xdr:col>6</xdr:col>
                <xdr:colOff>342900</xdr:colOff>
                <xdr:row>0</xdr:row>
                <xdr:rowOff>0</xdr:rowOff>
              </to>
            </anchor>
          </controlPr>
        </control>
      </mc:Choice>
      <mc:Fallback>
        <control shapeId="9254" r:id="rId35" name="AnalyzerDynReportHC000tb1"/>
      </mc:Fallback>
    </mc:AlternateContent>
    <mc:AlternateContent xmlns:mc="http://schemas.openxmlformats.org/markup-compatibility/2006">
      <mc:Choice Requires="x14">
        <control shapeId="9255" r:id="rId37" name="AnalyzerDynReportDC000tb1">
          <controlPr defaultSize="0" autoLine="0" autoPict="0" r:id="rId38">
            <anchor moveWithCells="1">
              <from>
                <xdr:col>0</xdr:col>
                <xdr:colOff>0</xdr:colOff>
                <xdr:row>0</xdr:row>
                <xdr:rowOff>0</xdr:rowOff>
              </from>
              <to>
                <xdr:col>6</xdr:col>
                <xdr:colOff>342900</xdr:colOff>
                <xdr:row>0</xdr:row>
                <xdr:rowOff>0</xdr:rowOff>
              </to>
            </anchor>
          </controlPr>
        </control>
      </mc:Choice>
      <mc:Fallback>
        <control shapeId="9255" r:id="rId37" name="AnalyzerDynReportDC000tb1"/>
      </mc:Fallback>
    </mc:AlternateContent>
    <mc:AlternateContent xmlns:mc="http://schemas.openxmlformats.org/markup-compatibility/2006">
      <mc:Choice Requires="x14">
        <control shapeId="9256" r:id="rId39" name="ReportSubmitControl_1HCtb1">
          <controlPr defaultSize="0" autoLine="0" autoPict="0" r:id="rId40">
            <anchor moveWithCells="1">
              <from>
                <xdr:col>0</xdr:col>
                <xdr:colOff>0</xdr:colOff>
                <xdr:row>0</xdr:row>
                <xdr:rowOff>0</xdr:rowOff>
              </from>
              <to>
                <xdr:col>6</xdr:col>
                <xdr:colOff>326571</xdr:colOff>
                <xdr:row>0</xdr:row>
                <xdr:rowOff>0</xdr:rowOff>
              </to>
            </anchor>
          </controlPr>
        </control>
      </mc:Choice>
      <mc:Fallback>
        <control shapeId="9256" r:id="rId39" name="ReportSubmitControl_1HCtb1"/>
      </mc:Fallback>
    </mc:AlternateContent>
    <mc:AlternateContent xmlns:mc="http://schemas.openxmlformats.org/markup-compatibility/2006">
      <mc:Choice Requires="x14">
        <control shapeId="9257" r:id="rId41" name="ReportSubmitControl_1DCtb1">
          <controlPr defaultSize="0" autoLine="0" autoPict="0" r:id="rId42">
            <anchor moveWithCells="1">
              <from>
                <xdr:col>0</xdr:col>
                <xdr:colOff>0</xdr:colOff>
                <xdr:row>0</xdr:row>
                <xdr:rowOff>0</xdr:rowOff>
              </from>
              <to>
                <xdr:col>6</xdr:col>
                <xdr:colOff>326571</xdr:colOff>
                <xdr:row>0</xdr:row>
                <xdr:rowOff>0</xdr:rowOff>
              </to>
            </anchor>
          </controlPr>
        </control>
      </mc:Choice>
      <mc:Fallback>
        <control shapeId="9257" r:id="rId41" name="ReportSubmitControl_1DCtb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0001 Balazs Refernce Template</template>
  <favorite xmlns="">Combination-based Planning</favorite>
  <bookSettings xmlns="">
    <scenarios>
      <value>__BASELINE</value>
    </scenarios>
    <simulations>
      <value>__PLAN</value>
    </simulations>
    <planningUnits>
      <planningVersion>__BASELINE</planningVersion>
      <planningScenario>__PLAN</planningScenario>
      <timeRelativeFromDays>0</timeRelativeFromDays>
      <timeRelativeToDays>611</timeRelativeToDays>
    </planningUnits>
  </bookSettings>
  <report_Sheet2 xmlns="">
    <settings>
      <time>
        <dimension>PERIODID3</dimension>
        <rolling>false</rolling>
        <realTime>false</realTime>
        <fromAbsolute>70616</fromAbsolute>
        <toAbsolute>70626</toAbsolute>
        <fromRelative>-30</fromRelative>
        <toRelative>29</toRelative>
        <fromTimeAbsolute>0001-01-01T00:00:00</fromTimeAbsolute>
        <toTimeAbsolute>0001-01-01T00:00:00</toTimeAbsolute>
        <fromTimeRelativeInDays>-30</fromTimeRelativeInDays>
        <toTimeRelativeInDays>29</toTimeRelativeInDays>
      </time>
      <planningLevels>
        <value>PRDID</value>
        <value>LOCID</value>
      </planningLevels>
      <keyFigures>
        <value>CONSENSUSDEMAND</value>
        <value>DEMANDPLANNINGQTY</value>
        <value>ACTUALSREV</value>
        <value>CONFQTY</value>
      </keyFigures>
      <conversions>
        <conversion>
          <dimension>CURRTOID</dimension>
          <member>EUR</member>
        </conversion>
        <conversion>
          <dimension>UOMTOID</dimension>
          <member>PC</member>
        </conversion>
      </conversions>
      <rowAxis>
        <value>PRDID</value>
        <value>LOCID</value>
        <value>KEY_FIGURES</value>
      </rowAxis>
      <columnAxis>
        <value>PERIODID3</value>
      </columnAxis>
      <alerts/>
      <dimsDispOptnId>
        <value>LOCID</value>
      </dimsDispOptnId>
      <dimsDispOptnBoth/>
      <dimsTmpltFltrMandatory/>
      <dimsTmpltFltrOptional/>
      <alertsOnly>false</alertsOnly>
      <attributeSortings>
        <attributeSorting>
          <sortOrder>
            <sortOrderItem>__AZ</sortOrderItem>
          </sortOrder>
          <sortByDimension/>
          <dimensionId>PRDID</dimensionId>
          <description>Ascending</description>
          <name>A-Z</name>
          <id>-11</id>
        </attributeSorting>
        <attributeSorting>
          <sortOrder>
            <sortOrderItem>__AZ</sortOrderItem>
          </sortOrder>
          <sortByDimension/>
          <dimensionId>LOCID</dimensionId>
          <description>Ascending</description>
          <name>A-Z</name>
          <id>-11</id>
        </attributeSorting>
      </attributeSortings>
    </settings>
    <filter>
      <name/>
      <id>0</id>
      <conditions>
        <condition>
          <dimension>PRDID</dimension>
          <operator>EQ</operator>
          <values>
            <value>HT_002</value>
          </values>
          <relations/>
        </condition>
        <condition>
          <dimension>LOCID</dimension>
          <operator>EQ</operator>
          <values>
            <value>HD_DC_CA_E</value>
          </values>
          <relations/>
        </condition>
      </conditions>
    </filter>
  </report_Sheet2>
  <report_Sheet5 xmlns="">
    <settings>
      <time>
        <dimension>PERIODID3</dimension>
        <rolling>true</rolling>
        <realTime>false</realTime>
        <fromAbsolute/>
        <toAbsolute/>
        <fromRelative>-12</fromRelative>
        <toRelative>-2</toRelative>
        <fromTimeAbsolute>0001-01-01T00:00:00</fromTimeAbsolute>
        <toTimeAbsolute>0001-01-01T00:00:00</toTimeAbsolute>
        <fromTimeRelativeInDays>-30</fromTimeRelativeInDays>
        <toTimeRelativeInDays>29</toTimeRelativeInDays>
      </time>
      <planningLevels>
        <value>PRDID</value>
        <value>LOCID</value>
      </planningLevels>
      <keyFigures>
        <value>CONSENSUSDEMAND</value>
      </keyFigures>
      <conversions>
        <conversion>
          <dimension>CURRTOID</dimension>
          <member>EUR</member>
        </conversion>
        <conversion>
          <dimension>UOMTOID</dimension>
          <member>PC</member>
        </conversion>
      </conversions>
      <rowAxis>
        <value>PRDID</value>
        <value>LOCID</value>
        <value>KEY_FIGURES</value>
      </rowAxis>
      <columnAxis>
        <value>PERIODID3</value>
      </columnAxis>
      <alerts/>
      <dimsDispOptnId>
        <value>LOCID</value>
      </dimsDispOptnId>
      <dimsDispOptnBoth/>
      <dimsTmpltFltrMandatory/>
      <dimsTmpltFltrOptional/>
      <alertsOnly>false</alertsOnly>
      <attributeSortings>
        <attributeSorting>
          <sortOrder>
            <sortOrderItem>__AZ</sortOrderItem>
          </sortOrder>
          <sortByDimension/>
          <dimensionId>PRDID</dimensionId>
          <description>Ascending</description>
          <name>A-Z</name>
          <id>-11</id>
        </attributeSorting>
        <attributeSorting>
          <sortOrder>
            <sortOrderItem>__AZ</sortOrderItem>
          </sortOrder>
          <sortByDimension/>
          <dimensionId>LOCID</dimensionId>
          <description>Ascending</description>
          <name>A-Z</name>
          <id>-11</id>
        </attributeSorting>
      </attributeSortings>
    </settings>
    <filter>
      <name/>
      <id>0</id>
      <conditions>
        <condition>
          <dimension>PRDID</dimension>
          <operator>EQ</operator>
          <values>
            <value>HT_002</value>
            <value>HT_003</value>
          </values>
          <relations/>
        </condition>
        <condition>
          <dimension>RBPLANSTATUS</dimension>
          <operator>EQ</operator>
          <values>
            <value>Open</value>
          </values>
          <relations/>
        </condition>
      </conditions>
    </filter>
  </report_Sheet5>
</config>
</file>

<file path=customXml/itemProps1.xml><?xml version="1.0" encoding="utf-8"?>
<ds:datastoreItem xmlns:ds="http://schemas.openxmlformats.org/officeDocument/2006/customXml" ds:itemID="{FD996A8A-D0B3-430C-B8B5-980FD34E90B0}">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TotalTime>0</TotalTime>
  <DocSecurity>0</DocSecurity>
  <ScaleCrop>false</ScaleCrop>
  <HeadingPairs>
    <vt:vector size="2" baseType="variant">
      <vt:variant>
        <vt:lpstr>Worksheets</vt:lpstr>
      </vt:variant>
      <vt:variant>
        <vt:i4>3</vt:i4>
      </vt:variant>
    </vt:vector>
  </HeadingPairs>
  <TitlesOfParts>
    <vt:vector size="3" baseType="lpstr">
      <vt:lpstr>IBPFormattingSheet</vt:lpstr>
      <vt:lpstr>Planning</vt:lpstr>
      <vt:lpstr>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2012-11-19T20:56:01Z</dcterms:created>
  <dcterms:modified xsi:type="dcterms:W3CDTF">2022-05-02T08:57:02Z</dcterms:modified>
</cp:coreProperties>
</file>