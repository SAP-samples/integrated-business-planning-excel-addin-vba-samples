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VBA Samples/Samples for SAP IBP APIs released with 2205.2.0/1.3_Change Master Data Attribute Value/"/>
    </mc:Choice>
  </mc:AlternateContent>
  <xr:revisionPtr revIDLastSave="199" documentId="8_{E016A6B0-1E0F-4BEA-881D-2EE9CDAE6470}" xr6:coauthVersionLast="47" xr6:coauthVersionMax="47" xr10:uidLastSave="{03B938D9-1C62-476C-B989-2C8A9C9DEA27}"/>
  <bookViews>
    <workbookView xWindow="-103" yWindow="-103" windowWidth="22149" windowHeight="11949" tabRatio="374" firstSheet="1" activeTab="1" xr2:uid="{00000000-000D-0000-FFFF-FFFF00000000}"/>
  </bookViews>
  <sheets>
    <sheet name="IBPFormattingSheet" sheetId="7" state="hidden" r:id="rId1"/>
    <sheet name="Planning" sheetId="5" r:id="rId2"/>
  </sheets>
  <definedNames>
    <definedName name="__FPMExcelClient_CellBasedFunctionStatus" localSheetId="1" hidden="1">"2_1_2_2_2_2"</definedName>
    <definedName name="__FPMExcelClient_Connection" localSheetId="1">"{A63CB8EE-6674-452e-ACA5-65D5174D689E}_[https://pt6-001.wdf.sap.corp/sap/sop/sopfnd/services/addin/excel/]_[SOP]_[RBSAP6]_[]_[]_[false]_[True]\1"</definedName>
    <definedName name="_xlnm._FilterDatabase" localSheetId="1" hidden="1">Planning!$A$1:$V$124</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IBPFormattingSheet!$D$61</definedName>
    <definedName name="AddMemberFirst_1" localSheetId="0" hidden="1">IBPFormattingSheet!$D$59</definedName>
    <definedName name="AddMemberSecond" localSheetId="0" hidden="1">IBPFormattingSheet!$D$40</definedName>
    <definedName name="DataFirst" localSheetId="0" hidden="1">IBPFormattingSheet!$E$43:$G$43</definedName>
    <definedName name="DataSecond" localSheetId="0" hidden="1">IBPFormattingSheet!$E$76:$G$76</definedName>
    <definedName name="DataUseFirst" localSheetId="0" hidden="1">IBPFormattingSheet!$H$43</definedName>
    <definedName name="DataUseSecond" localSheetId="0"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IBPFormattingSheet!$F$73</definedName>
    <definedName name="EvenDataSecond" localSheetId="0" hidden="1">IBPFormattingSheet!$F$81</definedName>
    <definedName name="EvenDataUseFirst" localSheetId="0" hidden="1">IBPFormattingSheet!$H$73</definedName>
    <definedName name="EvenDataUseSecond" localSheetId="0" hidden="1">IBPFormattingSheet!$H$81</definedName>
    <definedName name="EvenHeaderFirst" localSheetId="0" hidden="1">IBPFormattingSheet!$J$73</definedName>
    <definedName name="EvenHeaderSecond" localSheetId="0" hidden="1">IBPFormattingSheet!$J$81</definedName>
    <definedName name="EvenHeaderUseFirst" localSheetId="0" hidden="1">IBPFormattingSheet!$L$73</definedName>
    <definedName name="EvenHeaderUseSecond" localSheetId="0" hidden="1">IBPFormattingSheet!$L$81</definedName>
    <definedName name="HeaderFirst" localSheetId="0" hidden="1">IBPFormattingSheet!$I$43:$K$43</definedName>
    <definedName name="HeaderSecond" localSheetId="0" hidden="1">IBPFormattingSheet!$I$76:$K$76</definedName>
    <definedName name="HeaderSmallGrid" localSheetId="0" hidden="1">IBPFormattingSheet!$A$1</definedName>
    <definedName name="HeaderUseFirst" localSheetId="0" hidden="1">IBPFormattingSheet!$L$43</definedName>
    <definedName name="HeaderUseSecond" localSheetId="0" hidden="1">IBPFormattingSheet!$L$76</definedName>
    <definedName name="HeaderUseSmallGrid" localSheetId="0" hidden="1">IBPFormattingSheet!$A$1</definedName>
    <definedName name="IBP_Migrated" localSheetId="0">TRUE</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IBPFormattingSheet!$B$63</definedName>
    <definedName name="MemberFirstBlock" localSheetId="0" hidden="1">IBPFormattingSheet!$B$42:$B$62</definedName>
    <definedName name="MemberFirstDataCalculated" localSheetId="0" hidden="1">IBPFormattingSheet!$F$45</definedName>
    <definedName name="MemberFirstDataChanged" localSheetId="0" hidden="1">IBPFormattingSheet!$F$54</definedName>
    <definedName name="MemberFirstDataCustom" localSheetId="0" hidden="1">IBPFormattingSheet!#REF!</definedName>
    <definedName name="MemberFirstDataInputable" localSheetId="0" hidden="1">IBPFormattingSheet!$F$48</definedName>
    <definedName name="MemberFirstDataItem_1" localSheetId="0" hidden="1">IBPFormattingSheet!$F$59</definedName>
    <definedName name="MemberFirstDataLocal" localSheetId="0" hidden="1">IBPFormattingSheet!$F$51</definedName>
    <definedName name="MemberFirstDataUseCalculated" localSheetId="0" hidden="1">IBPFormattingSheet!$H$45</definedName>
    <definedName name="MemberFirstDataUseChanged" localSheetId="0" hidden="1">IBPFormattingSheet!$H$54</definedName>
    <definedName name="MemberFirstDataUseCustom" localSheetId="0" hidden="1">IBPFormattingSheet!#REF!</definedName>
    <definedName name="MemberFirstDataUseInputable" localSheetId="0" hidden="1">IBPFormattingSheet!$H$48</definedName>
    <definedName name="MemberFirstDataUseItem_1" localSheetId="0" hidden="1">IBPFormattingSheet!$H$59</definedName>
    <definedName name="MemberFirstDataUseLocal" localSheetId="0" hidden="1">IBPFormattingSheet!$H$51</definedName>
    <definedName name="MemberFirstHeaderCalculated" localSheetId="0" hidden="1">IBPFormattingSheet!$J$45</definedName>
    <definedName name="MemberFirstHeaderChanged" localSheetId="0" hidden="1">IBPFormattingSheet!$J$54</definedName>
    <definedName name="MemberFirstHeaderCustom" localSheetId="0" hidden="1">IBPFormattingSheet!#REF!</definedName>
    <definedName name="MemberFirstHeaderInputable" localSheetId="0" hidden="1">IBPFormattingSheet!$J$48</definedName>
    <definedName name="MemberFirstHeaderItem_1" localSheetId="0" hidden="1">IBPFormattingSheet!$J$59</definedName>
    <definedName name="MemberFirstHeaderLocal" localSheetId="0" hidden="1">IBPFormattingSheet!$J$51</definedName>
    <definedName name="MemberFirstHeaderUseCalculated" localSheetId="0" hidden="1">IBPFormattingSheet!$L$45</definedName>
    <definedName name="MemberFirstHeaderUseChanged" localSheetId="0" hidden="1">IBPFormattingSheet!$L$54</definedName>
    <definedName name="MemberFirstHeaderUseCustom" localSheetId="0" hidden="1">IBPFormattingSheet!#REF!</definedName>
    <definedName name="MemberFirstHeaderUseInputable" localSheetId="0" hidden="1">IBPFormattingSheet!$L$48</definedName>
    <definedName name="MemberFirstHeaderUseItem_1" localSheetId="0" hidden="1">IBPFormattingSheet!$L$59</definedName>
    <definedName name="MemberFirstHeaderUseLocal" localSheetId="0" hidden="1">IBPFormattingSheet!$L$51</definedName>
    <definedName name="MemberSecondBlock" localSheetId="0" hidden="1">IBPFormattingSheet!$B$24:$B$41</definedName>
    <definedName name="MemberSecondDataCalculated" localSheetId="0" hidden="1">IBPFormattingSheet!$F$27</definedName>
    <definedName name="MemberSecondDataChanged" localSheetId="0" hidden="1">IBPFormattingSheet!$F$36</definedName>
    <definedName name="MemberSecondDataCustom" localSheetId="0" hidden="1">IBPFormattingSheet!#REF!</definedName>
    <definedName name="MemberSecondDataInputable" localSheetId="0" hidden="1">IBPFormattingSheet!$F$30</definedName>
    <definedName name="MemberSecondDataLocal" localSheetId="0" hidden="1">IBPFormattingSheet!$F$33</definedName>
    <definedName name="MemberSecondDataUseCalculated" localSheetId="0" hidden="1">IBPFormattingSheet!$H$27</definedName>
    <definedName name="MemberSecondDataUseChanged" localSheetId="0" hidden="1">IBPFormattingSheet!$H$36</definedName>
    <definedName name="MemberSecondDataUseCustom" localSheetId="0" hidden="1">IBPFormattingSheet!#REF!</definedName>
    <definedName name="MemberSecondDataUseInputable" localSheetId="0" hidden="1">IBPFormattingSheet!$H$30</definedName>
    <definedName name="MemberSecondDataUseLocal" localSheetId="0" hidden="1">IBPFormattingSheet!$H$33</definedName>
    <definedName name="MemberSecondHeaderCalculated" localSheetId="0" hidden="1">IBPFormattingSheet!$J$27</definedName>
    <definedName name="MemberSecondHeaderChanged" localSheetId="0" hidden="1">IBPFormattingSheet!$J$36</definedName>
    <definedName name="MemberSecondHeaderCustom" localSheetId="0" hidden="1">IBPFormattingSheet!#REF!</definedName>
    <definedName name="MemberSecondHeaderInputable" localSheetId="0" hidden="1">IBPFormattingSheet!$J$30</definedName>
    <definedName name="MemberSecondHeaderLocal" localSheetId="0" hidden="1">IBPFormattingSheet!$J$33</definedName>
    <definedName name="MemberSecondHeaderUseCalculated" localSheetId="0" hidden="1">IBPFormattingSheet!$L$27</definedName>
    <definedName name="MemberSecondHeaderUseChanged" localSheetId="0" hidden="1">IBPFormattingSheet!$L$36</definedName>
    <definedName name="MemberSecondHeaderUseCustom" localSheetId="0" hidden="1">IBPFormattingSheet!#REF!</definedName>
    <definedName name="MemberSecondHeaderUseInputable" localSheetId="0" hidden="1">IBPFormattingSheet!$L$30</definedName>
    <definedName name="MemberSecondHeaderUseLocal" localSheetId="0" hidden="1">IBPFormattingSheet!$L$33</definedName>
    <definedName name="OddDataFirst" localSheetId="0" hidden="1">IBPFormattingSheet!$F$70</definedName>
    <definedName name="OddDataSecond" localSheetId="0" hidden="1">IBPFormattingSheet!$F$78</definedName>
    <definedName name="OddDataUseFirst" localSheetId="0" hidden="1">IBPFormattingSheet!$H$70</definedName>
    <definedName name="OddDataUseSecond" localSheetId="0" hidden="1">IBPFormattingSheet!$H$78</definedName>
    <definedName name="OddEvenEndBlock" localSheetId="0" hidden="1">IBPFormattingSheet!$B$83</definedName>
    <definedName name="OddEvenFirstBlock" localSheetId="0" hidden="1">IBPFormattingSheet!$B$67:$B$74</definedName>
    <definedName name="OddEvenSecondBlock" localSheetId="0" hidden="1">IBPFormattingSheet!$B$75:$B$82</definedName>
    <definedName name="OddHeaderFirst" localSheetId="0" hidden="1">IBPFormattingSheet!$J$70</definedName>
    <definedName name="OddHeaderSecond" localSheetId="0" hidden="1">IBPFormattingSheet!$J$78</definedName>
    <definedName name="OddHeaderUseFirst" localSheetId="0" hidden="1">IBPFormattingSheet!$L$70</definedName>
    <definedName name="OddHeaderUseSecond" localSheetId="0" hidden="1">IBPFormattingSheet!$L$78</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"System ID"</definedName>
    <definedName name="SOP_CurrencyToID" localSheetId="1">"EUR"</definedName>
    <definedName name="SOP_CURRTOID" localSheetId="1">"EUR"</definedName>
    <definedName name="SOP_Favorite_Name">"Change ABC Code"</definedName>
    <definedName name="SOP_Filter" localSheetId="1">{" "}</definedName>
    <definedName name="SOP_Filter">{" "}</definedName>
    <definedName name="SOP_Filter_Criteria_Count" localSheetId="1">0</definedName>
    <definedName name="SOP_Filter_Name" localSheetId="1">"(None)"</definedName>
    <definedName name="SOP_Heading1" localSheetId="1">"Key Figure"</definedName>
    <definedName name="SOP_Heading10" localSheetId="1">" "</definedName>
    <definedName name="SOP_Heading11" localSheetId="1">" "</definedName>
    <definedName name="SOP_Heading12" localSheetId="1">" "</definedName>
    <definedName name="SOP_Heading13" localSheetId="1">" "</definedName>
    <definedName name="SOP_Heading14" localSheetId="1">" "</definedName>
    <definedName name="SOP_Heading15" localSheetId="1">" "</definedName>
    <definedName name="SOP_Heading2" localSheetId="1">"ABC Code"</definedName>
    <definedName name="SOP_Heading3" localSheetId="1">"Location ID"</definedName>
    <definedName name="SOP_Heading4" localSheetId="1">"Product ID"</definedName>
    <definedName name="SOP_Heading5" localSheetId="1">" "</definedName>
    <definedName name="SOP_Heading6" localSheetId="1">" "</definedName>
    <definedName name="SOP_Heading7" localSheetId="1">" "</definedName>
    <definedName name="SOP_Heading8" localSheetId="1">" "</definedName>
    <definedName name="SOP_Heading9" localSheetId="1">" "</definedName>
    <definedName name="SOP_Planning_Area">"SAP6"</definedName>
    <definedName name="SOP_Planning_Scope">"No selection: The system will plan the entire data set. | TW17a 2022 - TW22a 2024 | Baseline | Base Version"</definedName>
    <definedName name="SOP_Refresh_Timestamp">44677.3800810185</definedName>
    <definedName name="SOP_TargetCurrency" localSheetId="1">"EUR"</definedName>
    <definedName name="SOP_TargetUoM" localSheetId="1">"PC"</definedName>
    <definedName name="SOP_Template_Name">"template name"</definedName>
    <definedName name="SOP_UOMToID" localSheetId="1">"PC"</definedName>
    <definedName name="SOP_Value_Based_Filter" localSheetId="1">{" "}</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5" l="1"/>
  <c r="H4" i="5"/>
  <c r="I4" i="5"/>
  <c r="A4" i="5"/>
  <c r="B4" i="5"/>
  <c r="C4" i="5"/>
  <c r="D4" i="5"/>
  <c r="E4" i="5"/>
  <c r="F4" i="5"/>
  <c r="G4" i="5"/>
  <c r="K2" i="5"/>
  <c r="K1" i="5"/>
  <c r="J11" i="5"/>
  <c r="H59" i="5"/>
  <c r="J42" i="5"/>
  <c r="Q4" i="5"/>
  <c r="J6" i="5"/>
  <c r="J23" i="5"/>
  <c r="J34" i="5"/>
  <c r="J39" i="5"/>
  <c r="J45" i="5"/>
  <c r="J52" i="5"/>
  <c r="J24" i="5"/>
  <c r="H29" i="5"/>
  <c r="J27" i="5"/>
  <c r="J32" i="5"/>
  <c r="J81" i="5"/>
  <c r="N4" i="5"/>
  <c r="I47" i="5"/>
  <c r="J30" i="5"/>
  <c r="V4" i="5"/>
  <c r="J14" i="5"/>
  <c r="J19" i="5"/>
  <c r="J5" i="5"/>
  <c r="R4" i="5"/>
  <c r="J79" i="5"/>
  <c r="H113" i="5"/>
  <c r="I77" i="5"/>
  <c r="J113" i="5"/>
  <c r="J31" i="5"/>
  <c r="J86" i="5"/>
  <c r="J44" i="5"/>
  <c r="J93" i="5"/>
  <c r="H5" i="5"/>
  <c r="J49" i="5"/>
  <c r="S4" i="5"/>
  <c r="J105" i="5"/>
  <c r="I89" i="5"/>
  <c r="J80" i="5"/>
  <c r="I53" i="5"/>
  <c r="J16" i="5"/>
  <c r="J46" i="5"/>
  <c r="J18" i="5"/>
  <c r="J26" i="5"/>
  <c r="J98" i="5"/>
  <c r="I71" i="5"/>
  <c r="J76" i="5"/>
  <c r="J74" i="5"/>
  <c r="J122" i="5"/>
  <c r="J94" i="5"/>
  <c r="H89" i="5"/>
  <c r="H53" i="5"/>
  <c r="J20" i="5"/>
  <c r="J123" i="5"/>
  <c r="J97" i="5"/>
  <c r="J90" i="5"/>
  <c r="J73" i="5"/>
  <c r="I5" i="5"/>
  <c r="G101" i="5"/>
  <c r="J106" i="5"/>
  <c r="J92" i="5"/>
  <c r="I65" i="5"/>
  <c r="J72" i="5"/>
  <c r="I23" i="5"/>
  <c r="J51" i="5"/>
  <c r="I41" i="5"/>
  <c r="J25" i="5"/>
  <c r="U4" i="5"/>
  <c r="J60" i="5"/>
  <c r="T4" i="5"/>
  <c r="J38" i="5"/>
  <c r="J21" i="5"/>
  <c r="J78" i="5"/>
  <c r="I11" i="5"/>
  <c r="J56" i="5"/>
  <c r="J100" i="5"/>
  <c r="J22" i="5"/>
  <c r="H71" i="5"/>
  <c r="J61" i="5"/>
  <c r="J84" i="5"/>
  <c r="M4" i="5"/>
  <c r="J29" i="5"/>
  <c r="H35" i="5"/>
  <c r="J115" i="5"/>
  <c r="J40" i="5"/>
  <c r="J62" i="5"/>
  <c r="I113" i="5"/>
  <c r="J48" i="5"/>
  <c r="G29" i="5"/>
  <c r="J116" i="5"/>
  <c r="J8" i="5"/>
  <c r="G53" i="5"/>
  <c r="J119" i="5"/>
  <c r="J53" i="5"/>
  <c r="I17" i="5"/>
  <c r="J112" i="5"/>
  <c r="I119" i="5"/>
  <c r="J70" i="5"/>
  <c r="J68" i="5"/>
  <c r="J88" i="5"/>
  <c r="J71" i="5"/>
  <c r="Q1" i="5"/>
  <c r="J58" i="5"/>
  <c r="H17" i="5"/>
  <c r="J108" i="5"/>
  <c r="J114" i="5"/>
  <c r="J36" i="5"/>
  <c r="L4" i="5"/>
  <c r="G5" i="5"/>
  <c r="J124" i="5"/>
  <c r="J37" i="5"/>
  <c r="P4" i="5"/>
  <c r="J77" i="5"/>
  <c r="H77" i="5"/>
  <c r="J102" i="5"/>
  <c r="J75" i="5"/>
  <c r="J47" i="5"/>
  <c r="J54" i="5"/>
  <c r="J17" i="5"/>
  <c r="J101" i="5"/>
  <c r="J66" i="5"/>
  <c r="J64" i="5"/>
  <c r="J28" i="5"/>
  <c r="J33" i="5"/>
  <c r="I35" i="5"/>
  <c r="J9" i="5"/>
  <c r="J15" i="5"/>
  <c r="H119" i="5"/>
  <c r="J41" i="5"/>
  <c r="J117" i="5"/>
  <c r="J63" i="5"/>
  <c r="J35" i="5"/>
  <c r="J43" i="5"/>
  <c r="J99" i="5"/>
  <c r="J12" i="5"/>
  <c r="H23" i="5"/>
  <c r="J87" i="5"/>
  <c r="J65" i="5"/>
  <c r="H47" i="5"/>
  <c r="K4" i="5"/>
  <c r="J59" i="5"/>
  <c r="J57" i="5"/>
  <c r="H101" i="5"/>
  <c r="J67" i="5"/>
  <c r="J107" i="5"/>
  <c r="J103" i="5"/>
  <c r="J104" i="5"/>
  <c r="H41" i="5"/>
  <c r="J121" i="5"/>
  <c r="H95" i="5"/>
  <c r="I101" i="5"/>
  <c r="H65" i="5"/>
  <c r="I107" i="5"/>
  <c r="J10" i="5"/>
  <c r="I29" i="5"/>
  <c r="J13" i="5"/>
  <c r="O4" i="5"/>
  <c r="J82" i="5"/>
  <c r="H11" i="5"/>
  <c r="J85" i="5"/>
  <c r="J91" i="5"/>
  <c r="J120" i="5"/>
  <c r="I59" i="5"/>
  <c r="J109" i="5"/>
  <c r="H83" i="5"/>
  <c r="J89" i="5"/>
  <c r="J95" i="5"/>
  <c r="J7" i="5"/>
  <c r="J69" i="5"/>
  <c r="I83" i="5"/>
  <c r="J96" i="5"/>
  <c r="J111" i="5"/>
  <c r="G77" i="5"/>
  <c r="J118" i="5"/>
  <c r="J55" i="5"/>
  <c r="J50" i="5"/>
  <c r="J110" i="5"/>
  <c r="H107" i="5"/>
  <c r="J83" i="5"/>
  <c r="I9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59" authorId="0" shapeId="0" xr:uid="{99B56A46-F80B-43F5-BE36-42AAC79CAAE0}">
      <text>
        <r>
          <rPr>
            <b/>
            <sz val="9"/>
            <color indexed="81"/>
            <rFont val="Tahoma"/>
            <family val="2"/>
          </rPr>
          <t>TotalMember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5" authorId="0" shapeId="0" xr:uid="{35C1F968-554E-4981-B2AB-D192582E5713}">
      <text>
        <r>
          <rPr>
            <sz val="9"/>
            <color indexed="81"/>
            <rFont val="Tahoma"/>
            <family val="2"/>
          </rPr>
          <t>1503 is fixed</t>
        </r>
      </text>
    </comment>
    <comment ref="S5" authorId="0" shapeId="0" xr:uid="{F4D40DCB-2594-493F-BCAD-9CD5D94BD8EB}">
      <text>
        <r>
          <rPr>
            <sz val="9"/>
            <color indexed="81"/>
            <rFont val="Tahoma"/>
            <family val="2"/>
          </rPr>
          <t>100 is fixed</t>
        </r>
      </text>
    </comment>
    <comment ref="T5" authorId="0" shapeId="0" xr:uid="{3266F35B-D5BC-4E0E-904D-2301C22E7F9A}">
      <text>
        <r>
          <rPr>
            <sz val="9"/>
            <color indexed="81"/>
            <rFont val="Tahoma"/>
            <family val="2"/>
          </rPr>
          <t>100 is fixed</t>
        </r>
      </text>
    </comment>
    <comment ref="U5" authorId="0" shapeId="0" xr:uid="{77424B50-3097-45C8-997E-FF57702A9DD0}">
      <text>
        <r>
          <rPr>
            <sz val="9"/>
            <color indexed="81"/>
            <rFont val="Tahoma"/>
            <family val="2"/>
          </rPr>
          <t>100 is fixed</t>
        </r>
      </text>
    </comment>
  </commentList>
</comments>
</file>

<file path=xl/sharedStrings.xml><?xml version="1.0" encoding="utf-8"?>
<sst xmlns="http://schemas.openxmlformats.org/spreadsheetml/2006/main" count="103" uniqueCount="31">
  <si>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</si>
  <si>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</si>
  <si>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</si>
  <si>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</si>
  <si>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</si>
  <si>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</si>
  <si>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</si>
  <si>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</si>
  <si>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</si>
  <si>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</si>
  <si>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</si>
  <si>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</si>
  <si>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</si>
  <si>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</si>
  <si>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</si>
  <si>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</si>
  <si>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</si>
  <si>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</si>
  <si>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</si>
  <si>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</si>
  <si>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</si>
  <si>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</si>
  <si>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</si>
  <si>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</si>
  <si>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Balazs EPM Formatting Sheet Demo</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</si>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</sst>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3_#,##0"/>
    <numFmt numFmtId="165" formatCode="\_xd83d_\_xdd12_#,##0"/>
  </numFmts>
  <fonts count="25"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9"/>
      <color indexed="81"/>
      <name val="Tahoma"/>
      <family val="2"/>
    </font>
  </fonts>
  <fills count="12">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5" fillId="7" borderId="0" applyNumberFormat="0" applyBorder="0" applyAlignment="0" applyProtection="0"/>
  </cellStyleXfs>
  <cellXfs count="98">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6" borderId="0" xfId="0" applyNumberFormat="1" applyFont="1" applyFill="1" applyBorder="1" applyAlignment="1" applyProtection="1">
      <alignment horizontal="right" vertical="center"/>
      <protection locked="0"/>
    </xf>
    <xf numFmtId="0" fontId="15" fillId="9" borderId="0" xfId="0" applyFont="1" applyFill="1" applyBorder="1"/>
    <xf numFmtId="0" fontId="0" fillId="10" borderId="0" xfId="0" applyFill="1"/>
    <xf numFmtId="3" fontId="13" fillId="8"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0" borderId="0" xfId="0" applyFont="1" applyFill="1" applyBorder="1" applyAlignment="1" applyProtection="1">
      <alignment horizontal="right" vertical="center"/>
      <protection locked="0"/>
    </xf>
    <xf numFmtId="0" fontId="18" fillId="0" borderId="0" xfId="0" applyFont="1" applyAlignment="1">
      <alignment horizontal="center"/>
    </xf>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9" borderId="0" xfId="0" applyFont="1" applyFill="1" applyBorder="1" applyAlignment="1" applyProtection="1">
      <alignment horizontal="right" vertical="center"/>
    </xf>
    <xf numFmtId="0" fontId="12" fillId="9" borderId="0" xfId="0" applyFont="1" applyFill="1" applyBorder="1" applyAlignment="1" applyProtection="1">
      <alignment horizontal="left" vertical="center"/>
    </xf>
    <xf numFmtId="0" fontId="15" fillId="9" borderId="0" xfId="0" applyFont="1" applyFill="1" applyProtection="1"/>
    <xf numFmtId="0" fontId="15" fillId="9" borderId="0" xfId="0" applyFont="1" applyFill="1" applyBorder="1" applyProtection="1"/>
    <xf numFmtId="0" fontId="15" fillId="9" borderId="0" xfId="1" applyFont="1" applyFill="1" applyBorder="1" applyAlignment="1" applyProtection="1"/>
    <xf numFmtId="0" fontId="0" fillId="0" borderId="0" xfId="0" applyProtection="1"/>
    <xf numFmtId="0" fontId="12" fillId="10" borderId="0" xfId="0" applyFont="1" applyFill="1" applyProtection="1"/>
    <xf numFmtId="0" fontId="22" fillId="9" borderId="0" xfId="0" quotePrefix="1" applyFont="1" applyFill="1" applyBorder="1" applyAlignment="1" applyProtection="1">
      <alignment horizontal="left" vertical="top" wrapText="1" indent="5"/>
    </xf>
    <xf numFmtId="0" fontId="21" fillId="9" borderId="0" xfId="0" applyFont="1" applyFill="1" applyBorder="1" applyAlignment="1" applyProtection="1">
      <alignment horizontal="left" vertical="top"/>
    </xf>
    <xf numFmtId="3" fontId="23" fillId="11" borderId="0" xfId="0" applyNumberFormat="1" applyFont="1" applyFill="1" applyBorder="1" applyAlignment="1" applyProtection="1">
      <alignment horizontal="right" vertical="center"/>
      <protection locked="0"/>
    </xf>
    <xf numFmtId="164" fontId="23" fillId="11" borderId="0" xfId="0" applyNumberFormat="1" applyFont="1" applyFill="1" applyBorder="1" applyAlignment="1" applyProtection="1">
      <alignment horizontal="right" vertical="center"/>
      <protection locked="0"/>
    </xf>
    <xf numFmtId="165" fontId="23" fillId="11" borderId="0" xfId="0" applyNumberFormat="1" applyFont="1" applyFill="1" applyBorder="1" applyAlignment="1" applyProtection="1">
      <alignment horizontal="right" vertical="center"/>
      <protection locked="0"/>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3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19" fillId="9" borderId="0" xfId="0" quotePrefix="1" applyFont="1" applyFill="1" applyBorder="1" applyAlignment="1" applyProtection="1">
      <alignment horizontal="left" vertical="top" indent="5"/>
    </xf>
    <xf numFmtId="0" fontId="20" fillId="9" borderId="0" xfId="0" applyFont="1" applyFill="1" applyBorder="1" applyAlignment="1" applyProtection="1">
      <alignment horizontal="left" vertical="center"/>
    </xf>
    <xf numFmtId="0" fontId="21" fillId="9" borderId="0" xfId="0" applyFont="1" applyFill="1" applyBorder="1" applyAlignment="1" applyProtection="1">
      <alignment horizontal="right" vertical="top" wrapText="1"/>
    </xf>
    <xf numFmtId="0" fontId="22" fillId="9" borderId="0" xfId="0" quotePrefix="1" applyFont="1" applyFill="1" applyBorder="1" applyAlignment="1" applyProtection="1">
      <alignment horizontal="left" vertical="top" wrapText="1" indent="5"/>
    </xf>
    <xf numFmtId="0" fontId="21" fillId="9" borderId="0" xfId="0" applyFont="1" applyFill="1" applyBorder="1" applyAlignment="1" applyProtection="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11.emf"/><Relationship Id="rId17" Type="http://schemas.openxmlformats.org/officeDocument/2006/relationships/image" Target="../media/image6.emf"/><Relationship Id="rId2" Type="http://schemas.openxmlformats.org/officeDocument/2006/relationships/image" Target="../media/image16.emf"/><Relationship Id="rId16"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12.emf"/><Relationship Id="rId5" Type="http://schemas.openxmlformats.org/officeDocument/2006/relationships/image" Target="../media/image19.emf"/><Relationship Id="rId15" Type="http://schemas.openxmlformats.org/officeDocument/2006/relationships/image" Target="../media/image8.emf"/><Relationship Id="rId10" Type="http://schemas.openxmlformats.org/officeDocument/2006/relationships/image" Target="../media/image13.emf"/><Relationship Id="rId4" Type="http://schemas.openxmlformats.org/officeDocument/2006/relationships/image" Target="../media/image18.emf"/><Relationship Id="rId9" Type="http://schemas.openxmlformats.org/officeDocument/2006/relationships/image" Target="../media/image14.emf"/><Relationship Id="rId1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1611086</xdr:colOff>
          <xdr:row>5</xdr:row>
          <xdr:rowOff>0</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451757</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185057</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1023257</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1023257</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22</xdr:row>
          <xdr:rowOff>0</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451757</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1023257</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1023257</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1023257</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1023257</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1023257</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1023257</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1023257</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1023257</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1023257</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1023257</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70757</xdr:rowOff>
        </xdr:from>
        <xdr:to>
          <xdr:col>7</xdr:col>
          <xdr:colOff>1801586</xdr:colOff>
          <xdr:row>65</xdr:row>
          <xdr:rowOff>0</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65</xdr:row>
          <xdr:rowOff>70757</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70757</xdr:rowOff>
        </xdr:from>
        <xdr:to>
          <xdr:col>3</xdr:col>
          <xdr:colOff>451757</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1023257</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1023257</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1023257</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1023257</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0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718457</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19051</xdr:rowOff>
    </xdr:from>
    <xdr:to>
      <xdr:col>4</xdr:col>
      <xdr:colOff>74507</xdr:colOff>
      <xdr:row>0</xdr:row>
      <xdr:rowOff>209551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19051"/>
          <a:ext cx="466393"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887186</xdr:colOff>
          <xdr:row>2</xdr:row>
          <xdr:rowOff>152400</xdr:rowOff>
        </xdr:from>
        <xdr:to>
          <xdr:col>8</xdr:col>
          <xdr:colOff>0</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1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1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1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3.xml"/><Relationship Id="rId18" Type="http://schemas.openxmlformats.org/officeDocument/2006/relationships/ctrlProp" Target="../ctrlProps/ctrlProp8.xml"/><Relationship Id="rId26" Type="http://schemas.openxmlformats.org/officeDocument/2006/relationships/ctrlProp" Target="../ctrlProps/ctrlProp16.xml"/><Relationship Id="rId39" Type="http://schemas.openxmlformats.org/officeDocument/2006/relationships/ctrlProp" Target="../ctrlProps/ctrlProp29.xml"/><Relationship Id="rId21" Type="http://schemas.openxmlformats.org/officeDocument/2006/relationships/ctrlProp" Target="../ctrlProps/ctrlProp11.xml"/><Relationship Id="rId34" Type="http://schemas.openxmlformats.org/officeDocument/2006/relationships/ctrlProp" Target="../ctrlProps/ctrlProp24.xml"/><Relationship Id="rId42" Type="http://schemas.openxmlformats.org/officeDocument/2006/relationships/ctrlProp" Target="../ctrlProps/ctrlProp32.xml"/><Relationship Id="rId7" Type="http://schemas.openxmlformats.org/officeDocument/2006/relationships/control" Target="../activeX/activeX2.xml"/><Relationship Id="rId2" Type="http://schemas.openxmlformats.org/officeDocument/2006/relationships/customProperty" Target="../customProperty1.bin"/><Relationship Id="rId16" Type="http://schemas.openxmlformats.org/officeDocument/2006/relationships/ctrlProp" Target="../ctrlProps/ctrlProp6.xml"/><Relationship Id="rId29" Type="http://schemas.openxmlformats.org/officeDocument/2006/relationships/ctrlProp" Target="../ctrlProps/ctrlProp19.xml"/><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omments" Target="../comments1.xml"/><Relationship Id="rId5" Type="http://schemas.openxmlformats.org/officeDocument/2006/relationships/control" Target="../activeX/activeX1.xml"/><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10" Type="http://schemas.openxmlformats.org/officeDocument/2006/relationships/image" Target="../media/image3.emf"/><Relationship Id="rId19" Type="http://schemas.openxmlformats.org/officeDocument/2006/relationships/ctrlProp" Target="../ctrlProps/ctrlProp9.xml"/><Relationship Id="rId31" Type="http://schemas.openxmlformats.org/officeDocument/2006/relationships/ctrlProp" Target="../ctrlProps/ctrlProp21.xml"/><Relationship Id="rId44" Type="http://schemas.openxmlformats.org/officeDocument/2006/relationships/ctrlProp" Target="../ctrlProps/ctrlProp34.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8" Type="http://schemas.openxmlformats.org/officeDocument/2006/relationships/image" Target="../media/image2.emf"/><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20" Type="http://schemas.openxmlformats.org/officeDocument/2006/relationships/ctrlProp" Target="../ctrlProps/ctrlProp10.xml"/><Relationship Id="rId41"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7" Type="http://schemas.openxmlformats.org/officeDocument/2006/relationships/image" Target="../media/image4.png"/><Relationship Id="rId2" Type="http://schemas.openxmlformats.org/officeDocument/2006/relationships/customProperty" Target="../customProperty2.bin"/><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5.emf"/><Relationship Id="rId41" Type="http://schemas.openxmlformats.org/officeDocument/2006/relationships/image" Target="../media/image21.emf"/><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5" Type="http://schemas.openxmlformats.org/officeDocument/2006/relationships/drawing" Target="../drawings/drawing2.xml"/><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mments" Target="../comments2.xml"/><Relationship Id="rId4" Type="http://schemas.openxmlformats.org/officeDocument/2006/relationships/customProperty" Target="../customProperty4.bin"/><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image" Target="../media/image22.emf"/><Relationship Id="rId8" Type="http://schemas.openxmlformats.org/officeDocument/2006/relationships/control" Target="../activeX/activeX4.xml"/><Relationship Id="rId3" Type="http://schemas.openxmlformats.org/officeDocument/2006/relationships/customProperty" Target="../customProperty3.bin"/><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23046875" style="1" customWidth="1"/>
    <col min="6" max="6" width="14.23046875" style="1" customWidth="1"/>
    <col min="7" max="7" width="3.23046875" style="1" customWidth="1"/>
    <col min="8" max="8" width="30.69140625" style="1" customWidth="1"/>
    <col min="9" max="9" width="3.23046875" style="1" customWidth="1"/>
    <col min="10" max="10" width="14.23046875" style="1" customWidth="1"/>
    <col min="11" max="11" width="3.2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83" t="s">
        <v>24</v>
      </c>
      <c r="C1" s="83"/>
      <c r="D1" s="83"/>
      <c r="E1" s="83"/>
      <c r="F1" s="83"/>
      <c r="G1" s="83"/>
      <c r="H1" s="83"/>
      <c r="I1" s="83"/>
      <c r="J1" s="83"/>
      <c r="K1" s="83"/>
      <c r="L1" s="83"/>
    </row>
    <row r="2" spans="1:17" ht="15.75" customHeight="1" x14ac:dyDescent="0.35">
      <c r="A2" s="38"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84" t="s">
        <v>25</v>
      </c>
      <c r="C5" s="85"/>
      <c r="D5" s="85"/>
      <c r="E5" s="85"/>
      <c r="F5" s="85"/>
      <c r="G5" s="85"/>
      <c r="H5" s="85"/>
      <c r="I5" s="85"/>
      <c r="J5" s="85"/>
      <c r="K5" s="85"/>
      <c r="L5" s="86"/>
      <c r="Q5" s="23" t="s">
        <v>16</v>
      </c>
    </row>
    <row r="6" spans="1:17" ht="28.4" customHeight="1" thickBot="1" x14ac:dyDescent="0.4">
      <c r="A6" s="2"/>
      <c r="B6" s="87"/>
      <c r="C6" s="88"/>
      <c r="D6" s="88"/>
      <c r="E6" s="88"/>
      <c r="F6" s="88"/>
      <c r="G6" s="88"/>
      <c r="H6" s="88"/>
      <c r="I6" s="88"/>
      <c r="J6" s="88"/>
      <c r="K6" s="88"/>
      <c r="L6" s="89"/>
      <c r="Q6" s="24" t="s">
        <v>17</v>
      </c>
    </row>
    <row r="7" spans="1:17" ht="22" customHeight="1" x14ac:dyDescent="0.35">
      <c r="A7" s="2"/>
      <c r="B7" s="90" t="s">
        <v>8</v>
      </c>
      <c r="C7" s="19"/>
      <c r="D7" s="19"/>
      <c r="E7" s="19"/>
      <c r="F7" s="19"/>
      <c r="G7" s="19"/>
      <c r="H7" s="19"/>
      <c r="I7" s="19"/>
      <c r="J7" s="19"/>
      <c r="K7" s="19"/>
      <c r="L7" s="20"/>
      <c r="Q7" s="82" t="s">
        <v>18</v>
      </c>
    </row>
    <row r="8" spans="1:17" ht="18" customHeight="1" x14ac:dyDescent="0.35">
      <c r="A8" s="2"/>
      <c r="B8" s="66"/>
      <c r="C8" s="10"/>
      <c r="D8" s="10"/>
      <c r="E8" s="10"/>
      <c r="F8" s="10"/>
      <c r="G8" s="10"/>
      <c r="H8" s="10"/>
      <c r="I8" s="10"/>
      <c r="J8" s="10"/>
      <c r="K8" s="10"/>
      <c r="L8" s="11"/>
      <c r="Q8" s="82"/>
    </row>
    <row r="9" spans="1:17" ht="17.149999999999999" customHeight="1" x14ac:dyDescent="0.35">
      <c r="A9" s="2"/>
      <c r="B9" s="66"/>
      <c r="C9" s="5"/>
      <c r="D9" s="6"/>
      <c r="E9" s="68" t="s">
        <v>1</v>
      </c>
      <c r="F9" s="69"/>
      <c r="G9" s="70"/>
      <c r="H9" s="4" t="s">
        <v>2</v>
      </c>
      <c r="I9" s="68" t="s">
        <v>3</v>
      </c>
      <c r="J9" s="69"/>
      <c r="K9" s="70"/>
      <c r="L9" s="12" t="s">
        <v>2</v>
      </c>
      <c r="Q9" s="82"/>
    </row>
    <row r="10" spans="1:17" ht="5.15" customHeight="1" x14ac:dyDescent="0.35">
      <c r="A10" s="2"/>
      <c r="B10" s="66"/>
      <c r="C10" s="71"/>
      <c r="D10" s="10"/>
      <c r="E10" s="13"/>
      <c r="F10" s="13"/>
      <c r="G10" s="13"/>
      <c r="H10" s="8"/>
      <c r="I10" s="13"/>
      <c r="J10" s="13"/>
      <c r="K10" s="13"/>
      <c r="L10" s="11"/>
      <c r="Q10" s="82"/>
    </row>
    <row r="11" spans="1:17" ht="16" customHeight="1" x14ac:dyDescent="0.35">
      <c r="A11" s="2"/>
      <c r="B11" s="66"/>
      <c r="C11" s="72"/>
      <c r="D11" s="40" t="s">
        <v>5</v>
      </c>
      <c r="E11" s="13"/>
      <c r="F11" s="34">
        <v>10000</v>
      </c>
      <c r="G11" s="13"/>
      <c r="H11" s="43" t="s">
        <v>6</v>
      </c>
      <c r="I11" s="13"/>
      <c r="J11" s="37" t="s">
        <v>7</v>
      </c>
      <c r="K11" s="13"/>
      <c r="L11" s="16" t="s">
        <v>6</v>
      </c>
      <c r="Q11" s="82"/>
    </row>
    <row r="12" spans="1:17" ht="5.15" customHeight="1" thickBot="1" x14ac:dyDescent="0.4">
      <c r="A12" s="2"/>
      <c r="B12" s="67"/>
      <c r="C12" s="74"/>
      <c r="D12" s="17"/>
      <c r="E12" s="22"/>
      <c r="F12" s="22"/>
      <c r="G12" s="22"/>
      <c r="H12" s="21"/>
      <c r="I12" s="22"/>
      <c r="J12" s="22"/>
      <c r="K12" s="22"/>
      <c r="L12" s="18"/>
      <c r="Q12" s="82"/>
    </row>
    <row r="13" spans="1:17" ht="22" customHeight="1" x14ac:dyDescent="0.35">
      <c r="A13" s="2"/>
      <c r="B13" s="66" t="s">
        <v>4</v>
      </c>
      <c r="C13" s="10"/>
      <c r="D13" s="10"/>
      <c r="E13" s="10"/>
      <c r="F13" s="10"/>
      <c r="G13" s="10"/>
      <c r="H13" s="10"/>
      <c r="I13" s="10"/>
      <c r="J13" s="10"/>
      <c r="K13" s="10"/>
      <c r="L13" s="11"/>
      <c r="Q13" s="82"/>
    </row>
    <row r="14" spans="1:17" ht="18" customHeight="1" x14ac:dyDescent="0.35">
      <c r="A14" s="2"/>
      <c r="B14" s="66"/>
      <c r="C14" s="10"/>
      <c r="D14" s="10"/>
      <c r="E14" s="10"/>
      <c r="F14" s="10"/>
      <c r="G14" s="10"/>
      <c r="H14" s="10"/>
      <c r="I14" s="10"/>
      <c r="J14" s="10"/>
      <c r="K14" s="10"/>
      <c r="L14" s="11"/>
      <c r="Q14" s="82"/>
    </row>
    <row r="15" spans="1:17" ht="17.149999999999999" customHeight="1" x14ac:dyDescent="0.35">
      <c r="A15" s="2"/>
      <c r="B15" s="66"/>
      <c r="C15" s="5"/>
      <c r="D15" s="6"/>
      <c r="E15" s="68" t="s">
        <v>1</v>
      </c>
      <c r="F15" s="69"/>
      <c r="G15" s="70"/>
      <c r="H15" s="4" t="s">
        <v>2</v>
      </c>
      <c r="I15" s="68" t="s">
        <v>3</v>
      </c>
      <c r="J15" s="69"/>
      <c r="K15" s="70"/>
      <c r="L15" s="12" t="s">
        <v>2</v>
      </c>
      <c r="Q15" s="82"/>
    </row>
    <row r="16" spans="1:17" ht="5.15" customHeight="1" x14ac:dyDescent="0.35">
      <c r="A16" s="2"/>
      <c r="B16" s="66"/>
      <c r="C16" s="71"/>
      <c r="D16" s="10"/>
      <c r="E16" s="13"/>
      <c r="F16" s="13"/>
      <c r="G16" s="13"/>
      <c r="H16" s="8"/>
      <c r="I16" s="13"/>
      <c r="J16" s="13"/>
      <c r="K16" s="13"/>
      <c r="L16" s="11"/>
      <c r="Q16" s="82"/>
    </row>
    <row r="17" spans="1:17" ht="16" customHeight="1" x14ac:dyDescent="0.35">
      <c r="A17" s="2"/>
      <c r="B17" s="66"/>
      <c r="C17" s="72"/>
      <c r="D17" s="40" t="s">
        <v>5</v>
      </c>
      <c r="E17" s="13"/>
      <c r="F17" s="34">
        <v>10000</v>
      </c>
      <c r="G17" s="13"/>
      <c r="H17" s="43" t="s">
        <v>6</v>
      </c>
      <c r="I17" s="13"/>
      <c r="J17" s="29" t="s">
        <v>7</v>
      </c>
      <c r="K17" s="13"/>
      <c r="L17" s="16" t="s">
        <v>6</v>
      </c>
      <c r="Q17" s="82"/>
    </row>
    <row r="18" spans="1:17" ht="5.15" customHeight="1" thickBot="1" x14ac:dyDescent="0.4">
      <c r="A18" s="2"/>
      <c r="B18" s="91"/>
      <c r="C18" s="92"/>
      <c r="D18" s="47"/>
      <c r="E18" s="48"/>
      <c r="F18" s="48"/>
      <c r="G18" s="48"/>
      <c r="H18" s="49"/>
      <c r="I18" s="48"/>
      <c r="J18" s="48"/>
      <c r="K18" s="48"/>
      <c r="L18" s="50"/>
      <c r="Q18" s="82"/>
    </row>
    <row r="19" spans="1:17" ht="9" customHeight="1" x14ac:dyDescent="0.35">
      <c r="A19" s="2"/>
      <c r="B19" s="2"/>
      <c r="C19" s="2"/>
      <c r="D19" s="2"/>
      <c r="E19" s="2"/>
      <c r="F19" s="2"/>
      <c r="G19" s="2"/>
      <c r="H19" s="2"/>
      <c r="I19" s="2"/>
      <c r="J19" s="2"/>
      <c r="K19" s="2"/>
      <c r="L19" s="2"/>
      <c r="Q19" s="82"/>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75" t="s">
        <v>9</v>
      </c>
      <c r="C22" s="76"/>
      <c r="D22" s="76"/>
      <c r="E22" s="76"/>
      <c r="F22" s="76"/>
      <c r="G22" s="76"/>
      <c r="H22" s="76"/>
      <c r="I22" s="76"/>
      <c r="J22" s="76"/>
      <c r="K22" s="76"/>
      <c r="L22" s="77"/>
      <c r="Q22" s="82" t="s">
        <v>28</v>
      </c>
    </row>
    <row r="23" spans="1:17" ht="28.4" customHeight="1" thickBot="1" x14ac:dyDescent="0.4">
      <c r="A23" s="2"/>
      <c r="B23" s="78"/>
      <c r="C23" s="79"/>
      <c r="D23" s="79"/>
      <c r="E23" s="79"/>
      <c r="F23" s="79"/>
      <c r="G23" s="79"/>
      <c r="H23" s="79"/>
      <c r="I23" s="79"/>
      <c r="J23" s="79"/>
      <c r="K23" s="79"/>
      <c r="L23" s="80"/>
      <c r="Q23" s="82"/>
    </row>
    <row r="24" spans="1:17" ht="16" customHeight="1" x14ac:dyDescent="0.35">
      <c r="A24" s="2"/>
      <c r="B24" s="90" t="s">
        <v>8</v>
      </c>
      <c r="C24" s="19"/>
      <c r="D24" s="19"/>
      <c r="E24" s="19"/>
      <c r="F24" s="19"/>
      <c r="G24" s="19"/>
      <c r="H24" s="19"/>
      <c r="I24" s="19"/>
      <c r="J24" s="19"/>
      <c r="K24" s="19"/>
      <c r="L24" s="20"/>
      <c r="Q24" s="82"/>
    </row>
    <row r="25" spans="1:17" ht="18" customHeight="1" x14ac:dyDescent="0.35">
      <c r="A25" s="2"/>
      <c r="B25" s="66"/>
      <c r="C25" s="5"/>
      <c r="D25" s="6"/>
      <c r="E25" s="68" t="s">
        <v>1</v>
      </c>
      <c r="F25" s="69"/>
      <c r="G25" s="70"/>
      <c r="H25" s="4" t="s">
        <v>2</v>
      </c>
      <c r="I25" s="68" t="s">
        <v>3</v>
      </c>
      <c r="J25" s="69"/>
      <c r="K25" s="70"/>
      <c r="L25" s="12" t="s">
        <v>2</v>
      </c>
      <c r="Q25" s="82"/>
    </row>
    <row r="26" spans="1:17" ht="5.15" customHeight="1" x14ac:dyDescent="0.35">
      <c r="A26" s="2"/>
      <c r="B26" s="66"/>
      <c r="C26" s="72"/>
      <c r="D26" s="10"/>
      <c r="E26" s="13"/>
      <c r="F26" s="13"/>
      <c r="G26" s="13"/>
      <c r="H26" s="9"/>
      <c r="I26" s="13"/>
      <c r="J26" s="13"/>
      <c r="K26" s="13"/>
      <c r="L26" s="11"/>
      <c r="Q26" s="82"/>
    </row>
    <row r="27" spans="1:17" ht="16" customHeight="1" x14ac:dyDescent="0.35">
      <c r="A27" s="2"/>
      <c r="B27" s="66"/>
      <c r="C27" s="72"/>
      <c r="D27" s="40" t="s">
        <v>26</v>
      </c>
      <c r="E27" s="13"/>
      <c r="F27" s="14">
        <v>10000</v>
      </c>
      <c r="G27" s="13"/>
      <c r="H27" s="43" t="s">
        <v>6</v>
      </c>
      <c r="I27" s="13"/>
      <c r="J27" s="15" t="s">
        <v>7</v>
      </c>
      <c r="K27" s="13"/>
      <c r="L27" s="16" t="s">
        <v>6</v>
      </c>
      <c r="Q27" s="82"/>
    </row>
    <row r="28" spans="1:17" ht="5.15" customHeight="1" x14ac:dyDescent="0.35">
      <c r="A28" s="2"/>
      <c r="B28" s="66"/>
      <c r="C28" s="73"/>
      <c r="D28" s="41"/>
      <c r="E28" s="7"/>
      <c r="F28" s="7"/>
      <c r="G28" s="7"/>
      <c r="H28" s="6"/>
      <c r="I28" s="7"/>
      <c r="J28" s="7"/>
      <c r="K28" s="7"/>
      <c r="L28" s="42"/>
      <c r="Q28" s="82"/>
    </row>
    <row r="29" spans="1:17" ht="5.15" customHeight="1" x14ac:dyDescent="0.35">
      <c r="A29" s="2"/>
      <c r="B29" s="66"/>
      <c r="C29" s="72"/>
      <c r="D29" s="10"/>
      <c r="E29" s="13"/>
      <c r="F29" s="13"/>
      <c r="G29" s="13"/>
      <c r="H29" s="9"/>
      <c r="I29" s="13"/>
      <c r="J29" s="13"/>
      <c r="K29" s="13"/>
      <c r="L29" s="11"/>
      <c r="Q29" s="82"/>
    </row>
    <row r="30" spans="1:17" ht="16" customHeight="1" x14ac:dyDescent="0.4">
      <c r="A30" s="2"/>
      <c r="B30" s="66"/>
      <c r="C30" s="72"/>
      <c r="D30" s="40" t="s">
        <v>27</v>
      </c>
      <c r="E30" s="13"/>
      <c r="F30" s="14">
        <v>10000</v>
      </c>
      <c r="G30" s="13"/>
      <c r="H30" s="43" t="s">
        <v>6</v>
      </c>
      <c r="I30" s="13"/>
      <c r="J30" s="15" t="s">
        <v>7</v>
      </c>
      <c r="K30" s="13"/>
      <c r="L30" s="16" t="s">
        <v>6</v>
      </c>
      <c r="Q30" s="27"/>
    </row>
    <row r="31" spans="1:17" ht="5.15" customHeight="1" x14ac:dyDescent="0.35">
      <c r="A31" s="2"/>
      <c r="B31" s="66"/>
      <c r="C31" s="73"/>
      <c r="D31" s="41"/>
      <c r="E31" s="7"/>
      <c r="F31" s="7"/>
      <c r="G31" s="7"/>
      <c r="H31" s="6"/>
      <c r="I31" s="7"/>
      <c r="J31" s="7"/>
      <c r="K31" s="7"/>
      <c r="L31" s="42"/>
    </row>
    <row r="32" spans="1:17" ht="5.15" customHeight="1" x14ac:dyDescent="0.35">
      <c r="A32" s="2"/>
      <c r="B32" s="66"/>
      <c r="C32" s="72"/>
      <c r="D32" s="10"/>
      <c r="E32" s="13"/>
      <c r="F32" s="13"/>
      <c r="G32" s="13"/>
      <c r="H32" s="9"/>
      <c r="I32" s="13"/>
      <c r="J32" s="13"/>
      <c r="K32" s="13"/>
      <c r="L32" s="11"/>
    </row>
    <row r="33" spans="1:12" ht="16" customHeight="1" x14ac:dyDescent="0.35">
      <c r="A33" s="2"/>
      <c r="B33" s="66"/>
      <c r="C33" s="72"/>
      <c r="D33" s="40" t="s">
        <v>10</v>
      </c>
      <c r="E33" s="13"/>
      <c r="F33" s="14">
        <v>10000</v>
      </c>
      <c r="G33" s="13"/>
      <c r="H33" s="43" t="s">
        <v>6</v>
      </c>
      <c r="I33" s="13"/>
      <c r="J33" s="15" t="s">
        <v>7</v>
      </c>
      <c r="K33" s="13"/>
      <c r="L33" s="16" t="s">
        <v>6</v>
      </c>
    </row>
    <row r="34" spans="1:12" ht="5.15" customHeight="1" x14ac:dyDescent="0.35">
      <c r="A34" s="2"/>
      <c r="B34" s="66"/>
      <c r="C34" s="73"/>
      <c r="D34" s="41"/>
      <c r="E34" s="7"/>
      <c r="F34" s="7"/>
      <c r="G34" s="7"/>
      <c r="H34" s="6"/>
      <c r="I34" s="7"/>
      <c r="J34" s="7"/>
      <c r="K34" s="7"/>
      <c r="L34" s="42"/>
    </row>
    <row r="35" spans="1:12" ht="5.15" customHeight="1" x14ac:dyDescent="0.35">
      <c r="A35" s="2"/>
      <c r="B35" s="66"/>
      <c r="C35" s="72"/>
      <c r="D35" s="10"/>
      <c r="E35" s="13"/>
      <c r="F35" s="13"/>
      <c r="G35" s="13"/>
      <c r="H35" s="9"/>
      <c r="I35" s="13"/>
      <c r="J35" s="13"/>
      <c r="K35" s="13"/>
      <c r="L35" s="11"/>
    </row>
    <row r="36" spans="1:12" ht="16" customHeight="1" x14ac:dyDescent="0.35">
      <c r="A36" s="2"/>
      <c r="B36" s="66"/>
      <c r="C36" s="72"/>
      <c r="D36" s="40" t="s">
        <v>11</v>
      </c>
      <c r="E36" s="13"/>
      <c r="F36" s="14">
        <v>10000</v>
      </c>
      <c r="G36" s="13"/>
      <c r="H36" s="43" t="s">
        <v>6</v>
      </c>
      <c r="I36" s="13"/>
      <c r="J36" s="15" t="s">
        <v>7</v>
      </c>
      <c r="K36" s="13"/>
      <c r="L36" s="16" t="s">
        <v>6</v>
      </c>
    </row>
    <row r="37" spans="1:12" ht="5.15" customHeight="1" x14ac:dyDescent="0.35">
      <c r="A37" s="2"/>
      <c r="B37" s="66"/>
      <c r="C37" s="73"/>
      <c r="D37" s="41"/>
      <c r="E37" s="7"/>
      <c r="F37" s="7"/>
      <c r="G37" s="7"/>
      <c r="H37" s="6"/>
      <c r="I37" s="7"/>
      <c r="J37" s="7"/>
      <c r="K37" s="7"/>
      <c r="L37" s="42"/>
    </row>
    <row r="38" spans="1:12" ht="5.15" customHeight="1" x14ac:dyDescent="0.35">
      <c r="A38" s="2"/>
      <c r="B38" s="66"/>
      <c r="C38" s="72"/>
      <c r="D38" s="10"/>
      <c r="E38" s="13"/>
      <c r="F38" s="13"/>
      <c r="G38" s="13"/>
      <c r="H38" s="9"/>
      <c r="I38" s="13"/>
      <c r="J38" s="13"/>
      <c r="K38" s="13"/>
      <c r="L38" s="11"/>
    </row>
    <row r="39" spans="1:12" ht="16" customHeight="1" x14ac:dyDescent="0.35">
      <c r="A39" s="2"/>
      <c r="B39" s="66"/>
      <c r="C39" s="72"/>
      <c r="D39" s="40" t="s">
        <v>12</v>
      </c>
      <c r="E39" s="13"/>
      <c r="F39" s="13"/>
      <c r="G39" s="13"/>
      <c r="H39" s="9"/>
      <c r="I39" s="13"/>
      <c r="J39" s="13"/>
      <c r="K39" s="13"/>
      <c r="L39" s="11"/>
    </row>
    <row r="40" spans="1:12" ht="22" customHeight="1" x14ac:dyDescent="0.35">
      <c r="A40" s="2"/>
      <c r="B40" s="66"/>
      <c r="C40" s="39"/>
      <c r="D40" s="10"/>
      <c r="E40" s="10"/>
      <c r="F40" s="10"/>
      <c r="G40" s="10"/>
      <c r="H40" s="9"/>
      <c r="I40" s="10"/>
      <c r="J40" s="10"/>
      <c r="K40" s="10"/>
      <c r="L40" s="11"/>
    </row>
    <row r="41" spans="1:12" ht="5.15" customHeight="1" thickBot="1" x14ac:dyDescent="0.4">
      <c r="A41" s="2"/>
      <c r="B41" s="67"/>
      <c r="C41" s="44"/>
      <c r="D41" s="17"/>
      <c r="E41" s="17"/>
      <c r="F41" s="17"/>
      <c r="G41" s="17"/>
      <c r="H41" s="21"/>
      <c r="I41" s="17"/>
      <c r="J41" s="17"/>
      <c r="K41" s="17"/>
      <c r="L41" s="18"/>
    </row>
    <row r="42" spans="1:12" ht="18" customHeight="1" x14ac:dyDescent="0.35">
      <c r="A42" s="2"/>
      <c r="B42" s="65" t="s">
        <v>4</v>
      </c>
      <c r="C42" s="10"/>
      <c r="D42" s="10"/>
      <c r="E42" s="10"/>
      <c r="F42" s="10"/>
      <c r="G42" s="10"/>
      <c r="H42" s="10"/>
      <c r="I42" s="10"/>
      <c r="J42" s="10"/>
      <c r="K42" s="10"/>
      <c r="L42" s="11"/>
    </row>
    <row r="43" spans="1:12" ht="17.149999999999999" customHeight="1" x14ac:dyDescent="0.35">
      <c r="A43" s="2"/>
      <c r="B43" s="66"/>
      <c r="C43" s="5"/>
      <c r="D43" s="6"/>
      <c r="E43" s="68" t="s">
        <v>1</v>
      </c>
      <c r="F43" s="69"/>
      <c r="G43" s="70"/>
      <c r="H43" s="4" t="s">
        <v>2</v>
      </c>
      <c r="I43" s="68" t="s">
        <v>3</v>
      </c>
      <c r="J43" s="69"/>
      <c r="K43" s="70"/>
      <c r="L43" s="12" t="s">
        <v>2</v>
      </c>
    </row>
    <row r="44" spans="1:12" ht="5.15" customHeight="1" x14ac:dyDescent="0.35">
      <c r="A44" s="2"/>
      <c r="B44" s="66"/>
      <c r="C44" s="72"/>
      <c r="D44" s="10"/>
      <c r="E44" s="13"/>
      <c r="F44" s="13"/>
      <c r="G44" s="13"/>
      <c r="H44" s="9"/>
      <c r="I44" s="13"/>
      <c r="J44" s="13"/>
      <c r="K44" s="13"/>
      <c r="L44" s="11"/>
    </row>
    <row r="45" spans="1:12" ht="16" customHeight="1" x14ac:dyDescent="0.35">
      <c r="A45" s="2"/>
      <c r="B45" s="66"/>
      <c r="C45" s="72"/>
      <c r="D45" s="40" t="s">
        <v>26</v>
      </c>
      <c r="E45" s="13"/>
      <c r="F45" s="14">
        <v>10000</v>
      </c>
      <c r="G45" s="13"/>
      <c r="H45" s="43" t="s">
        <v>6</v>
      </c>
      <c r="I45" s="13"/>
      <c r="J45" s="15" t="s">
        <v>7</v>
      </c>
      <c r="K45" s="13"/>
      <c r="L45" s="16" t="s">
        <v>6</v>
      </c>
    </row>
    <row r="46" spans="1:12" ht="5.15" customHeight="1" x14ac:dyDescent="0.35">
      <c r="A46" s="2"/>
      <c r="B46" s="66"/>
      <c r="C46" s="73"/>
      <c r="D46" s="41"/>
      <c r="E46" s="7"/>
      <c r="F46" s="7"/>
      <c r="G46" s="7"/>
      <c r="H46" s="6"/>
      <c r="I46" s="7"/>
      <c r="J46" s="7"/>
      <c r="K46" s="7"/>
      <c r="L46" s="42"/>
    </row>
    <row r="47" spans="1:12" ht="5.15" customHeight="1" x14ac:dyDescent="0.35">
      <c r="A47" s="2"/>
      <c r="B47" s="66"/>
      <c r="C47" s="72"/>
      <c r="D47" s="10"/>
      <c r="E47" s="13"/>
      <c r="F47" s="13"/>
      <c r="G47" s="13"/>
      <c r="H47" s="9"/>
      <c r="I47" s="13"/>
      <c r="J47" s="13"/>
      <c r="K47" s="13"/>
      <c r="L47" s="11"/>
    </row>
    <row r="48" spans="1:12" ht="16" customHeight="1" x14ac:dyDescent="0.35">
      <c r="A48" s="2"/>
      <c r="B48" s="66"/>
      <c r="C48" s="72"/>
      <c r="D48" s="40" t="s">
        <v>27</v>
      </c>
      <c r="E48" s="13"/>
      <c r="F48" s="33">
        <v>10000</v>
      </c>
      <c r="G48" s="13"/>
      <c r="H48" s="43" t="s">
        <v>22</v>
      </c>
      <c r="I48" s="13"/>
      <c r="J48" s="28" t="s">
        <v>7</v>
      </c>
      <c r="K48" s="13"/>
      <c r="L48" s="16" t="s">
        <v>20</v>
      </c>
    </row>
    <row r="49" spans="1:12" ht="5.15" customHeight="1" x14ac:dyDescent="0.35">
      <c r="A49" s="2"/>
      <c r="B49" s="66"/>
      <c r="C49" s="73"/>
      <c r="D49" s="41"/>
      <c r="E49" s="7"/>
      <c r="F49" s="7"/>
      <c r="G49" s="7"/>
      <c r="H49" s="6"/>
      <c r="I49" s="7"/>
      <c r="J49" s="7"/>
      <c r="K49" s="7"/>
      <c r="L49" s="42"/>
    </row>
    <row r="50" spans="1:12" ht="5.15" customHeight="1" x14ac:dyDescent="0.35">
      <c r="A50" s="2"/>
      <c r="B50" s="66"/>
      <c r="C50" s="72"/>
      <c r="D50" s="10"/>
      <c r="E50" s="13"/>
      <c r="F50" s="13"/>
      <c r="G50" s="13"/>
      <c r="H50" s="9"/>
      <c r="I50" s="13"/>
      <c r="J50" s="13"/>
      <c r="K50" s="13"/>
      <c r="L50" s="11"/>
    </row>
    <row r="51" spans="1:12" ht="16" customHeight="1" x14ac:dyDescent="0.35">
      <c r="A51" s="2"/>
      <c r="B51" s="66"/>
      <c r="C51" s="72"/>
      <c r="D51" s="40" t="s">
        <v>10</v>
      </c>
      <c r="E51" s="13"/>
      <c r="F51" s="14">
        <v>10000</v>
      </c>
      <c r="G51" s="13"/>
      <c r="H51" s="43" t="s">
        <v>6</v>
      </c>
      <c r="I51" s="13"/>
      <c r="J51" s="15" t="s">
        <v>7</v>
      </c>
      <c r="K51" s="13"/>
      <c r="L51" s="16" t="s">
        <v>6</v>
      </c>
    </row>
    <row r="52" spans="1:12" ht="5.15" customHeight="1" x14ac:dyDescent="0.35">
      <c r="A52" s="2"/>
      <c r="B52" s="66"/>
      <c r="C52" s="73"/>
      <c r="D52" s="41"/>
      <c r="E52" s="7"/>
      <c r="F52" s="7"/>
      <c r="G52" s="7"/>
      <c r="H52" s="6"/>
      <c r="I52" s="7"/>
      <c r="J52" s="7"/>
      <c r="K52" s="7"/>
      <c r="L52" s="42"/>
    </row>
    <row r="53" spans="1:12" ht="5.15" customHeight="1" x14ac:dyDescent="0.35">
      <c r="A53" s="2"/>
      <c r="B53" s="66"/>
      <c r="C53" s="72"/>
      <c r="D53" s="10"/>
      <c r="E53" s="13"/>
      <c r="F53" s="13"/>
      <c r="G53" s="13"/>
      <c r="H53" s="9"/>
      <c r="I53" s="13"/>
      <c r="J53" s="13"/>
      <c r="K53" s="13"/>
      <c r="L53" s="11"/>
    </row>
    <row r="54" spans="1:12" ht="16" customHeight="1" x14ac:dyDescent="0.35">
      <c r="A54" s="2"/>
      <c r="B54" s="66"/>
      <c r="C54" s="72"/>
      <c r="D54" s="40" t="s">
        <v>11</v>
      </c>
      <c r="E54" s="13"/>
      <c r="F54" s="30">
        <v>10000</v>
      </c>
      <c r="G54" s="13"/>
      <c r="H54" s="43" t="s">
        <v>21</v>
      </c>
      <c r="I54" s="13"/>
      <c r="J54" s="15" t="s">
        <v>7</v>
      </c>
      <c r="K54" s="13"/>
      <c r="L54" s="16" t="s">
        <v>20</v>
      </c>
    </row>
    <row r="55" spans="1:12" ht="5.15" customHeight="1" x14ac:dyDescent="0.35">
      <c r="A55" s="2"/>
      <c r="B55" s="66"/>
      <c r="C55" s="73"/>
      <c r="D55" s="41"/>
      <c r="E55" s="7"/>
      <c r="F55" s="7"/>
      <c r="G55" s="7"/>
      <c r="H55" s="6"/>
      <c r="I55" s="7"/>
      <c r="J55" s="7"/>
      <c r="K55" s="7"/>
      <c r="L55" s="42"/>
    </row>
    <row r="56" spans="1:12" ht="5.15" customHeight="1" x14ac:dyDescent="0.35">
      <c r="A56" s="2"/>
      <c r="B56" s="66"/>
      <c r="C56" s="72"/>
      <c r="D56" s="10"/>
      <c r="E56" s="13"/>
      <c r="F56" s="13"/>
      <c r="G56" s="13"/>
      <c r="H56" s="9"/>
      <c r="I56" s="13"/>
      <c r="J56" s="13"/>
      <c r="K56" s="13"/>
      <c r="L56" s="11"/>
    </row>
    <row r="57" spans="1:12" ht="16" customHeight="1" x14ac:dyDescent="0.35">
      <c r="A57" s="2"/>
      <c r="B57" s="66"/>
      <c r="C57" s="72"/>
      <c r="D57" s="40" t="s">
        <v>12</v>
      </c>
      <c r="E57" s="13"/>
      <c r="F57" s="13"/>
      <c r="G57" s="13"/>
      <c r="H57" s="9"/>
      <c r="I57" s="13"/>
      <c r="J57" s="13"/>
      <c r="K57" s="13"/>
      <c r="L57" s="11"/>
    </row>
    <row r="58" spans="1:12" ht="4.95" customHeight="1" x14ac:dyDescent="0.35">
      <c r="A58" s="2"/>
      <c r="B58" s="66"/>
      <c r="C58" s="45"/>
      <c r="D58" s="40"/>
      <c r="E58" s="13"/>
      <c r="F58" s="13"/>
      <c r="G58" s="13"/>
      <c r="H58" s="9"/>
      <c r="I58" s="13"/>
      <c r="J58" s="13"/>
      <c r="K58" s="13"/>
      <c r="L58" s="11"/>
    </row>
    <row r="59" spans="1:12" x14ac:dyDescent="0.35">
      <c r="A59" s="2"/>
      <c r="B59" s="66"/>
      <c r="C59" s="45"/>
      <c r="D59" s="36" t="s">
        <v>29</v>
      </c>
      <c r="E59" s="13"/>
      <c r="F59" s="51">
        <v>10000</v>
      </c>
      <c r="G59" s="13"/>
      <c r="H59" s="43" t="s">
        <v>30</v>
      </c>
      <c r="I59" s="13"/>
      <c r="J59" s="52" t="s">
        <v>7</v>
      </c>
      <c r="K59" s="13"/>
      <c r="L59" s="16" t="s">
        <v>30</v>
      </c>
    </row>
    <row r="60" spans="1:12" ht="4.95" customHeight="1" x14ac:dyDescent="0.35">
      <c r="A60" s="2"/>
      <c r="B60" s="66"/>
      <c r="C60" s="45"/>
      <c r="D60" s="35"/>
      <c r="E60" s="7"/>
      <c r="F60" s="7"/>
      <c r="G60" s="7"/>
      <c r="H60" s="6"/>
      <c r="I60" s="7"/>
      <c r="J60" s="7"/>
      <c r="K60" s="7"/>
      <c r="L60" s="46"/>
    </row>
    <row r="61" spans="1:12" ht="22" customHeight="1" x14ac:dyDescent="0.35">
      <c r="A61" s="2"/>
      <c r="B61" s="66"/>
      <c r="C61" s="39"/>
      <c r="D61" s="10"/>
      <c r="E61" s="10"/>
      <c r="F61" s="10"/>
      <c r="G61" s="10"/>
      <c r="H61" s="9"/>
      <c r="I61" s="10"/>
      <c r="J61" s="10"/>
      <c r="K61" s="10"/>
      <c r="L61" s="11"/>
    </row>
    <row r="62" spans="1:12" ht="5.15" customHeight="1" thickBot="1" x14ac:dyDescent="0.4">
      <c r="A62" s="2"/>
      <c r="B62" s="67"/>
      <c r="C62" s="44"/>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75" t="s">
        <v>13</v>
      </c>
      <c r="C65" s="76"/>
      <c r="D65" s="76"/>
      <c r="E65" s="76"/>
      <c r="F65" s="76"/>
      <c r="G65" s="76"/>
      <c r="H65" s="76"/>
      <c r="I65" s="76"/>
      <c r="J65" s="76"/>
      <c r="K65" s="76"/>
      <c r="L65" s="77"/>
    </row>
    <row r="66" spans="1:12" ht="28.4" customHeight="1" x14ac:dyDescent="0.35">
      <c r="A66" s="2"/>
      <c r="B66" s="78"/>
      <c r="C66" s="79"/>
      <c r="D66" s="79"/>
      <c r="E66" s="79"/>
      <c r="F66" s="79"/>
      <c r="G66" s="79"/>
      <c r="H66" s="79"/>
      <c r="I66" s="79"/>
      <c r="J66" s="79"/>
      <c r="K66" s="79"/>
      <c r="L66" s="80"/>
    </row>
    <row r="67" spans="1:12" ht="21.75" customHeight="1" x14ac:dyDescent="0.35">
      <c r="A67" s="2"/>
      <c r="B67" s="65" t="s">
        <v>4</v>
      </c>
      <c r="C67" s="10"/>
      <c r="D67" s="10"/>
      <c r="E67" s="10"/>
      <c r="F67" s="10"/>
      <c r="G67" s="10"/>
      <c r="H67" s="10"/>
      <c r="I67" s="10"/>
      <c r="J67" s="10"/>
      <c r="K67" s="10"/>
      <c r="L67" s="11"/>
    </row>
    <row r="68" spans="1:12" ht="18" customHeight="1" x14ac:dyDescent="0.35">
      <c r="A68" s="2"/>
      <c r="B68" s="66"/>
      <c r="C68" s="5"/>
      <c r="D68" s="6"/>
      <c r="E68" s="68" t="s">
        <v>1</v>
      </c>
      <c r="F68" s="69"/>
      <c r="G68" s="70"/>
      <c r="H68" s="4" t="s">
        <v>2</v>
      </c>
      <c r="I68" s="68" t="s">
        <v>3</v>
      </c>
      <c r="J68" s="69"/>
      <c r="K68" s="70"/>
      <c r="L68" s="12" t="s">
        <v>2</v>
      </c>
    </row>
    <row r="69" spans="1:12" ht="5.15" customHeight="1" x14ac:dyDescent="0.35">
      <c r="A69" s="2"/>
      <c r="B69" s="66"/>
      <c r="C69" s="71"/>
      <c r="D69" s="10"/>
      <c r="E69" s="13"/>
      <c r="F69" s="13"/>
      <c r="G69" s="13"/>
      <c r="H69" s="8"/>
      <c r="I69" s="13"/>
      <c r="J69" s="13"/>
      <c r="K69" s="13"/>
      <c r="L69" s="11"/>
    </row>
    <row r="70" spans="1:12" ht="15.75" customHeight="1" x14ac:dyDescent="0.35">
      <c r="A70" s="2"/>
      <c r="B70" s="66"/>
      <c r="C70" s="72"/>
      <c r="D70" s="40" t="s">
        <v>14</v>
      </c>
      <c r="E70" s="13"/>
      <c r="F70" s="14">
        <v>10000</v>
      </c>
      <c r="G70" s="13"/>
      <c r="H70" s="43" t="s">
        <v>6</v>
      </c>
      <c r="I70" s="13"/>
      <c r="J70" s="15" t="s">
        <v>7</v>
      </c>
      <c r="K70" s="13"/>
      <c r="L70" s="16" t="s">
        <v>6</v>
      </c>
    </row>
    <row r="71" spans="1:12" ht="5.15" customHeight="1" x14ac:dyDescent="0.35">
      <c r="A71" s="2"/>
      <c r="B71" s="66"/>
      <c r="C71" s="73"/>
      <c r="D71" s="41"/>
      <c r="E71" s="7"/>
      <c r="F71" s="7"/>
      <c r="G71" s="7"/>
      <c r="H71" s="6"/>
      <c r="I71" s="7"/>
      <c r="J71" s="7"/>
      <c r="K71" s="7"/>
      <c r="L71" s="42"/>
    </row>
    <row r="72" spans="1:12" ht="5.15" customHeight="1" x14ac:dyDescent="0.35">
      <c r="A72" s="2"/>
      <c r="B72" s="66"/>
      <c r="C72" s="72"/>
      <c r="D72" s="10"/>
      <c r="E72" s="13"/>
      <c r="F72" s="13"/>
      <c r="G72" s="13"/>
      <c r="H72" s="9"/>
      <c r="I72" s="13"/>
      <c r="J72" s="13"/>
      <c r="K72" s="13"/>
      <c r="L72" s="11"/>
    </row>
    <row r="73" spans="1:12" ht="15.75" customHeight="1" x14ac:dyDescent="0.35">
      <c r="A73" s="2"/>
      <c r="B73" s="66"/>
      <c r="C73" s="72"/>
      <c r="D73" s="40" t="s">
        <v>15</v>
      </c>
      <c r="E73" s="13"/>
      <c r="F73" s="14">
        <v>10000</v>
      </c>
      <c r="G73" s="13"/>
      <c r="H73" s="43" t="s">
        <v>6</v>
      </c>
      <c r="I73" s="13"/>
      <c r="J73" s="15" t="s">
        <v>7</v>
      </c>
      <c r="K73" s="13"/>
      <c r="L73" s="16" t="s">
        <v>6</v>
      </c>
    </row>
    <row r="74" spans="1:12" ht="5.15" customHeight="1" x14ac:dyDescent="0.35">
      <c r="A74" s="2"/>
      <c r="B74" s="81"/>
      <c r="C74" s="73"/>
      <c r="D74" s="41"/>
      <c r="E74" s="7"/>
      <c r="F74" s="7"/>
      <c r="G74" s="7"/>
      <c r="H74" s="6"/>
      <c r="I74" s="7"/>
      <c r="J74" s="7"/>
      <c r="K74" s="7"/>
      <c r="L74" s="42"/>
    </row>
    <row r="75" spans="1:12" ht="21.75" customHeight="1" x14ac:dyDescent="0.35">
      <c r="A75" s="2"/>
      <c r="B75" s="65" t="s">
        <v>8</v>
      </c>
      <c r="C75" s="10"/>
      <c r="D75" s="10"/>
      <c r="E75" s="10"/>
      <c r="F75" s="10"/>
      <c r="G75" s="10"/>
      <c r="H75" s="10"/>
      <c r="I75" s="10"/>
      <c r="J75" s="10"/>
      <c r="K75" s="10"/>
      <c r="L75" s="11"/>
    </row>
    <row r="76" spans="1:12" ht="18" customHeight="1" x14ac:dyDescent="0.35">
      <c r="A76" s="2"/>
      <c r="B76" s="66"/>
      <c r="C76" s="5"/>
      <c r="D76" s="6"/>
      <c r="E76" s="68" t="s">
        <v>1</v>
      </c>
      <c r="F76" s="69"/>
      <c r="G76" s="70"/>
      <c r="H76" s="4" t="s">
        <v>2</v>
      </c>
      <c r="I76" s="68" t="s">
        <v>3</v>
      </c>
      <c r="J76" s="69"/>
      <c r="K76" s="70"/>
      <c r="L76" s="12" t="s">
        <v>2</v>
      </c>
    </row>
    <row r="77" spans="1:12" ht="5.15" customHeight="1" x14ac:dyDescent="0.35">
      <c r="A77" s="2"/>
      <c r="B77" s="66"/>
      <c r="C77" s="71"/>
      <c r="D77" s="10"/>
      <c r="E77" s="13"/>
      <c r="F77" s="13"/>
      <c r="G77" s="13"/>
      <c r="H77" s="8"/>
      <c r="I77" s="13"/>
      <c r="J77" s="13"/>
      <c r="K77" s="13"/>
      <c r="L77" s="11"/>
    </row>
    <row r="78" spans="1:12" ht="15.75" customHeight="1" x14ac:dyDescent="0.35">
      <c r="A78" s="2"/>
      <c r="B78" s="66"/>
      <c r="C78" s="72"/>
      <c r="D78" s="40" t="s">
        <v>14</v>
      </c>
      <c r="E78" s="13"/>
      <c r="F78" s="14">
        <v>10000</v>
      </c>
      <c r="G78" s="13"/>
      <c r="H78" s="43" t="s">
        <v>6</v>
      </c>
      <c r="I78" s="13"/>
      <c r="J78" s="15" t="s">
        <v>7</v>
      </c>
      <c r="K78" s="13"/>
      <c r="L78" s="16" t="s">
        <v>6</v>
      </c>
    </row>
    <row r="79" spans="1:12" ht="5.15" customHeight="1" x14ac:dyDescent="0.35">
      <c r="A79" s="2"/>
      <c r="B79" s="66"/>
      <c r="C79" s="73"/>
      <c r="D79" s="41"/>
      <c r="E79" s="7"/>
      <c r="F79" s="7"/>
      <c r="G79" s="7"/>
      <c r="H79" s="6"/>
      <c r="I79" s="7"/>
      <c r="J79" s="7"/>
      <c r="K79" s="7"/>
      <c r="L79" s="42"/>
    </row>
    <row r="80" spans="1:12" ht="5.15" customHeight="1" x14ac:dyDescent="0.35">
      <c r="A80" s="2"/>
      <c r="B80" s="66"/>
      <c r="C80" s="72"/>
      <c r="D80" s="10"/>
      <c r="E80" s="13"/>
      <c r="F80" s="13"/>
      <c r="G80" s="13"/>
      <c r="H80" s="9"/>
      <c r="I80" s="13"/>
      <c r="J80" s="13"/>
      <c r="K80" s="13"/>
      <c r="L80" s="11"/>
    </row>
    <row r="81" spans="1:12" ht="15.75" customHeight="1" x14ac:dyDescent="0.35">
      <c r="A81" s="2"/>
      <c r="B81" s="66"/>
      <c r="C81" s="72"/>
      <c r="D81" s="40" t="s">
        <v>15</v>
      </c>
      <c r="E81" s="13"/>
      <c r="F81" s="14">
        <v>10000</v>
      </c>
      <c r="G81" s="13"/>
      <c r="H81" s="43" t="s">
        <v>6</v>
      </c>
      <c r="I81" s="13"/>
      <c r="J81" s="15" t="s">
        <v>7</v>
      </c>
      <c r="K81" s="13"/>
      <c r="L81" s="16" t="s">
        <v>6</v>
      </c>
    </row>
    <row r="82" spans="1:12" ht="5.15" customHeight="1" thickBot="1" x14ac:dyDescent="0.4">
      <c r="A82" s="2"/>
      <c r="B82" s="67"/>
      <c r="C82" s="74"/>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2P2xzyoY1hquYSsl9kIM/g/hNTuYdu64RAi9fulkalGTTjp6oL1Hs8rSptR5YERHXtIfhO2FwlUMTQ0DzpzrHQ==" saltValue="egTZmyWlpNp2l+n3CJOL1Q==" spinCount="100000" sheet="1" objects="1" scenarios="1" formatCells="0"/>
  <dataConsolidate/>
  <mergeCells count="43">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 ref="E25:G25"/>
    <mergeCell ref="I25:K25"/>
    <mergeCell ref="C26:C28"/>
    <mergeCell ref="C29:C31"/>
    <mergeCell ref="C32:C34"/>
    <mergeCell ref="C35:C37"/>
    <mergeCell ref="C38:C39"/>
    <mergeCell ref="B42:B62"/>
    <mergeCell ref="E43:G43"/>
    <mergeCell ref="I43:K43"/>
    <mergeCell ref="C44:C46"/>
    <mergeCell ref="C47:C49"/>
    <mergeCell ref="C50:C52"/>
    <mergeCell ref="C53:C55"/>
    <mergeCell ref="C56:C57"/>
    <mergeCell ref="B65:L65"/>
    <mergeCell ref="B66:L66"/>
    <mergeCell ref="B67:B74"/>
    <mergeCell ref="E68:G68"/>
    <mergeCell ref="I68:K68"/>
    <mergeCell ref="C69:C71"/>
    <mergeCell ref="C72:C74"/>
    <mergeCell ref="B75:B82"/>
    <mergeCell ref="E76:G76"/>
    <mergeCell ref="I76:K76"/>
    <mergeCell ref="C77:C79"/>
    <mergeCell ref="C80:C82"/>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097" r:id="rId5" name="cbApplyLevelFormatting">
          <controlPr defaultSize="0" autoFill="0" autoLine="0" r:id="rId6">
            <anchor moveWithCells="1">
              <from>
                <xdr:col>7</xdr:col>
                <xdr:colOff>1485900</xdr:colOff>
                <xdr:row>4</xdr:row>
                <xdr:rowOff>70757</xdr:rowOff>
              </from>
              <to>
                <xdr:col>7</xdr:col>
                <xdr:colOff>1611086</xdr:colOff>
                <xdr:row>5</xdr:row>
                <xdr:rowOff>0</xdr:rowOff>
              </to>
            </anchor>
          </controlPr>
        </control>
      </mc:Choice>
      <mc:Fallback>
        <control shapeId="4097" r:id="rId5" name="cbApplyLevelFormatting"/>
      </mc:Fallback>
    </mc:AlternateContent>
    <mc:AlternateContent xmlns:mc="http://schemas.openxmlformats.org/markup-compatibility/2006">
      <mc:Choice Requires="x14">
        <control shapeId="4123" r:id="rId7" name="cbApplyMemberFormatting">
          <controlPr defaultSize="0" autoFill="0" autoLine="0" r:id="rId8">
            <anchor moveWithCells="1">
              <from>
                <xdr:col>9</xdr:col>
                <xdr:colOff>478971</xdr:colOff>
                <xdr:row>21</xdr:row>
                <xdr:rowOff>70757</xdr:rowOff>
              </from>
              <to>
                <xdr:col>9</xdr:col>
                <xdr:colOff>604157</xdr:colOff>
                <xdr:row>22</xdr:row>
                <xdr:rowOff>0</xdr:rowOff>
              </to>
            </anchor>
          </controlPr>
        </control>
      </mc:Choice>
      <mc:Fallback>
        <control shapeId="4123" r:id="rId7" name="cbApplyMemberFormatting"/>
      </mc:Fallback>
    </mc:AlternateContent>
    <mc:AlternateContent xmlns:mc="http://schemas.openxmlformats.org/markup-compatibility/2006">
      <mc:Choice Requires="x14">
        <control shapeId="4141" r:id="rId9" name="cbApplyOddEvenFormatting">
          <controlPr defaultSize="0" autoFill="0" autoLine="0" r:id="rId10">
            <anchor moveWithCells="1">
              <from>
                <xdr:col>7</xdr:col>
                <xdr:colOff>1676400</xdr:colOff>
                <xdr:row>64</xdr:row>
                <xdr:rowOff>70757</xdr:rowOff>
              </from>
              <to>
                <xdr:col>7</xdr:col>
                <xdr:colOff>1801586</xdr:colOff>
                <xdr:row>65</xdr:row>
                <xdr:rowOff>0</xdr:rowOff>
              </to>
            </anchor>
          </controlPr>
        </control>
      </mc:Choice>
      <mc:Fallback>
        <control shapeId="4141" r:id="rId9" name="cbApplyOddEvenFormatting"/>
      </mc:Fallback>
    </mc:AlternateContent>
    <mc:AlternateContent xmlns:mc="http://schemas.openxmlformats.org/markup-compatibility/2006">
      <mc:Choice Requires="x14">
        <control shapeId="4098"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451757</xdr:colOff>
                <xdr:row>5</xdr:row>
                <xdr:rowOff>277586</xdr:rowOff>
              </to>
            </anchor>
          </controlPr>
        </control>
      </mc:Choice>
    </mc:AlternateContent>
    <mc:AlternateContent xmlns:mc="http://schemas.openxmlformats.org/markup-compatibility/2006">
      <mc:Choice Requires="x14">
        <control shapeId="4101" r:id="rId14" name="Group Box 5">
          <controlPr defaultSize="0" autoPict="0">
            <anchor moveWithCells="1">
              <from>
                <xdr:col>3</xdr:col>
                <xdr:colOff>2754086</xdr:colOff>
                <xdr:row>5</xdr:row>
                <xdr:rowOff>0</xdr:rowOff>
              </from>
              <to>
                <xdr:col>8</xdr:col>
                <xdr:colOff>185057</xdr:colOff>
                <xdr:row>6</xdr:row>
                <xdr:rowOff>0</xdr:rowOff>
              </to>
            </anchor>
          </controlPr>
        </control>
      </mc:Choice>
    </mc:AlternateContent>
    <mc:AlternateContent xmlns:mc="http://schemas.openxmlformats.org/markup-compatibility/2006">
      <mc:Choice Requires="x14">
        <control shapeId="4106" r:id="rId15"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9" r:id="rId16" name="cbUseDefaultLevelFirst">
          <controlPr defaultSize="0" autoFill="0" autoLine="0" autoPict="0">
            <anchor moveWithCells="1">
              <from>
                <xdr:col>2</xdr:col>
                <xdr:colOff>125186</xdr:colOff>
                <xdr:row>14</xdr:row>
                <xdr:rowOff>201386</xdr:rowOff>
              </from>
              <to>
                <xdr:col>2</xdr:col>
                <xdr:colOff>1023257</xdr:colOff>
                <xdr:row>17</xdr:row>
                <xdr:rowOff>38100</xdr:rowOff>
              </to>
            </anchor>
          </controlPr>
        </control>
      </mc:Choice>
    </mc:AlternateContent>
    <mc:AlternateContent xmlns:mc="http://schemas.openxmlformats.org/markup-compatibility/2006">
      <mc:Choice Requires="x14">
        <control shapeId="4115" r:id="rId17"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8" r:id="rId18" name="cbUseDefaultLevelSecond">
          <controlPr defaultSize="0" autoFill="0" autoLine="0" autoPict="0">
            <anchor moveWithCells="1">
              <from>
                <xdr:col>2</xdr:col>
                <xdr:colOff>125186</xdr:colOff>
                <xdr:row>9</xdr:row>
                <xdr:rowOff>0</xdr:rowOff>
              </from>
              <to>
                <xdr:col>2</xdr:col>
                <xdr:colOff>1023257</xdr:colOff>
                <xdr:row>11</xdr:row>
                <xdr:rowOff>38100</xdr:rowOff>
              </to>
            </anchor>
          </controlPr>
        </control>
      </mc:Choice>
    </mc:AlternateContent>
    <mc:AlternateContent xmlns:mc="http://schemas.openxmlformats.org/markup-compatibility/2006">
      <mc:Choice Requires="x14">
        <control shapeId="4124" r:id="rId19"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451757</xdr:colOff>
                <xdr:row>22</xdr:row>
                <xdr:rowOff>277586</xdr:rowOff>
              </to>
            </anchor>
          </controlPr>
        </control>
      </mc:Choice>
    </mc:AlternateContent>
    <mc:AlternateContent xmlns:mc="http://schemas.openxmlformats.org/markup-compatibility/2006">
      <mc:Choice Requires="x14">
        <control shapeId="4128" r:id="rId22" name="cbApplyCalculatedMemberFirst">
          <controlPr defaultSize="0" autoFill="0" autoLine="0" autoPict="0">
            <anchor moveWithCells="1">
              <from>
                <xdr:col>2</xdr:col>
                <xdr:colOff>125186</xdr:colOff>
                <xdr:row>43</xdr:row>
                <xdr:rowOff>0</xdr:rowOff>
              </from>
              <to>
                <xdr:col>2</xdr:col>
                <xdr:colOff>1023257</xdr:colOff>
                <xdr:row>45</xdr:row>
                <xdr:rowOff>48986</xdr:rowOff>
              </to>
            </anchor>
          </controlPr>
        </control>
      </mc:Choice>
    </mc:AlternateContent>
    <mc:AlternateContent xmlns:mc="http://schemas.openxmlformats.org/markup-compatibility/2006">
      <mc:Choice Requires="x14">
        <control shapeId="4129" r:id="rId23" name="cbApplyImputableMemberFirst">
          <controlPr defaultSize="0" autoFill="0" autoLine="0" autoPict="0">
            <anchor moveWithCells="1">
              <from>
                <xdr:col>2</xdr:col>
                <xdr:colOff>125186</xdr:colOff>
                <xdr:row>46</xdr:row>
                <xdr:rowOff>0</xdr:rowOff>
              </from>
              <to>
                <xdr:col>2</xdr:col>
                <xdr:colOff>1023257</xdr:colOff>
                <xdr:row>48</xdr:row>
                <xdr:rowOff>38100</xdr:rowOff>
              </to>
            </anchor>
          </controlPr>
        </control>
      </mc:Choice>
    </mc:AlternateContent>
    <mc:AlternateContent xmlns:mc="http://schemas.openxmlformats.org/markup-compatibility/2006">
      <mc:Choice Requires="x14">
        <control shapeId="4130" r:id="rId24" name="cbApplyLocalMemberFirst">
          <controlPr defaultSize="0" autoFill="0" autoLine="0" autoPict="0">
            <anchor moveWithCells="1">
              <from>
                <xdr:col>2</xdr:col>
                <xdr:colOff>125186</xdr:colOff>
                <xdr:row>49</xdr:row>
                <xdr:rowOff>0</xdr:rowOff>
              </from>
              <to>
                <xdr:col>2</xdr:col>
                <xdr:colOff>1023257</xdr:colOff>
                <xdr:row>51</xdr:row>
                <xdr:rowOff>38100</xdr:rowOff>
              </to>
            </anchor>
          </controlPr>
        </control>
      </mc:Choice>
    </mc:AlternateContent>
    <mc:AlternateContent xmlns:mc="http://schemas.openxmlformats.org/markup-compatibility/2006">
      <mc:Choice Requires="x14">
        <control shapeId="4131" r:id="rId25" name="cbApplyChangedMemberFirst">
          <controlPr defaultSize="0" autoFill="0" autoLine="0" autoPict="0">
            <anchor moveWithCells="1">
              <from>
                <xdr:col>2</xdr:col>
                <xdr:colOff>125186</xdr:colOff>
                <xdr:row>52</xdr:row>
                <xdr:rowOff>0</xdr:rowOff>
              </from>
              <to>
                <xdr:col>2</xdr:col>
                <xdr:colOff>1023257</xdr:colOff>
                <xdr:row>54</xdr:row>
                <xdr:rowOff>38100</xdr:rowOff>
              </to>
            </anchor>
          </controlPr>
        </control>
      </mc:Choice>
    </mc:AlternateContent>
    <mc:AlternateContent xmlns:mc="http://schemas.openxmlformats.org/markup-compatibility/2006">
      <mc:Choice Requires="x14">
        <control shapeId="4132" r:id="rId26" name="cbApplySpecificMemberFirst">
          <controlPr defaultSize="0" autoFill="0" autoLine="0" autoPict="0">
            <anchor moveWithCells="1">
              <from>
                <xdr:col>2</xdr:col>
                <xdr:colOff>125186</xdr:colOff>
                <xdr:row>55</xdr:row>
                <xdr:rowOff>48986</xdr:rowOff>
              </from>
              <to>
                <xdr:col>2</xdr:col>
                <xdr:colOff>1023257</xdr:colOff>
                <xdr:row>57</xdr:row>
                <xdr:rowOff>0</xdr:rowOff>
              </to>
            </anchor>
          </controlPr>
        </control>
      </mc:Choice>
    </mc:AlternateContent>
    <mc:AlternateContent xmlns:mc="http://schemas.openxmlformats.org/markup-compatibility/2006">
      <mc:Choice Requires="x14">
        <control shapeId="4133" r:id="rId27"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5" r:id="rId28" name="cbApplyCalculatedMemberSecond">
          <controlPr defaultSize="0" autoFill="0" autoLine="0" autoPict="0">
            <anchor moveWithCells="1">
              <from>
                <xdr:col>2</xdr:col>
                <xdr:colOff>125186</xdr:colOff>
                <xdr:row>25</xdr:row>
                <xdr:rowOff>0</xdr:rowOff>
              </from>
              <to>
                <xdr:col>2</xdr:col>
                <xdr:colOff>1023257</xdr:colOff>
                <xdr:row>27</xdr:row>
                <xdr:rowOff>48986</xdr:rowOff>
              </to>
            </anchor>
          </controlPr>
        </control>
      </mc:Choice>
    </mc:AlternateContent>
    <mc:AlternateContent xmlns:mc="http://schemas.openxmlformats.org/markup-compatibility/2006">
      <mc:Choice Requires="x14">
        <control shapeId="4136" r:id="rId29" name="cbApplyImputableMemberSecond">
          <controlPr defaultSize="0" autoFill="0" autoLine="0" autoPict="0">
            <anchor moveWithCells="1">
              <from>
                <xdr:col>2</xdr:col>
                <xdr:colOff>125186</xdr:colOff>
                <xdr:row>28</xdr:row>
                <xdr:rowOff>0</xdr:rowOff>
              </from>
              <to>
                <xdr:col>2</xdr:col>
                <xdr:colOff>1023257</xdr:colOff>
                <xdr:row>30</xdr:row>
                <xdr:rowOff>38100</xdr:rowOff>
              </to>
            </anchor>
          </controlPr>
        </control>
      </mc:Choice>
    </mc:AlternateContent>
    <mc:AlternateContent xmlns:mc="http://schemas.openxmlformats.org/markup-compatibility/2006">
      <mc:Choice Requires="x14">
        <control shapeId="4137" r:id="rId30" name="cbApplyLocalMemberSecond">
          <controlPr defaultSize="0" autoFill="0" autoLine="0" autoPict="0">
            <anchor moveWithCells="1">
              <from>
                <xdr:col>2</xdr:col>
                <xdr:colOff>125186</xdr:colOff>
                <xdr:row>31</xdr:row>
                <xdr:rowOff>0</xdr:rowOff>
              </from>
              <to>
                <xdr:col>2</xdr:col>
                <xdr:colOff>1023257</xdr:colOff>
                <xdr:row>33</xdr:row>
                <xdr:rowOff>38100</xdr:rowOff>
              </to>
            </anchor>
          </controlPr>
        </control>
      </mc:Choice>
    </mc:AlternateContent>
    <mc:AlternateContent xmlns:mc="http://schemas.openxmlformats.org/markup-compatibility/2006">
      <mc:Choice Requires="x14">
        <control shapeId="4138" r:id="rId31" name="cbApplyChangedMemberSecond">
          <controlPr defaultSize="0" autoFill="0" autoLine="0" autoPict="0">
            <anchor moveWithCells="1">
              <from>
                <xdr:col>2</xdr:col>
                <xdr:colOff>125186</xdr:colOff>
                <xdr:row>34</xdr:row>
                <xdr:rowOff>0</xdr:rowOff>
              </from>
              <to>
                <xdr:col>2</xdr:col>
                <xdr:colOff>1023257</xdr:colOff>
                <xdr:row>36</xdr:row>
                <xdr:rowOff>38100</xdr:rowOff>
              </to>
            </anchor>
          </controlPr>
        </control>
      </mc:Choice>
    </mc:AlternateContent>
    <mc:AlternateContent xmlns:mc="http://schemas.openxmlformats.org/markup-compatibility/2006">
      <mc:Choice Requires="x14">
        <control shapeId="4139" r:id="rId32" name="cbApplySpecificMemberSecond">
          <controlPr defaultSize="0" autoFill="0" autoLine="0" autoPict="0">
            <anchor moveWithCells="1">
              <from>
                <xdr:col>2</xdr:col>
                <xdr:colOff>125186</xdr:colOff>
                <xdr:row>37</xdr:row>
                <xdr:rowOff>48986</xdr:rowOff>
              </from>
              <to>
                <xdr:col>2</xdr:col>
                <xdr:colOff>1023257</xdr:colOff>
                <xdr:row>39</xdr:row>
                <xdr:rowOff>0</xdr:rowOff>
              </to>
            </anchor>
          </controlPr>
        </control>
      </mc:Choice>
    </mc:AlternateContent>
    <mc:AlternateContent xmlns:mc="http://schemas.openxmlformats.org/markup-compatibility/2006">
      <mc:Choice Requires="x14">
        <control shapeId="4140" r:id="rId33"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34"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35" name="obOddEvenRowFirst">
          <controlPr defaultSize="0" autoFill="0" autoLine="0" autoPict="0" macro="_xll.IBPXLClient.TechnicalCategory.ButtonActionInIBPClientFormattingSheet">
            <anchor moveWithCells="1">
              <from>
                <xdr:col>3</xdr:col>
                <xdr:colOff>489857</xdr:colOff>
                <xdr:row>65</xdr:row>
                <xdr:rowOff>70757</xdr:rowOff>
              </from>
              <to>
                <xdr:col>3</xdr:col>
                <xdr:colOff>2612571</xdr:colOff>
                <xdr:row>65</xdr:row>
                <xdr:rowOff>277586</xdr:rowOff>
              </to>
            </anchor>
          </controlPr>
        </control>
      </mc:Choice>
    </mc:AlternateContent>
    <mc:AlternateContent xmlns:mc="http://schemas.openxmlformats.org/markup-compatibility/2006">
      <mc:Choice Requires="x14">
        <control shapeId="4144" r:id="rId36" name="obOddEvenColumnFirst">
          <controlPr defaultSize="0" autoFill="0" autoLine="0" autoPict="0" macro="_xll.IBPXLClient.TechnicalCategory.ButtonActionInIBPClientFormattingSheet">
            <anchor moveWithCells="1">
              <from>
                <xdr:col>1</xdr:col>
                <xdr:colOff>212271</xdr:colOff>
                <xdr:row>65</xdr:row>
                <xdr:rowOff>70757</xdr:rowOff>
              </from>
              <to>
                <xdr:col>3</xdr:col>
                <xdr:colOff>451757</xdr:colOff>
                <xdr:row>65</xdr:row>
                <xdr:rowOff>277586</xdr:rowOff>
              </to>
            </anchor>
          </controlPr>
        </control>
      </mc:Choice>
    </mc:AlternateContent>
    <mc:AlternateContent xmlns:mc="http://schemas.openxmlformats.org/markup-compatibility/2006">
      <mc:Choice Requires="x14">
        <control shapeId="4145" r:id="rId37" name="cbUseOddFirst">
          <controlPr defaultSize="0" autoFill="0" autoLine="0" autoPict="0">
            <anchor moveWithCells="1">
              <from>
                <xdr:col>2</xdr:col>
                <xdr:colOff>125186</xdr:colOff>
                <xdr:row>68</xdr:row>
                <xdr:rowOff>0</xdr:rowOff>
              </from>
              <to>
                <xdr:col>2</xdr:col>
                <xdr:colOff>1023257</xdr:colOff>
                <xdr:row>70</xdr:row>
                <xdr:rowOff>38100</xdr:rowOff>
              </to>
            </anchor>
          </controlPr>
        </control>
      </mc:Choice>
    </mc:AlternateContent>
    <mc:AlternateContent xmlns:mc="http://schemas.openxmlformats.org/markup-compatibility/2006">
      <mc:Choice Requires="x14">
        <control shapeId="4146" r:id="rId38" name="cbUseEvenFirst">
          <controlPr defaultSize="0" autoFill="0" autoLine="0" autoPict="0">
            <anchor moveWithCells="1">
              <from>
                <xdr:col>2</xdr:col>
                <xdr:colOff>125186</xdr:colOff>
                <xdr:row>71</xdr:row>
                <xdr:rowOff>0</xdr:rowOff>
              </from>
              <to>
                <xdr:col>2</xdr:col>
                <xdr:colOff>1023257</xdr:colOff>
                <xdr:row>73</xdr:row>
                <xdr:rowOff>38100</xdr:rowOff>
              </to>
            </anchor>
          </controlPr>
        </control>
      </mc:Choice>
    </mc:AlternateContent>
    <mc:AlternateContent xmlns:mc="http://schemas.openxmlformats.org/markup-compatibility/2006">
      <mc:Choice Requires="x14">
        <control shapeId="4147" r:id="rId39" name="cbUseOddSecond">
          <controlPr defaultSize="0" autoFill="0" autoLine="0" autoPict="0">
            <anchor moveWithCells="1">
              <from>
                <xdr:col>2</xdr:col>
                <xdr:colOff>125186</xdr:colOff>
                <xdr:row>76</xdr:row>
                <xdr:rowOff>0</xdr:rowOff>
              </from>
              <to>
                <xdr:col>2</xdr:col>
                <xdr:colOff>1023257</xdr:colOff>
                <xdr:row>78</xdr:row>
                <xdr:rowOff>38100</xdr:rowOff>
              </to>
            </anchor>
          </controlPr>
        </control>
      </mc:Choice>
    </mc:AlternateContent>
    <mc:AlternateContent xmlns:mc="http://schemas.openxmlformats.org/markup-compatibility/2006">
      <mc:Choice Requires="x14">
        <control shapeId="4148" r:id="rId40" name="cbUseEvenSecond">
          <controlPr defaultSize="0" autoFill="0" autoLine="0" autoPict="0">
            <anchor moveWithCells="1">
              <from>
                <xdr:col>2</xdr:col>
                <xdr:colOff>125186</xdr:colOff>
                <xdr:row>78</xdr:row>
                <xdr:rowOff>48986</xdr:rowOff>
              </from>
              <to>
                <xdr:col>2</xdr:col>
                <xdr:colOff>1023257</xdr:colOff>
                <xdr:row>81</xdr:row>
                <xdr:rowOff>38100</xdr:rowOff>
              </to>
            </anchor>
          </controlPr>
        </control>
      </mc:Choice>
    </mc:AlternateContent>
    <mc:AlternateContent xmlns:mc="http://schemas.openxmlformats.org/markup-compatibility/2006">
      <mc:Choice Requires="x14">
        <control shapeId="4219" r:id="rId41"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42"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43"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44"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718457</xdr:colOff>
                <xdr:row>59</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124"/>
  <sheetViews>
    <sheetView showGridLines="0" tabSelected="1" zoomScaleNormal="100" workbookViewId="0">
      <pane xSplit="10" ySplit="4" topLeftCell="K5" activePane="bottomRight" state="frozen"/>
      <selection activeCell="Y9" sqref="Y9"/>
      <selection pane="topRight" activeCell="Y9" sqref="Y9"/>
      <selection pane="bottomLeft" activeCell="Y9" sqref="Y9"/>
      <selection pane="bottomRight" activeCell="I5" sqref="I5"/>
    </sheetView>
  </sheetViews>
  <sheetFormatPr defaultRowHeight="14.6" x14ac:dyDescent="0.4"/>
  <cols>
    <col min="1" max="5" width="1.3828125" bestFit="1" customWidth="1"/>
    <col min="6" max="6" width="10.15234375" bestFit="1" customWidth="1"/>
    <col min="7" max="7" width="9.61328125" bestFit="1" customWidth="1"/>
    <col min="8" max="8" width="12.61328125" bestFit="1" customWidth="1"/>
    <col min="9" max="9" width="9" bestFit="1" customWidth="1"/>
    <col min="10" max="10" width="33.61328125" bestFit="1" customWidth="1"/>
    <col min="11" max="11" width="8.53515625" bestFit="1" customWidth="1"/>
    <col min="12" max="12" width="9.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1" customFormat="1" ht="28.3" customHeight="1" x14ac:dyDescent="0.4">
      <c r="A1" s="93"/>
      <c r="B1" s="93"/>
      <c r="C1" s="93"/>
      <c r="D1" s="93"/>
      <c r="E1" s="93"/>
      <c r="F1" s="93"/>
      <c r="G1" s="93"/>
      <c r="H1" s="93"/>
      <c r="I1" s="93"/>
      <c r="J1" s="93"/>
      <c r="K1" s="94" t="str">
        <f>" "&amp;IFERROR(IF(SOP_Favorite_Name&lt;&gt;" ",SOP_Favorite_Name,IF(SOP_Template_Name&lt;&gt;" ",SOP_Template_Name,"Ad Hoc Planning View")),"Offline")</f>
        <v xml:space="preserve"> Change ABC Code</v>
      </c>
      <c r="L1" s="94"/>
      <c r="M1" s="94"/>
      <c r="N1" s="94"/>
      <c r="O1" s="94"/>
      <c r="P1" s="94"/>
      <c r="Q1" s="95" t="str">
        <f>"User: "&amp;_xll.EPMUser()&amp;"   |    Planning Area: "&amp;IFERROR(SOP_Planning_Area,"Offline")&amp;"
"&amp;"Template: "&amp;IFERROR(SOP_Template_Name,"none")</f>
        <v>User: #Error, no current connection.   |    Planning Area: SAP6
Template: template name</v>
      </c>
      <c r="R1" s="95"/>
      <c r="S1" s="95"/>
      <c r="T1" s="95"/>
      <c r="U1" s="95"/>
      <c r="V1" s="95"/>
      <c r="W1" s="53"/>
      <c r="X1" s="54"/>
      <c r="Y1" s="54"/>
      <c r="Z1" s="54"/>
      <c r="AA1" s="54"/>
      <c r="AB1" s="54"/>
      <c r="AC1" s="54"/>
      <c r="AD1" s="54"/>
      <c r="AE1" s="55"/>
      <c r="AF1" s="55"/>
      <c r="AG1" s="55"/>
      <c r="AH1" s="55"/>
      <c r="AI1" s="55"/>
      <c r="AJ1" s="55"/>
      <c r="AK1" s="55"/>
      <c r="AL1" s="56"/>
      <c r="AM1" s="56"/>
      <c r="AN1" s="56"/>
      <c r="AO1" s="56"/>
      <c r="AP1" s="56"/>
      <c r="AQ1" s="56"/>
      <c r="AR1" s="56"/>
      <c r="AS1" s="56"/>
      <c r="AT1" s="56"/>
      <c r="AU1" s="56"/>
      <c r="AV1" s="56"/>
      <c r="AW1" s="56"/>
      <c r="AX1" s="56"/>
      <c r="AY1" s="56"/>
      <c r="AZ1" s="56"/>
      <c r="BA1" s="56"/>
      <c r="BB1" s="56"/>
      <c r="BC1" s="56"/>
      <c r="BD1" s="56"/>
      <c r="BE1" s="56"/>
      <c r="BF1" s="56"/>
      <c r="BG1" s="56"/>
      <c r="BH1" s="56"/>
      <c r="BI1" s="56"/>
      <c r="BJ1" s="56"/>
      <c r="BK1" s="56"/>
      <c r="BL1" s="56"/>
      <c r="BM1" s="56"/>
      <c r="BN1" s="56"/>
      <c r="BO1" s="56"/>
      <c r="BP1" s="56"/>
      <c r="BQ1" s="56"/>
      <c r="BR1" s="57"/>
      <c r="BS1" s="57"/>
      <c r="BT1" s="57"/>
      <c r="BU1" s="57"/>
      <c r="BV1" s="57"/>
      <c r="BW1" s="57"/>
      <c r="BX1" s="57"/>
      <c r="BY1" s="57"/>
      <c r="BZ1" s="57"/>
      <c r="CA1" s="57"/>
      <c r="CB1" s="57"/>
      <c r="CC1" s="57"/>
      <c r="CD1" s="57"/>
    </row>
    <row r="2" spans="1:82" s="31" customFormat="1" ht="60" customHeight="1" x14ac:dyDescent="0.4">
      <c r="A2" s="96"/>
      <c r="B2" s="96"/>
      <c r="C2" s="96"/>
      <c r="D2" s="96"/>
      <c r="E2" s="96"/>
      <c r="F2" s="96"/>
      <c r="G2" s="96"/>
      <c r="H2" s="96"/>
      <c r="I2" s="96"/>
      <c r="J2" s="96"/>
      <c r="K2" s="97" t="str">
        <f>"  Last Refresh: "&amp;IFERROR(YEAR(SOP_Refresh_Timestamp)&amp;"-"&amp;TEXT(SOP_Refresh_Timestamp,"MMM")&amp;"-"&amp;DAY(SOP_Refresh_Timestamp)&amp;"   "&amp;TEXT(SOP_Refresh_Timestamp,"HH:MM:SS"),"Offline")</f>
        <v xml:space="preserve">  Last Refresh: 2022-Apr-26   09:07:19</v>
      </c>
      <c r="L2" s="97"/>
      <c r="M2" s="97"/>
      <c r="N2" s="97"/>
      <c r="O2" s="97"/>
      <c r="P2" s="97"/>
      <c r="Q2" s="97"/>
      <c r="R2" s="97"/>
      <c r="S2" s="97"/>
      <c r="T2" s="97"/>
      <c r="U2" s="97"/>
      <c r="V2" s="97"/>
      <c r="W2" s="53"/>
      <c r="X2" s="54"/>
      <c r="Y2" s="54"/>
      <c r="Z2" s="54"/>
      <c r="AA2" s="54"/>
      <c r="AB2" s="54"/>
      <c r="AC2" s="54"/>
      <c r="AD2" s="54"/>
      <c r="AE2" s="55"/>
      <c r="AF2" s="55"/>
      <c r="AG2" s="55"/>
      <c r="AH2" s="55"/>
      <c r="AI2" s="55"/>
      <c r="AJ2" s="55"/>
      <c r="AK2" s="55"/>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7"/>
      <c r="BS2" s="57"/>
      <c r="BT2" s="57"/>
      <c r="BU2" s="57"/>
      <c r="BV2" s="57"/>
      <c r="BW2" s="57"/>
      <c r="BX2" s="57"/>
      <c r="BY2" s="57"/>
      <c r="BZ2" s="57"/>
      <c r="CA2" s="57"/>
      <c r="CB2" s="57"/>
      <c r="CC2" s="57"/>
      <c r="CD2" s="57"/>
    </row>
    <row r="3" spans="1:82" s="31" customFormat="1" ht="22.3" customHeight="1" x14ac:dyDescent="0.4">
      <c r="A3" s="60"/>
      <c r="B3" s="60"/>
      <c r="C3" s="60"/>
      <c r="D3" s="60"/>
      <c r="E3" s="60"/>
      <c r="F3" s="60"/>
      <c r="G3" s="60"/>
      <c r="H3" s="60"/>
      <c r="I3" s="60"/>
      <c r="J3" s="60"/>
      <c r="K3" s="61"/>
      <c r="L3" s="61"/>
      <c r="M3" s="61"/>
      <c r="N3" s="61"/>
      <c r="O3" s="61"/>
      <c r="P3" s="61"/>
      <c r="Q3" s="61"/>
      <c r="R3" s="61"/>
      <c r="S3" s="61"/>
      <c r="T3" s="61"/>
      <c r="U3" s="61"/>
      <c r="V3" s="61"/>
      <c r="W3" s="53"/>
      <c r="X3" s="54"/>
      <c r="Y3" s="54"/>
      <c r="Z3" s="54"/>
      <c r="AA3" s="54"/>
      <c r="AB3" s="54"/>
      <c r="AC3" s="54"/>
      <c r="AD3" s="54"/>
      <c r="AE3" s="55"/>
      <c r="AF3" s="55"/>
      <c r="AG3" s="55"/>
      <c r="AH3" s="55"/>
      <c r="AI3" s="55"/>
      <c r="AJ3" s="55"/>
      <c r="AK3" s="55"/>
      <c r="AL3" s="56"/>
      <c r="AM3" s="56"/>
      <c r="AN3" s="56"/>
      <c r="AO3" s="56"/>
      <c r="AP3" s="56"/>
      <c r="AQ3" s="56"/>
      <c r="AR3" s="56"/>
      <c r="AS3" s="56"/>
      <c r="AT3" s="56"/>
      <c r="AU3" s="56"/>
      <c r="AV3" s="56"/>
      <c r="AW3" s="56"/>
      <c r="AX3" s="56"/>
      <c r="AY3" s="56"/>
      <c r="AZ3" s="56"/>
      <c r="BA3" s="56"/>
      <c r="BB3" s="56"/>
      <c r="BC3" s="56"/>
      <c r="BD3" s="56"/>
      <c r="BE3" s="56"/>
      <c r="BF3" s="56"/>
      <c r="BG3" s="56"/>
      <c r="BH3" s="56"/>
      <c r="BI3" s="56"/>
      <c r="BJ3" s="56"/>
      <c r="BK3" s="56"/>
      <c r="BL3" s="56"/>
      <c r="BM3" s="56"/>
      <c r="BN3" s="56"/>
      <c r="BO3" s="56"/>
      <c r="BP3" s="56"/>
      <c r="BQ3" s="56"/>
      <c r="BR3" s="57"/>
      <c r="BS3" s="57"/>
      <c r="BT3" s="57"/>
      <c r="BU3" s="57"/>
      <c r="BV3" s="57"/>
      <c r="BW3" s="57"/>
      <c r="BX3" s="57"/>
      <c r="BY3" s="57"/>
      <c r="BZ3" s="57"/>
      <c r="CA3" s="57"/>
      <c r="CB3" s="57"/>
      <c r="CC3" s="57"/>
      <c r="CD3" s="57"/>
    </row>
    <row r="4" spans="1:82" s="32" customFormat="1" x14ac:dyDescent="0.4">
      <c r="A4" s="59" t="str">
        <f>SOP_Heading10</f>
        <v xml:space="preserve"> </v>
      </c>
      <c r="B4" s="59" t="str">
        <f>SOP_Heading9</f>
        <v xml:space="preserve"> </v>
      </c>
      <c r="C4" s="59" t="str">
        <f>SOP_Heading8</f>
        <v xml:space="preserve"> </v>
      </c>
      <c r="D4" s="59" t="str">
        <f>SOP_Heading7</f>
        <v xml:space="preserve"> </v>
      </c>
      <c r="E4" s="59" t="str">
        <f>SOP_Heading6</f>
        <v xml:space="preserve"> </v>
      </c>
      <c r="F4" s="59" t="str">
        <f>SOP_Heading5</f>
        <v xml:space="preserve"> </v>
      </c>
      <c r="G4" s="59" t="str">
        <f>SOP_Heading4</f>
        <v>Product ID</v>
      </c>
      <c r="H4" s="59" t="str">
        <f>SOP_Heading3</f>
        <v>Location ID</v>
      </c>
      <c r="I4" s="59" t="str">
        <f>SOP_Heading2</f>
        <v>ABC Code</v>
      </c>
      <c r="J4" s="59" t="str">
        <f>SOP_Heading1</f>
        <v>Key Figure</v>
      </c>
      <c r="K4" s="37" t="str">
        <f xml:space="preserve"> _xll.EPMOlapMemberO("[PERIODID3].[].[70613]","","JAN 2021","","000")</f>
        <v>JAN 2021</v>
      </c>
      <c r="L4" s="37" t="str">
        <f xml:space="preserve"> _xll.EPMOlapMemberO("[PERIODID3].[].[70614]","","FEB 2021","","000")</f>
        <v>FEB 2021</v>
      </c>
      <c r="M4" s="37" t="str">
        <f xml:space="preserve"> _xll.EPMOlapMemberO("[PERIODID3].[].[70615]","","MAR 2021","","000")</f>
        <v>MAR 2021</v>
      </c>
      <c r="N4" s="37" t="str">
        <f xml:space="preserve"> _xll.EPMOlapMemberO("[PERIODID3].[].[70616]","","APR 2021","","000")</f>
        <v>APR 2021</v>
      </c>
      <c r="O4" s="37" t="str">
        <f xml:space="preserve"> _xll.EPMOlapMemberO("[PERIODID3].[].[70617]","","MAY 2021","","000")</f>
        <v>MAY 2021</v>
      </c>
      <c r="P4" s="37" t="str">
        <f xml:space="preserve"> _xll.EPMOlapMemberO("[PERIODID3].[].[70618]","","JUN 2021","","000")</f>
        <v>JUN 2021</v>
      </c>
      <c r="Q4" s="37" t="str">
        <f xml:space="preserve"> _xll.EPMOlapMemberO("[PERIODID3].[].[70619]","","JUL 2021","","000")</f>
        <v>JUL 2021</v>
      </c>
      <c r="R4" s="37" t="str">
        <f xml:space="preserve"> _xll.EPMOlapMemberO("[PERIODID3].[].[70620]","","AUG 2021","","000")</f>
        <v>AUG 2021</v>
      </c>
      <c r="S4" s="37" t="str">
        <f xml:space="preserve"> _xll.EPMOlapMemberO("[PERIODID3].[].[70621]","","SEP 2021","","000")</f>
        <v>SEP 2021</v>
      </c>
      <c r="T4" s="37" t="str">
        <f xml:space="preserve"> _xll.EPMOlapMemberO("[PERIODID3].[].[70622]","","OCT 2021","","000")</f>
        <v>OCT 2021</v>
      </c>
      <c r="U4" s="37" t="str">
        <f xml:space="preserve"> _xll.EPMOlapMemberO("[PERIODID3].[].[70623]","","NOV 2021","","000")</f>
        <v>NOV 2021</v>
      </c>
      <c r="V4" s="37" t="str">
        <f xml:space="preserve"> _xll.EPMOlapMemberO("[PERIODID3].[].[70624]","","DEC 2021","","000")</f>
        <v>DEC 2021</v>
      </c>
      <c r="W4"/>
      <c r="X4"/>
      <c r="Y4"/>
      <c r="Z4"/>
      <c r="AA4"/>
      <c r="AB4"/>
      <c r="AC4"/>
      <c r="AD4"/>
      <c r="AE4"/>
      <c r="AF4"/>
      <c r="AG4"/>
      <c r="AH4"/>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row>
    <row r="5" spans="1:82" x14ac:dyDescent="0.4">
      <c r="A5" s="58"/>
      <c r="B5" s="58"/>
      <c r="C5" s="58"/>
      <c r="D5" s="58"/>
      <c r="E5" s="58"/>
      <c r="G5" s="29" t="str">
        <f xml:space="preserve"> _xll.EPMOlapMemberO("[PRDID].[].[HT_001]","","HT_001","","000")</f>
        <v>HT_001</v>
      </c>
      <c r="H5" s="29" t="str">
        <f xml:space="preserve"> _xll.EPMOlapMemberO("[LOCID].[].[HD_DC_CA_E]","","HD_DC_CA_E","","000")</f>
        <v>HD_DC_CA_E</v>
      </c>
      <c r="I5" s="29" t="str">
        <f xml:space="preserve"> _xll.EPMOlapMemberO("[ABCID].[].[A]","","A","","000")</f>
        <v>A</v>
      </c>
      <c r="J5" s="29" t="str">
        <f xml:space="preserve"> _xll.EPMOlapMemberO("[KEY_FIGURES].[].[CONSENSUSDEMAND]","","Consensus Demand without Promotion","","000")</f>
        <v>Consensus Demand without Promotion</v>
      </c>
      <c r="K5" s="62">
        <v>100</v>
      </c>
      <c r="L5" s="63">
        <v>1651.5</v>
      </c>
      <c r="M5" s="62">
        <v>8000</v>
      </c>
      <c r="N5" s="62">
        <v>1000</v>
      </c>
      <c r="O5" s="64">
        <v>6944</v>
      </c>
      <c r="P5" s="64">
        <v>100</v>
      </c>
      <c r="Q5" s="64">
        <v>125</v>
      </c>
      <c r="R5" s="64">
        <v>100</v>
      </c>
      <c r="S5" s="63">
        <v>100</v>
      </c>
      <c r="T5" s="63">
        <v>100</v>
      </c>
      <c r="U5" s="63">
        <v>300</v>
      </c>
      <c r="V5" s="62">
        <v>5000</v>
      </c>
      <c r="AI5" s="58"/>
      <c r="AJ5" s="58"/>
      <c r="AK5" s="58"/>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8"/>
      <c r="BS5" s="58"/>
      <c r="BT5" s="58"/>
      <c r="BU5" s="58"/>
      <c r="BV5" s="58"/>
      <c r="BW5" s="58"/>
      <c r="BX5" s="58"/>
      <c r="BY5" s="58"/>
      <c r="BZ5" s="58"/>
      <c r="CA5" s="58"/>
      <c r="CB5" s="58"/>
      <c r="CC5" s="58"/>
      <c r="CD5" s="58"/>
    </row>
    <row r="6" spans="1:82" x14ac:dyDescent="0.4">
      <c r="A6" s="58"/>
      <c r="B6" s="58"/>
      <c r="C6" s="58"/>
      <c r="D6" s="58"/>
      <c r="E6" s="58"/>
      <c r="G6" s="29"/>
      <c r="H6" s="29"/>
      <c r="I6" s="29"/>
      <c r="J6" s="29" t="str">
        <f xml:space="preserve"> _xll.EPMOlapMemberO("[KEY_FIGURES].[].[DEMANDPLANNINGQTY]","","Demand Planning Qty","","000")</f>
        <v>Demand Planning Qty</v>
      </c>
      <c r="K6" s="34">
        <v>0</v>
      </c>
      <c r="L6" s="34">
        <v>0</v>
      </c>
      <c r="M6" s="34">
        <v>343</v>
      </c>
      <c r="N6" s="34">
        <v>0</v>
      </c>
      <c r="O6" s="34">
        <v>0</v>
      </c>
      <c r="P6" s="34"/>
      <c r="Q6" s="34"/>
      <c r="R6" s="34"/>
      <c r="S6" s="34">
        <v>0</v>
      </c>
      <c r="T6" s="34">
        <v>0</v>
      </c>
      <c r="U6" s="34">
        <v>0</v>
      </c>
      <c r="V6" s="34">
        <v>13.5</v>
      </c>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58"/>
      <c r="BY6" s="58"/>
      <c r="BZ6" s="58"/>
      <c r="CA6" s="58"/>
      <c r="CB6" s="58"/>
      <c r="CC6" s="58"/>
      <c r="CD6" s="58"/>
    </row>
    <row r="7" spans="1:82" x14ac:dyDescent="0.4">
      <c r="A7" s="58"/>
      <c r="B7" s="58"/>
      <c r="C7" s="58"/>
      <c r="D7" s="58"/>
      <c r="E7" s="58"/>
      <c r="G7" s="29"/>
      <c r="H7" s="29"/>
      <c r="I7" s="29"/>
      <c r="J7" s="29" t="str">
        <f xml:space="preserve"> _xll.EPMOlapMemberO("[KEY_FIGURES].[].[FINALCONSENSUSDEMAND]","","Consensus Demand","","000")</f>
        <v>Consensus Demand</v>
      </c>
      <c r="K7" s="34">
        <v>100</v>
      </c>
      <c r="L7" s="34">
        <v>17316.5</v>
      </c>
      <c r="M7" s="34">
        <v>8000</v>
      </c>
      <c r="N7" s="34">
        <v>1000</v>
      </c>
      <c r="O7" s="34">
        <v>6944</v>
      </c>
      <c r="P7" s="34">
        <v>100</v>
      </c>
      <c r="Q7" s="34">
        <v>125</v>
      </c>
      <c r="R7" s="34">
        <v>100</v>
      </c>
      <c r="S7" s="34">
        <v>100</v>
      </c>
      <c r="T7" s="34">
        <v>100</v>
      </c>
      <c r="U7" s="34">
        <v>300</v>
      </c>
      <c r="V7" s="34">
        <v>5000</v>
      </c>
      <c r="AI7" s="58"/>
      <c r="AJ7" s="58"/>
      <c r="AK7" s="58"/>
      <c r="AL7" s="58"/>
      <c r="AM7" s="58"/>
      <c r="AN7" s="58"/>
      <c r="AO7" s="58"/>
      <c r="AP7" s="58"/>
      <c r="AQ7" s="58"/>
      <c r="AR7" s="58"/>
      <c r="AS7" s="58"/>
      <c r="AT7" s="58"/>
      <c r="AU7" s="58"/>
      <c r="AV7" s="58"/>
      <c r="AW7" s="58"/>
      <c r="AX7" s="58"/>
      <c r="AY7" s="58"/>
      <c r="AZ7" s="58"/>
      <c r="BA7" s="58"/>
      <c r="BB7" s="58"/>
      <c r="BC7" s="58"/>
      <c r="BD7" s="58"/>
      <c r="BE7" s="58"/>
      <c r="BF7" s="58"/>
      <c r="BG7" s="58"/>
      <c r="BH7" s="58"/>
      <c r="BI7" s="58"/>
      <c r="BJ7" s="58"/>
      <c r="BK7" s="58"/>
      <c r="BL7" s="58"/>
      <c r="BM7" s="58"/>
      <c r="BN7" s="58"/>
      <c r="BO7" s="58"/>
      <c r="BP7" s="58"/>
      <c r="BQ7" s="58"/>
      <c r="BR7" s="58"/>
      <c r="BS7" s="58"/>
      <c r="BT7" s="58"/>
      <c r="BU7" s="58"/>
      <c r="BV7" s="58"/>
      <c r="BW7" s="58"/>
      <c r="BX7" s="58"/>
      <c r="BY7" s="58"/>
      <c r="BZ7" s="58"/>
      <c r="CA7" s="58"/>
      <c r="CB7" s="58"/>
      <c r="CC7" s="58"/>
      <c r="CD7" s="58"/>
    </row>
    <row r="8" spans="1:82" x14ac:dyDescent="0.4">
      <c r="A8" s="58"/>
      <c r="B8" s="58"/>
      <c r="C8" s="58"/>
      <c r="D8" s="58"/>
      <c r="E8" s="58"/>
      <c r="G8" s="29"/>
      <c r="H8" s="29"/>
      <c r="I8" s="29"/>
      <c r="J8" s="29" t="str">
        <f xml:space="preserve"> _xll.EPMOlapMemberO("[KEY_FIGURES].[].[ADJDELIVQTY]","","Delivered Qty Adjusted","","000")</f>
        <v>Delivered Qty Adjusted</v>
      </c>
      <c r="K8" s="62">
        <v>100</v>
      </c>
      <c r="L8" s="62">
        <v>2100</v>
      </c>
      <c r="M8" s="62">
        <v>2325</v>
      </c>
      <c r="N8" s="62">
        <v>1710</v>
      </c>
      <c r="O8" s="62">
        <v>1479</v>
      </c>
      <c r="P8" s="62">
        <v>1437</v>
      </c>
      <c r="Q8" s="62">
        <v>43242</v>
      </c>
      <c r="R8" s="62">
        <v>45</v>
      </c>
      <c r="S8" s="62">
        <v>0</v>
      </c>
      <c r="T8" s="62">
        <v>0</v>
      </c>
      <c r="U8" s="62">
        <v>100000</v>
      </c>
      <c r="V8" s="62">
        <v>0</v>
      </c>
      <c r="AI8" s="58"/>
      <c r="AJ8" s="58"/>
      <c r="AK8" s="58"/>
      <c r="AL8" s="58"/>
      <c r="AM8" s="58"/>
      <c r="AN8" s="58"/>
      <c r="AO8" s="58"/>
      <c r="AP8" s="58"/>
      <c r="AQ8" s="58"/>
      <c r="AR8" s="58"/>
      <c r="AS8" s="58"/>
      <c r="AT8" s="58"/>
      <c r="AU8" s="58"/>
      <c r="AV8" s="58"/>
      <c r="AW8" s="58"/>
      <c r="AX8" s="58"/>
      <c r="AY8" s="58"/>
      <c r="AZ8" s="58"/>
      <c r="BA8" s="58"/>
      <c r="BB8" s="58"/>
      <c r="BC8" s="58"/>
      <c r="BD8" s="58"/>
      <c r="BE8" s="58"/>
      <c r="BF8" s="58"/>
      <c r="BG8" s="58"/>
      <c r="BH8" s="58"/>
      <c r="BI8" s="58"/>
      <c r="BJ8" s="58"/>
      <c r="BK8" s="58"/>
      <c r="BL8" s="58"/>
      <c r="BM8" s="58"/>
      <c r="BN8" s="58"/>
      <c r="BO8" s="58"/>
      <c r="BP8" s="58"/>
      <c r="BQ8" s="58"/>
      <c r="BR8" s="58"/>
      <c r="BS8" s="58"/>
      <c r="BT8" s="58"/>
      <c r="BU8" s="58"/>
      <c r="BV8" s="58"/>
      <c r="BW8" s="58"/>
      <c r="BX8" s="58"/>
      <c r="BY8" s="58"/>
      <c r="BZ8" s="58"/>
      <c r="CA8" s="58"/>
      <c r="CB8" s="58"/>
      <c r="CC8" s="58"/>
      <c r="CD8" s="58"/>
    </row>
    <row r="9" spans="1:82" x14ac:dyDescent="0.4">
      <c r="A9" s="58"/>
      <c r="B9" s="58"/>
      <c r="C9" s="58"/>
      <c r="D9" s="58"/>
      <c r="E9" s="58"/>
      <c r="G9" s="29"/>
      <c r="H9" s="29"/>
      <c r="I9" s="29"/>
      <c r="J9" s="29" t="str">
        <f xml:space="preserve"> _xll.EPMOlapMemberO("[KEY_FIGURES].[].[ACTUALSREV]","","Actuals Revenue","","000")</f>
        <v>Actuals Revenue</v>
      </c>
      <c r="K9" s="62"/>
      <c r="L9" s="62"/>
      <c r="M9" s="62"/>
      <c r="N9" s="62"/>
      <c r="O9" s="62"/>
      <c r="P9" s="62"/>
      <c r="Q9" s="62"/>
      <c r="R9" s="62"/>
      <c r="S9" s="62"/>
      <c r="T9" s="62"/>
      <c r="U9" s="62"/>
      <c r="V9" s="62"/>
      <c r="AI9" s="58"/>
      <c r="AJ9" s="58"/>
      <c r="AK9" s="58"/>
      <c r="AL9" s="58"/>
      <c r="AM9" s="58"/>
      <c r="AN9" s="58"/>
      <c r="AO9" s="58"/>
      <c r="AP9" s="58"/>
      <c r="AQ9" s="58"/>
      <c r="AR9" s="58"/>
      <c r="AS9" s="58"/>
      <c r="AT9" s="58"/>
      <c r="AU9" s="58"/>
      <c r="AV9" s="58"/>
      <c r="AW9" s="58"/>
      <c r="AX9" s="58"/>
      <c r="AY9" s="58"/>
      <c r="AZ9" s="58"/>
      <c r="BA9" s="58"/>
      <c r="BB9" s="58"/>
      <c r="BC9" s="58"/>
      <c r="BD9" s="58"/>
      <c r="BE9" s="58"/>
      <c r="BF9" s="58"/>
      <c r="BG9" s="58"/>
      <c r="BH9" s="58"/>
      <c r="BI9" s="58"/>
      <c r="BJ9" s="58"/>
      <c r="BK9" s="58"/>
      <c r="BL9" s="58"/>
      <c r="BM9" s="58"/>
      <c r="BN9" s="58"/>
      <c r="BO9" s="58"/>
      <c r="BP9" s="58"/>
      <c r="BQ9" s="58"/>
      <c r="BR9" s="58"/>
      <c r="BS9" s="58"/>
      <c r="BT9" s="58"/>
      <c r="BU9" s="58"/>
      <c r="BV9" s="58"/>
      <c r="BW9" s="58"/>
      <c r="BX9" s="58"/>
      <c r="BY9" s="58"/>
      <c r="BZ9" s="58"/>
      <c r="CA9" s="58"/>
      <c r="CB9" s="58"/>
      <c r="CC9" s="58"/>
      <c r="CD9" s="58"/>
    </row>
    <row r="10" spans="1:82" x14ac:dyDescent="0.4">
      <c r="A10" s="58"/>
      <c r="B10" s="58"/>
      <c r="C10" s="58"/>
      <c r="D10" s="58"/>
      <c r="E10" s="58"/>
      <c r="G10" s="29"/>
      <c r="H10" s="29"/>
      <c r="I10" s="29"/>
      <c r="J10" s="29" t="str">
        <f xml:space="preserve"> _xll.EPMOlapMemberO("[KEY_FIGURES].[].[CONFQTY]","","Confirmed Qty","","000")</f>
        <v>Confirmed Qty</v>
      </c>
      <c r="K10" s="34"/>
      <c r="L10" s="34"/>
      <c r="M10" s="34"/>
      <c r="N10" s="34"/>
      <c r="O10" s="34"/>
      <c r="P10" s="34"/>
      <c r="Q10" s="34"/>
      <c r="R10" s="34"/>
      <c r="S10" s="34"/>
      <c r="T10" s="34"/>
      <c r="U10" s="34"/>
      <c r="V10" s="34"/>
      <c r="AI10" s="58"/>
      <c r="AJ10" s="58"/>
      <c r="AK10" s="58"/>
      <c r="AL10" s="58"/>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BO10" s="58"/>
      <c r="BP10" s="58"/>
      <c r="BQ10" s="58"/>
      <c r="BR10" s="58"/>
      <c r="BS10" s="58"/>
      <c r="BT10" s="58"/>
      <c r="BU10" s="58"/>
      <c r="BV10" s="58"/>
      <c r="BW10" s="58"/>
      <c r="BX10" s="58"/>
      <c r="BY10" s="58"/>
      <c r="BZ10" s="58"/>
      <c r="CA10" s="58"/>
      <c r="CB10" s="58"/>
      <c r="CC10" s="58"/>
      <c r="CD10" s="58"/>
    </row>
    <row r="11" spans="1:82" x14ac:dyDescent="0.4">
      <c r="A11" s="58"/>
      <c r="B11" s="58"/>
      <c r="C11" s="58"/>
      <c r="D11" s="58"/>
      <c r="E11" s="58"/>
      <c r="G11" s="29"/>
      <c r="H11" s="29" t="str">
        <f xml:space="preserve"> _xll.EPMOlapMemberO("[LOCID].[].[HD_DC_FR]","","HD_DC_FR","","000")</f>
        <v>HD_DC_FR</v>
      </c>
      <c r="I11" s="29" t="str">
        <f xml:space="preserve"> _xll.EPMOlapMemberO("[ABCID].[].[A]","","A","","000")</f>
        <v>A</v>
      </c>
      <c r="J11" s="29" t="str">
        <f xml:space="preserve"> _xll.EPMOlapMemberO("[KEY_FIGURES].[].[CONSENSUSDEMAND]","","Consensus Demand without Promotion","","000")</f>
        <v>Consensus Demand without Promotion</v>
      </c>
      <c r="K11" s="64">
        <v>45</v>
      </c>
      <c r="L11" s="62">
        <v>100</v>
      </c>
      <c r="M11" s="64">
        <v>22500</v>
      </c>
      <c r="N11" s="64">
        <v>200</v>
      </c>
      <c r="O11" s="64">
        <v>250</v>
      </c>
      <c r="P11" s="64">
        <v>150</v>
      </c>
      <c r="Q11" s="62"/>
      <c r="R11" s="62"/>
      <c r="S11" s="62">
        <v>1000</v>
      </c>
      <c r="T11" s="62">
        <v>450</v>
      </c>
      <c r="U11" s="62">
        <v>0</v>
      </c>
      <c r="V11" s="62">
        <v>0</v>
      </c>
      <c r="AI11" s="58"/>
      <c r="AJ11" s="58"/>
      <c r="AK11" s="58"/>
      <c r="AL11" s="58"/>
      <c r="AM11" s="58"/>
      <c r="AN11" s="58"/>
      <c r="AO11" s="58"/>
      <c r="AP11" s="58"/>
      <c r="AQ11" s="58"/>
      <c r="AR11" s="58"/>
      <c r="AS11" s="58"/>
      <c r="AT11" s="58"/>
      <c r="AU11" s="58"/>
      <c r="AV11" s="58"/>
      <c r="AW11" s="58"/>
      <c r="AX11" s="58"/>
      <c r="AY11" s="58"/>
      <c r="AZ11" s="58"/>
      <c r="BA11" s="58"/>
      <c r="BB11" s="58"/>
      <c r="BC11" s="58"/>
      <c r="BD11" s="58"/>
      <c r="BE11" s="58"/>
      <c r="BF11" s="58"/>
      <c r="BG11" s="58"/>
      <c r="BH11" s="58"/>
      <c r="BI11" s="58"/>
      <c r="BJ11" s="58"/>
      <c r="BK11" s="58"/>
      <c r="BL11" s="58"/>
      <c r="BM11" s="58"/>
      <c r="BN11" s="58"/>
      <c r="BO11" s="58"/>
      <c r="BP11" s="58"/>
      <c r="BQ11" s="58"/>
      <c r="BR11" s="58"/>
      <c r="BS11" s="58"/>
      <c r="BT11" s="58"/>
      <c r="BU11" s="58"/>
      <c r="BV11" s="58"/>
      <c r="BW11" s="58"/>
      <c r="BX11" s="58"/>
      <c r="BY11" s="58"/>
      <c r="BZ11" s="58"/>
      <c r="CA11" s="58"/>
      <c r="CB11" s="58"/>
      <c r="CC11" s="58"/>
      <c r="CD11" s="58"/>
    </row>
    <row r="12" spans="1:82" x14ac:dyDescent="0.4">
      <c r="A12" s="58"/>
      <c r="B12" s="58"/>
      <c r="C12" s="58"/>
      <c r="D12" s="58"/>
      <c r="E12" s="58"/>
      <c r="G12" s="29"/>
      <c r="H12" s="29"/>
      <c r="I12" s="29"/>
      <c r="J12" s="29" t="str">
        <f xml:space="preserve"> _xll.EPMOlapMemberO("[KEY_FIGURES].[].[DEMANDPLANNINGQTY]","","Demand Planning Qty","","000")</f>
        <v>Demand Planning Qty</v>
      </c>
      <c r="K12" s="34">
        <v>45</v>
      </c>
      <c r="L12" s="34">
        <v>0</v>
      </c>
      <c r="M12" s="34">
        <v>0</v>
      </c>
      <c r="N12" s="34">
        <v>0</v>
      </c>
      <c r="O12" s="34">
        <v>0</v>
      </c>
      <c r="P12" s="34"/>
      <c r="Q12" s="34"/>
      <c r="R12" s="34"/>
      <c r="S12" s="34">
        <v>0</v>
      </c>
      <c r="T12" s="34">
        <v>0</v>
      </c>
      <c r="U12" s="34">
        <v>0</v>
      </c>
      <c r="V12" s="34">
        <v>12</v>
      </c>
      <c r="AI12" s="58"/>
      <c r="AJ12" s="58"/>
      <c r="AK12" s="58"/>
      <c r="AL12" s="58"/>
      <c r="AM12" s="58"/>
      <c r="AN12" s="58"/>
      <c r="AO12" s="58"/>
      <c r="AP12" s="58"/>
      <c r="AQ12" s="58"/>
      <c r="AR12" s="58"/>
      <c r="AS12" s="58"/>
      <c r="AT12" s="58"/>
      <c r="AU12" s="58"/>
      <c r="AV12" s="58"/>
      <c r="AW12" s="58"/>
      <c r="AX12" s="58"/>
      <c r="AY12" s="58"/>
      <c r="AZ12" s="58"/>
      <c r="BA12" s="58"/>
      <c r="BB12" s="58"/>
      <c r="BC12" s="58"/>
      <c r="BD12" s="58"/>
      <c r="BE12" s="58"/>
      <c r="BF12" s="58"/>
      <c r="BG12" s="58"/>
      <c r="BH12" s="58"/>
      <c r="BI12" s="58"/>
      <c r="BJ12" s="58"/>
      <c r="BK12" s="58"/>
      <c r="BL12" s="58"/>
      <c r="BM12" s="58"/>
      <c r="BN12" s="58"/>
      <c r="BO12" s="58"/>
      <c r="BP12" s="58"/>
      <c r="BQ12" s="58"/>
      <c r="BR12" s="58"/>
      <c r="BS12" s="58"/>
      <c r="BT12" s="58"/>
      <c r="BU12" s="58"/>
      <c r="BV12" s="58"/>
      <c r="BW12" s="58"/>
      <c r="BX12" s="58"/>
      <c r="BY12" s="58"/>
      <c r="BZ12" s="58"/>
      <c r="CA12" s="58"/>
      <c r="CB12" s="58"/>
      <c r="CC12" s="58"/>
      <c r="CD12" s="58"/>
    </row>
    <row r="13" spans="1:82" x14ac:dyDescent="0.4">
      <c r="A13" s="58"/>
      <c r="B13" s="58"/>
      <c r="C13" s="58"/>
      <c r="D13" s="58"/>
      <c r="E13" s="58"/>
      <c r="G13" s="29"/>
      <c r="H13" s="29"/>
      <c r="I13" s="29"/>
      <c r="J13" s="29" t="str">
        <f xml:space="preserve"> _xll.EPMOlapMemberO("[KEY_FIGURES].[].[FINALCONSENSUSDEMAND]","","Consensus Demand","","000")</f>
        <v>Consensus Demand</v>
      </c>
      <c r="K13" s="34">
        <v>45</v>
      </c>
      <c r="L13" s="34">
        <v>100</v>
      </c>
      <c r="M13" s="34">
        <v>22500</v>
      </c>
      <c r="N13" s="34">
        <v>200</v>
      </c>
      <c r="O13" s="34">
        <v>250</v>
      </c>
      <c r="P13" s="34">
        <v>150</v>
      </c>
      <c r="Q13" s="34"/>
      <c r="R13" s="34"/>
      <c r="S13" s="34">
        <v>1000</v>
      </c>
      <c r="T13" s="34">
        <v>450</v>
      </c>
      <c r="U13" s="34">
        <v>0</v>
      </c>
      <c r="V13" s="34">
        <v>0</v>
      </c>
      <c r="AI13" s="58"/>
      <c r="AJ13" s="58"/>
      <c r="AK13" s="58"/>
      <c r="AL13" s="58"/>
      <c r="AM13" s="58"/>
      <c r="AN13" s="58"/>
      <c r="AO13" s="58"/>
      <c r="AP13" s="58"/>
      <c r="AQ13" s="58"/>
      <c r="AR13" s="58"/>
      <c r="AS13" s="58"/>
      <c r="AT13" s="58"/>
      <c r="AU13" s="58"/>
      <c r="AV13" s="58"/>
      <c r="AW13" s="58"/>
      <c r="AX13" s="58"/>
      <c r="AY13" s="58"/>
      <c r="AZ13" s="58"/>
      <c r="BA13" s="58"/>
      <c r="BB13" s="58"/>
      <c r="BC13" s="58"/>
      <c r="BD13" s="58"/>
      <c r="BE13" s="58"/>
      <c r="BF13" s="58"/>
      <c r="BG13" s="58"/>
      <c r="BH13" s="58"/>
      <c r="BI13" s="58"/>
      <c r="BJ13" s="58"/>
      <c r="BK13" s="58"/>
      <c r="BL13" s="58"/>
      <c r="BM13" s="58"/>
      <c r="BN13" s="58"/>
      <c r="BO13" s="58"/>
      <c r="BP13" s="58"/>
      <c r="BQ13" s="58"/>
      <c r="BR13" s="58"/>
      <c r="BS13" s="58"/>
      <c r="BT13" s="58"/>
      <c r="BU13" s="58"/>
      <c r="BV13" s="58"/>
      <c r="BW13" s="58"/>
      <c r="BX13" s="58"/>
      <c r="BY13" s="58"/>
      <c r="BZ13" s="58"/>
      <c r="CA13" s="58"/>
      <c r="CB13" s="58"/>
      <c r="CC13" s="58"/>
      <c r="CD13" s="58"/>
    </row>
    <row r="14" spans="1:82" x14ac:dyDescent="0.4">
      <c r="A14" s="58"/>
      <c r="B14" s="58"/>
      <c r="C14" s="58"/>
      <c r="D14" s="58"/>
      <c r="E14" s="58"/>
      <c r="G14" s="29"/>
      <c r="H14" s="29"/>
      <c r="I14" s="29"/>
      <c r="J14" s="29" t="str">
        <f xml:space="preserve"> _xll.EPMOlapMemberO("[KEY_FIGURES].[].[ADJDELIVQTY]","","Delivered Qty Adjusted","","000")</f>
        <v>Delivered Qty Adjusted</v>
      </c>
      <c r="K14" s="62">
        <v>9666.5</v>
      </c>
      <c r="L14" s="62">
        <v>8736</v>
      </c>
      <c r="M14" s="62">
        <v>9672</v>
      </c>
      <c r="N14" s="62">
        <v>1365</v>
      </c>
      <c r="O14" s="62">
        <v>1410.5</v>
      </c>
      <c r="P14" s="62">
        <v>1425</v>
      </c>
      <c r="Q14" s="62">
        <v>42</v>
      </c>
      <c r="R14" s="62">
        <v>30.5</v>
      </c>
      <c r="S14" s="62">
        <v>0</v>
      </c>
      <c r="T14" s="62">
        <v>0</v>
      </c>
      <c r="U14" s="62">
        <v>67</v>
      </c>
      <c r="V14" s="62">
        <v>0</v>
      </c>
      <c r="AI14" s="58"/>
      <c r="AJ14" s="58"/>
      <c r="AK14" s="58"/>
      <c r="AL14" s="58"/>
      <c r="AM14" s="58"/>
      <c r="AN14" s="58"/>
      <c r="AO14" s="58"/>
      <c r="AP14" s="58"/>
      <c r="AQ14" s="58"/>
      <c r="AR14" s="58"/>
      <c r="AS14" s="58"/>
      <c r="AT14" s="58"/>
      <c r="AU14" s="58"/>
      <c r="AV14" s="58"/>
      <c r="AW14" s="58"/>
      <c r="AX14" s="58"/>
      <c r="AY14" s="58"/>
      <c r="AZ14" s="58"/>
      <c r="BA14" s="58"/>
      <c r="BB14" s="58"/>
      <c r="BC14" s="58"/>
      <c r="BD14" s="58"/>
      <c r="BE14" s="58"/>
      <c r="BF14" s="58"/>
      <c r="BG14" s="58"/>
      <c r="BH14" s="58"/>
      <c r="BI14" s="58"/>
      <c r="BJ14" s="58"/>
      <c r="BK14" s="58"/>
      <c r="BL14" s="58"/>
      <c r="BM14" s="58"/>
      <c r="BN14" s="58"/>
      <c r="BO14" s="58"/>
      <c r="BP14" s="58"/>
      <c r="BQ14" s="58"/>
      <c r="BR14" s="58"/>
      <c r="BS14" s="58"/>
      <c r="BT14" s="58"/>
      <c r="BU14" s="58"/>
      <c r="BV14" s="58"/>
      <c r="BW14" s="58"/>
      <c r="BX14" s="58"/>
      <c r="BY14" s="58"/>
      <c r="BZ14" s="58"/>
      <c r="CA14" s="58"/>
      <c r="CB14" s="58"/>
      <c r="CC14" s="58"/>
      <c r="CD14" s="58"/>
    </row>
    <row r="15" spans="1:82" x14ac:dyDescent="0.4">
      <c r="A15" s="58"/>
      <c r="B15" s="58"/>
      <c r="C15" s="58"/>
      <c r="D15" s="58"/>
      <c r="E15" s="58"/>
      <c r="G15" s="29"/>
      <c r="H15" s="29"/>
      <c r="I15" s="29"/>
      <c r="J15" s="29" t="str">
        <f xml:space="preserve"> _xll.EPMOlapMemberO("[KEY_FIGURES].[].[ACTUALSREV]","","Actuals Revenue","","000")</f>
        <v>Actuals Revenue</v>
      </c>
      <c r="K15" s="62"/>
      <c r="L15" s="62"/>
      <c r="M15" s="62"/>
      <c r="N15" s="62"/>
      <c r="O15" s="62"/>
      <c r="P15" s="62"/>
      <c r="Q15" s="62"/>
      <c r="R15" s="62"/>
      <c r="S15" s="62"/>
      <c r="T15" s="62"/>
      <c r="U15" s="62"/>
      <c r="V15" s="62"/>
      <c r="AI15" s="58"/>
      <c r="AJ15" s="58"/>
      <c r="AK15" s="58"/>
      <c r="AL15" s="58"/>
      <c r="AM15" s="58"/>
      <c r="AN15" s="58"/>
      <c r="AO15" s="58"/>
      <c r="AP15" s="58"/>
      <c r="AQ15" s="58"/>
      <c r="AR15" s="58"/>
      <c r="AS15" s="58"/>
      <c r="AT15" s="58"/>
      <c r="AU15" s="58"/>
      <c r="AV15" s="58"/>
      <c r="AW15" s="58"/>
      <c r="AX15" s="58"/>
      <c r="AY15" s="58"/>
      <c r="AZ15" s="58"/>
      <c r="BA15" s="58"/>
      <c r="BB15" s="58"/>
      <c r="BC15" s="58"/>
      <c r="BD15" s="58"/>
      <c r="BE15" s="58"/>
      <c r="BF15" s="58"/>
      <c r="BG15" s="58"/>
      <c r="BH15" s="58"/>
      <c r="BI15" s="58"/>
      <c r="BJ15" s="58"/>
      <c r="BK15" s="58"/>
      <c r="BL15" s="58"/>
      <c r="BM15" s="58"/>
      <c r="BN15" s="58"/>
      <c r="BO15" s="58"/>
      <c r="BP15" s="58"/>
      <c r="BQ15" s="58"/>
      <c r="BR15" s="58"/>
      <c r="BS15" s="58"/>
      <c r="BT15" s="58"/>
      <c r="BU15" s="58"/>
      <c r="BV15" s="58"/>
      <c r="BW15" s="58"/>
      <c r="BX15" s="58"/>
      <c r="BY15" s="58"/>
      <c r="BZ15" s="58"/>
      <c r="CA15" s="58"/>
      <c r="CB15" s="58"/>
      <c r="CC15" s="58"/>
      <c r="CD15" s="58"/>
    </row>
    <row r="16" spans="1:82" x14ac:dyDescent="0.4">
      <c r="A16" s="58"/>
      <c r="B16" s="58"/>
      <c r="C16" s="58"/>
      <c r="D16" s="58"/>
      <c r="E16" s="58"/>
      <c r="G16" s="29"/>
      <c r="H16" s="29"/>
      <c r="I16" s="29"/>
      <c r="J16" s="29" t="str">
        <f xml:space="preserve"> _xll.EPMOlapMemberO("[KEY_FIGURES].[].[CONFQTY]","","Confirmed Qty","","000")</f>
        <v>Confirmed Qty</v>
      </c>
      <c r="K16" s="34"/>
      <c r="L16" s="34"/>
      <c r="M16" s="34"/>
      <c r="N16" s="34"/>
      <c r="O16" s="34"/>
      <c r="P16" s="34"/>
      <c r="Q16" s="34"/>
      <c r="R16" s="34"/>
      <c r="S16" s="34"/>
      <c r="T16" s="34"/>
      <c r="U16" s="34"/>
      <c r="V16" s="34"/>
      <c r="AI16" s="58"/>
      <c r="AJ16" s="58"/>
      <c r="AK16" s="58"/>
      <c r="AL16" s="58"/>
      <c r="AM16" s="58"/>
      <c r="AN16" s="58"/>
      <c r="AO16" s="58"/>
      <c r="AP16" s="58"/>
      <c r="AQ16" s="58"/>
      <c r="AR16" s="58"/>
      <c r="AS16" s="58"/>
      <c r="AT16" s="58"/>
      <c r="AU16" s="58"/>
      <c r="AV16" s="58"/>
      <c r="AW16" s="58"/>
      <c r="AX16" s="58"/>
      <c r="AY16" s="58"/>
      <c r="AZ16" s="58"/>
      <c r="BA16" s="58"/>
      <c r="BB16" s="58"/>
      <c r="BC16" s="58"/>
      <c r="BD16" s="58"/>
      <c r="BE16" s="58"/>
      <c r="BF16" s="58"/>
      <c r="BG16" s="58"/>
      <c r="BH16" s="58"/>
      <c r="BI16" s="58"/>
      <c r="BJ16" s="58"/>
      <c r="BK16" s="58"/>
      <c r="BL16" s="58"/>
      <c r="BM16" s="58"/>
      <c r="BN16" s="58"/>
      <c r="BO16" s="58"/>
      <c r="BP16" s="58"/>
      <c r="BQ16" s="58"/>
      <c r="BR16" s="58"/>
      <c r="BS16" s="58"/>
      <c r="BT16" s="58"/>
      <c r="BU16" s="58"/>
      <c r="BV16" s="58"/>
      <c r="BW16" s="58"/>
      <c r="BX16" s="58"/>
      <c r="BY16" s="58"/>
      <c r="BZ16" s="58"/>
      <c r="CA16" s="58"/>
      <c r="CB16" s="58"/>
      <c r="CC16" s="58"/>
      <c r="CD16" s="58"/>
    </row>
    <row r="17" spans="1:82" x14ac:dyDescent="0.4">
      <c r="A17" s="58"/>
      <c r="B17" s="58"/>
      <c r="C17" s="58"/>
      <c r="D17" s="58"/>
      <c r="E17" s="58"/>
      <c r="G17" s="29"/>
      <c r="H17" s="29" t="str">
        <f xml:space="preserve"> _xll.EPMOlapMemberO("[LOCID].[].[HD_DC_US_E]","","HD_DC_US_E","","000")</f>
        <v>HD_DC_US_E</v>
      </c>
      <c r="I17" s="29" t="str">
        <f xml:space="preserve"> _xll.EPMOlapMemberO("[ABCID].[].[A]","","A","","000")</f>
        <v>A</v>
      </c>
      <c r="J17" s="29" t="str">
        <f xml:space="preserve"> _xll.EPMOlapMemberO("[KEY_FIGURES].[].[CONSENSUSDEMAND]","","Consensus Demand without Promotion","","000")</f>
        <v>Consensus Demand without Promotion</v>
      </c>
      <c r="K17" s="62"/>
      <c r="L17" s="64">
        <v>50</v>
      </c>
      <c r="M17" s="62">
        <v>200</v>
      </c>
      <c r="N17" s="64">
        <v>1388.5</v>
      </c>
      <c r="O17" s="64">
        <v>250</v>
      </c>
      <c r="P17" s="64">
        <v>150</v>
      </c>
      <c r="Q17" s="62"/>
      <c r="R17" s="62"/>
      <c r="S17" s="62"/>
      <c r="T17" s="62"/>
      <c r="U17" s="62">
        <v>0</v>
      </c>
      <c r="V17" s="62">
        <v>0</v>
      </c>
      <c r="AI17" s="58"/>
      <c r="AJ17" s="58"/>
      <c r="AK17" s="58"/>
      <c r="AL17" s="58"/>
      <c r="AM17" s="58"/>
      <c r="AN17" s="58"/>
      <c r="AO17" s="58"/>
      <c r="AP17" s="58"/>
      <c r="AQ17" s="58"/>
      <c r="AR17" s="58"/>
      <c r="AS17" s="58"/>
      <c r="AT17" s="58"/>
      <c r="AU17" s="58"/>
      <c r="AV17" s="58"/>
      <c r="AW17" s="58"/>
      <c r="AX17" s="58"/>
      <c r="AY17" s="58"/>
      <c r="AZ17" s="58"/>
      <c r="BA17" s="58"/>
      <c r="BB17" s="58"/>
      <c r="BC17" s="58"/>
      <c r="BD17" s="58"/>
      <c r="BE17" s="58"/>
      <c r="BF17" s="58"/>
      <c r="BG17" s="58"/>
      <c r="BH17" s="58"/>
      <c r="BI17" s="58"/>
      <c r="BJ17" s="58"/>
      <c r="BK17" s="58"/>
      <c r="BL17" s="58"/>
      <c r="BM17" s="58"/>
      <c r="BN17" s="58"/>
      <c r="BO17" s="58"/>
      <c r="BP17" s="58"/>
      <c r="BQ17" s="58"/>
      <c r="BR17" s="58"/>
      <c r="BS17" s="58"/>
      <c r="BT17" s="58"/>
      <c r="BU17" s="58"/>
      <c r="BV17" s="58"/>
      <c r="BW17" s="58"/>
      <c r="BX17" s="58"/>
      <c r="BY17" s="58"/>
      <c r="BZ17" s="58"/>
      <c r="CA17" s="58"/>
      <c r="CB17" s="58"/>
      <c r="CC17" s="58"/>
      <c r="CD17" s="58"/>
    </row>
    <row r="18" spans="1:82" x14ac:dyDescent="0.4">
      <c r="A18" s="58"/>
      <c r="B18" s="58"/>
      <c r="C18" s="58"/>
      <c r="D18" s="58"/>
      <c r="E18" s="58"/>
      <c r="G18" s="29"/>
      <c r="H18" s="29"/>
      <c r="I18" s="29"/>
      <c r="J18" s="29" t="str">
        <f xml:space="preserve"> _xll.EPMOlapMemberO("[KEY_FIGURES].[].[DEMANDPLANNINGQTY]","","Demand Planning Qty","","000")</f>
        <v>Demand Planning Qty</v>
      </c>
      <c r="K18" s="34">
        <v>0</v>
      </c>
      <c r="L18" s="34">
        <v>0</v>
      </c>
      <c r="M18" s="34">
        <v>0</v>
      </c>
      <c r="N18" s="34">
        <v>0</v>
      </c>
      <c r="O18" s="34">
        <v>0</v>
      </c>
      <c r="P18" s="34"/>
      <c r="Q18" s="34"/>
      <c r="R18" s="34"/>
      <c r="S18" s="34">
        <v>0</v>
      </c>
      <c r="T18" s="34">
        <v>0</v>
      </c>
      <c r="U18" s="34">
        <v>0</v>
      </c>
      <c r="V18" s="34">
        <v>12.5</v>
      </c>
      <c r="AI18" s="58"/>
      <c r="AJ18" s="58"/>
      <c r="AK18" s="58"/>
      <c r="AL18" s="58"/>
      <c r="AM18" s="58"/>
      <c r="AN18" s="58"/>
      <c r="AO18" s="58"/>
      <c r="AP18" s="58"/>
      <c r="AQ18" s="58"/>
      <c r="AR18" s="58"/>
      <c r="AS18" s="58"/>
      <c r="AT18" s="58"/>
      <c r="AU18" s="58"/>
      <c r="AV18" s="58"/>
      <c r="AW18" s="58"/>
      <c r="AX18" s="58"/>
      <c r="AY18" s="58"/>
      <c r="AZ18" s="58"/>
      <c r="BA18" s="58"/>
      <c r="BB18" s="58"/>
      <c r="BC18" s="58"/>
      <c r="BD18" s="58"/>
      <c r="BE18" s="58"/>
      <c r="BF18" s="58"/>
      <c r="BG18" s="58"/>
      <c r="BH18" s="58"/>
      <c r="BI18" s="58"/>
      <c r="BJ18" s="58"/>
      <c r="BK18" s="58"/>
      <c r="BL18" s="58"/>
      <c r="BM18" s="58"/>
      <c r="BN18" s="58"/>
      <c r="BO18" s="58"/>
      <c r="BP18" s="58"/>
      <c r="BQ18" s="58"/>
      <c r="BR18" s="58"/>
      <c r="BS18" s="58"/>
      <c r="BT18" s="58"/>
      <c r="BU18" s="58"/>
      <c r="BV18" s="58"/>
      <c r="BW18" s="58"/>
      <c r="BX18" s="58"/>
      <c r="BY18" s="58"/>
      <c r="BZ18" s="58"/>
      <c r="CA18" s="58"/>
      <c r="CB18" s="58"/>
      <c r="CC18" s="58"/>
      <c r="CD18" s="58"/>
    </row>
    <row r="19" spans="1:82" x14ac:dyDescent="0.4">
      <c r="A19" s="58"/>
      <c r="B19" s="58"/>
      <c r="C19" s="58"/>
      <c r="D19" s="58"/>
      <c r="E19" s="58"/>
      <c r="G19" s="29"/>
      <c r="H19" s="29"/>
      <c r="I19" s="29"/>
      <c r="J19" s="29" t="str">
        <f xml:space="preserve"> _xll.EPMOlapMemberO("[KEY_FIGURES].[].[FINALCONSENSUSDEMAND]","","Consensus Demand","","000")</f>
        <v>Consensus Demand</v>
      </c>
      <c r="K19" s="34">
        <v>0</v>
      </c>
      <c r="L19" s="34">
        <v>50</v>
      </c>
      <c r="M19" s="34">
        <v>200</v>
      </c>
      <c r="N19" s="34">
        <v>1388.5</v>
      </c>
      <c r="O19" s="34">
        <v>250</v>
      </c>
      <c r="P19" s="34">
        <v>150</v>
      </c>
      <c r="Q19" s="34"/>
      <c r="R19" s="34"/>
      <c r="S19" s="34">
        <v>0</v>
      </c>
      <c r="T19" s="34">
        <v>0</v>
      </c>
      <c r="U19" s="34">
        <v>0</v>
      </c>
      <c r="V19" s="34">
        <v>0</v>
      </c>
      <c r="AI19" s="58"/>
      <c r="AJ19" s="58"/>
      <c r="AK19" s="58"/>
      <c r="AL19" s="58"/>
      <c r="AM19" s="58"/>
      <c r="AN19" s="58"/>
      <c r="AO19" s="58"/>
      <c r="AP19" s="58"/>
      <c r="AQ19" s="58"/>
      <c r="AR19" s="58"/>
      <c r="AS19" s="58"/>
      <c r="AT19" s="58"/>
      <c r="AU19" s="58"/>
      <c r="AV19" s="58"/>
      <c r="AW19" s="58"/>
      <c r="AX19" s="58"/>
      <c r="AY19" s="58"/>
      <c r="AZ19" s="58"/>
      <c r="BA19" s="58"/>
      <c r="BB19" s="58"/>
      <c r="BC19" s="58"/>
      <c r="BD19" s="58"/>
      <c r="BE19" s="58"/>
      <c r="BF19" s="58"/>
      <c r="BG19" s="58"/>
      <c r="BH19" s="58"/>
      <c r="BI19" s="58"/>
      <c r="BJ19" s="58"/>
      <c r="BK19" s="58"/>
      <c r="BL19" s="58"/>
      <c r="BM19" s="58"/>
      <c r="BN19" s="58"/>
      <c r="BO19" s="58"/>
      <c r="BP19" s="58"/>
      <c r="BQ19" s="58"/>
      <c r="BR19" s="58"/>
      <c r="BS19" s="58"/>
      <c r="BT19" s="58"/>
      <c r="BU19" s="58"/>
      <c r="BV19" s="58"/>
      <c r="BW19" s="58"/>
      <c r="BX19" s="58"/>
      <c r="BY19" s="58"/>
      <c r="BZ19" s="58"/>
      <c r="CA19" s="58"/>
      <c r="CB19" s="58"/>
      <c r="CC19" s="58"/>
      <c r="CD19" s="58"/>
    </row>
    <row r="20" spans="1:82" x14ac:dyDescent="0.4">
      <c r="A20" s="58"/>
      <c r="B20" s="58"/>
      <c r="C20" s="58"/>
      <c r="D20" s="58"/>
      <c r="E20" s="58"/>
      <c r="G20" s="29"/>
      <c r="H20" s="29"/>
      <c r="I20" s="29"/>
      <c r="J20" s="29" t="str">
        <f xml:space="preserve"> _xll.EPMOlapMemberO("[KEY_FIGURES].[].[ADJDELIVQTY]","","Delivered Qty Adjusted","","000")</f>
        <v>Delivered Qty Adjusted</v>
      </c>
      <c r="K20" s="62">
        <v>2232</v>
      </c>
      <c r="L20" s="62">
        <v>2030</v>
      </c>
      <c r="M20" s="62">
        <v>2247.5</v>
      </c>
      <c r="N20" s="62">
        <v>1365</v>
      </c>
      <c r="O20" s="62">
        <v>1410.5</v>
      </c>
      <c r="P20" s="62">
        <v>1425</v>
      </c>
      <c r="Q20" s="62">
        <v>42</v>
      </c>
      <c r="R20" s="62">
        <v>30.5</v>
      </c>
      <c r="S20" s="62">
        <v>0</v>
      </c>
      <c r="T20" s="62">
        <v>0</v>
      </c>
      <c r="U20" s="62">
        <v>66.5</v>
      </c>
      <c r="V20" s="62">
        <v>0</v>
      </c>
      <c r="AI20" s="58"/>
      <c r="AJ20" s="58"/>
      <c r="AK20" s="58"/>
      <c r="AL20" s="58"/>
      <c r="AM20" s="58"/>
      <c r="AN20" s="58"/>
      <c r="AO20" s="58"/>
      <c r="AP20" s="58"/>
      <c r="AQ20" s="58"/>
      <c r="AR20" s="58"/>
      <c r="AS20" s="58"/>
      <c r="AT20" s="58"/>
      <c r="AU20" s="58"/>
      <c r="AV20" s="58"/>
      <c r="AW20" s="58"/>
      <c r="AX20" s="58"/>
      <c r="AY20" s="58"/>
      <c r="AZ20" s="58"/>
      <c r="BA20" s="58"/>
      <c r="BB20" s="58"/>
      <c r="BC20" s="58"/>
      <c r="BD20" s="58"/>
      <c r="BE20" s="58"/>
      <c r="BF20" s="58"/>
      <c r="BG20" s="58"/>
      <c r="BH20" s="58"/>
      <c r="BI20" s="58"/>
      <c r="BJ20" s="58"/>
      <c r="BK20" s="58"/>
      <c r="BL20" s="58"/>
      <c r="BM20" s="58"/>
      <c r="BN20" s="58"/>
      <c r="BO20" s="58"/>
      <c r="BP20" s="58"/>
      <c r="BQ20" s="58"/>
      <c r="BR20" s="58"/>
      <c r="BS20" s="58"/>
      <c r="BT20" s="58"/>
      <c r="BU20" s="58"/>
      <c r="BV20" s="58"/>
      <c r="BW20" s="58"/>
      <c r="BX20" s="58"/>
      <c r="BY20" s="58"/>
      <c r="BZ20" s="58"/>
      <c r="CA20" s="58"/>
      <c r="CB20" s="58"/>
      <c r="CC20" s="58"/>
      <c r="CD20" s="58"/>
    </row>
    <row r="21" spans="1:82" x14ac:dyDescent="0.4">
      <c r="A21" s="58"/>
      <c r="B21" s="58"/>
      <c r="C21" s="58"/>
      <c r="D21" s="58"/>
      <c r="E21" s="58"/>
      <c r="G21" s="29"/>
      <c r="H21" s="29"/>
      <c r="I21" s="29"/>
      <c r="J21" s="29" t="str">
        <f xml:space="preserve"> _xll.EPMOlapMemberO("[KEY_FIGURES].[].[ACTUALSREV]","","Actuals Revenue","","000")</f>
        <v>Actuals Revenue</v>
      </c>
      <c r="K21" s="62"/>
      <c r="L21" s="62"/>
      <c r="M21" s="62"/>
      <c r="N21" s="62"/>
      <c r="O21" s="62"/>
      <c r="P21" s="62"/>
      <c r="Q21" s="62"/>
      <c r="R21" s="62"/>
      <c r="S21" s="62"/>
      <c r="T21" s="62"/>
      <c r="U21" s="62"/>
      <c r="V21" s="62"/>
      <c r="AI21" s="58"/>
      <c r="AJ21" s="58"/>
      <c r="AK21" s="58"/>
      <c r="AL21" s="58"/>
      <c r="AM21" s="58"/>
      <c r="AN21" s="58"/>
      <c r="AO21" s="58"/>
      <c r="AP21" s="58"/>
      <c r="AQ21" s="58"/>
      <c r="AR21" s="58"/>
      <c r="AS21" s="58"/>
      <c r="AT21" s="58"/>
      <c r="AU21" s="58"/>
      <c r="AV21" s="58"/>
      <c r="AW21" s="58"/>
      <c r="AX21" s="58"/>
      <c r="AY21" s="58"/>
      <c r="AZ21" s="58"/>
      <c r="BA21" s="58"/>
      <c r="BB21" s="58"/>
      <c r="BC21" s="58"/>
      <c r="BD21" s="58"/>
      <c r="BE21" s="58"/>
      <c r="BF21" s="58"/>
      <c r="BG21" s="58"/>
      <c r="BH21" s="58"/>
      <c r="BI21" s="58"/>
      <c r="BJ21" s="58"/>
      <c r="BK21" s="58"/>
      <c r="BL21" s="58"/>
      <c r="BM21" s="58"/>
      <c r="BN21" s="58"/>
      <c r="BO21" s="58"/>
      <c r="BP21" s="58"/>
      <c r="BQ21" s="58"/>
      <c r="BR21" s="58"/>
      <c r="BS21" s="58"/>
      <c r="BT21" s="58"/>
      <c r="BU21" s="58"/>
      <c r="BV21" s="58"/>
      <c r="BW21" s="58"/>
      <c r="BX21" s="58"/>
      <c r="BY21" s="58"/>
      <c r="BZ21" s="58"/>
      <c r="CA21" s="58"/>
      <c r="CB21" s="58"/>
      <c r="CC21" s="58"/>
      <c r="CD21" s="58"/>
    </row>
    <row r="22" spans="1:82" x14ac:dyDescent="0.4">
      <c r="A22" s="58"/>
      <c r="B22" s="58"/>
      <c r="C22" s="58"/>
      <c r="D22" s="58"/>
      <c r="E22" s="58"/>
      <c r="G22" s="29"/>
      <c r="H22" s="29"/>
      <c r="I22" s="29"/>
      <c r="J22" s="29" t="str">
        <f xml:space="preserve"> _xll.EPMOlapMemberO("[KEY_FIGURES].[].[CONFQTY]","","Confirmed Qty","","000")</f>
        <v>Confirmed Qty</v>
      </c>
      <c r="K22" s="34"/>
      <c r="L22" s="34"/>
      <c r="M22" s="34"/>
      <c r="N22" s="34"/>
      <c r="O22" s="34"/>
      <c r="P22" s="34"/>
      <c r="Q22" s="34"/>
      <c r="R22" s="34"/>
      <c r="S22" s="34"/>
      <c r="T22" s="34"/>
      <c r="U22" s="34"/>
      <c r="V22" s="34"/>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c r="BM22" s="58"/>
      <c r="BN22" s="58"/>
      <c r="BO22" s="58"/>
      <c r="BP22" s="58"/>
      <c r="BQ22" s="58"/>
      <c r="BR22" s="58"/>
      <c r="BS22" s="58"/>
      <c r="BT22" s="58"/>
      <c r="BU22" s="58"/>
      <c r="BV22" s="58"/>
      <c r="BW22" s="58"/>
      <c r="BX22" s="58"/>
      <c r="BY22" s="58"/>
      <c r="BZ22" s="58"/>
      <c r="CA22" s="58"/>
      <c r="CB22" s="58"/>
      <c r="CC22" s="58"/>
      <c r="CD22" s="58"/>
    </row>
    <row r="23" spans="1:82" x14ac:dyDescent="0.4">
      <c r="A23" s="58"/>
      <c r="B23" s="58"/>
      <c r="C23" s="58"/>
      <c r="D23" s="58"/>
      <c r="E23" s="58"/>
      <c r="G23" s="29"/>
      <c r="H23" s="29" t="str">
        <f xml:space="preserve"> _xll.EPMOlapMemberO("[LOCID].[].[HD_DC_US_W]","","HD_DC_US_W","","000")</f>
        <v>HD_DC_US_W</v>
      </c>
      <c r="I23" s="29" t="str">
        <f xml:space="preserve"> _xll.EPMOlapMemberO("[ABCID].[].[A]","","A","","000")</f>
        <v>A</v>
      </c>
      <c r="J23" s="29" t="str">
        <f xml:space="preserve"> _xll.EPMOlapMemberO("[KEY_FIGURES].[].[CONSENSUSDEMAND]","","Consensus Demand without Promotion","","000")</f>
        <v>Consensus Demand without Promotion</v>
      </c>
      <c r="K23" s="62"/>
      <c r="L23" s="62">
        <v>300</v>
      </c>
      <c r="M23" s="62">
        <v>1000</v>
      </c>
      <c r="N23" s="62">
        <v>400</v>
      </c>
      <c r="O23" s="62">
        <v>500</v>
      </c>
      <c r="P23" s="62">
        <v>300</v>
      </c>
      <c r="Q23" s="62"/>
      <c r="R23" s="62">
        <v>100</v>
      </c>
      <c r="S23" s="62">
        <v>100</v>
      </c>
      <c r="T23" s="62">
        <v>100</v>
      </c>
      <c r="U23" s="62">
        <v>4055.56</v>
      </c>
      <c r="V23" s="62">
        <v>700</v>
      </c>
      <c r="AI23" s="58"/>
      <c r="AJ23" s="58"/>
      <c r="AK23" s="58"/>
      <c r="AL23" s="58"/>
      <c r="AM23" s="58"/>
      <c r="AN23" s="58"/>
      <c r="AO23" s="58"/>
      <c r="AP23" s="58"/>
      <c r="AQ23" s="58"/>
      <c r="AR23" s="58"/>
      <c r="AS23" s="58"/>
      <c r="AT23" s="58"/>
      <c r="AU23" s="58"/>
      <c r="AV23" s="58"/>
      <c r="AW23" s="58"/>
      <c r="AX23" s="58"/>
      <c r="AY23" s="58"/>
      <c r="AZ23" s="58"/>
      <c r="BA23" s="58"/>
      <c r="BB23" s="58"/>
      <c r="BC23" s="58"/>
      <c r="BD23" s="58"/>
      <c r="BE23" s="58"/>
      <c r="BF23" s="58"/>
      <c r="BG23" s="58"/>
      <c r="BH23" s="58"/>
      <c r="BI23" s="58"/>
      <c r="BJ23" s="58"/>
      <c r="BK23" s="58"/>
      <c r="BL23" s="58"/>
      <c r="BM23" s="58"/>
      <c r="BN23" s="58"/>
      <c r="BO23" s="58"/>
      <c r="BP23" s="58"/>
      <c r="BQ23" s="58"/>
      <c r="BR23" s="58"/>
      <c r="BS23" s="58"/>
      <c r="BT23" s="58"/>
      <c r="BU23" s="58"/>
      <c r="BV23" s="58"/>
      <c r="BW23" s="58"/>
      <c r="BX23" s="58"/>
      <c r="BY23" s="58"/>
      <c r="BZ23" s="58"/>
      <c r="CA23" s="58"/>
      <c r="CB23" s="58"/>
      <c r="CC23" s="58"/>
      <c r="CD23" s="58"/>
    </row>
    <row r="24" spans="1:82" x14ac:dyDescent="0.4">
      <c r="A24" s="58"/>
      <c r="B24" s="58"/>
      <c r="C24" s="58"/>
      <c r="D24" s="58"/>
      <c r="E24" s="58"/>
      <c r="G24" s="29"/>
      <c r="H24" s="29"/>
      <c r="I24" s="29"/>
      <c r="J24" s="29" t="str">
        <f xml:space="preserve"> _xll.EPMOlapMemberO("[KEY_FIGURES].[].[DEMANDPLANNINGQTY]","","Demand Planning Qty","","000")</f>
        <v>Demand Planning Qty</v>
      </c>
      <c r="K24" s="34">
        <v>0</v>
      </c>
      <c r="L24" s="34">
        <v>0</v>
      </c>
      <c r="M24" s="34">
        <v>0</v>
      </c>
      <c r="N24" s="34">
        <v>0</v>
      </c>
      <c r="O24" s="34">
        <v>0</v>
      </c>
      <c r="P24" s="34"/>
      <c r="Q24" s="34"/>
      <c r="R24" s="34"/>
      <c r="S24" s="34">
        <v>0</v>
      </c>
      <c r="T24" s="34">
        <v>0</v>
      </c>
      <c r="U24" s="34">
        <v>0</v>
      </c>
      <c r="V24" s="34">
        <v>12</v>
      </c>
      <c r="AI24" s="58"/>
      <c r="AJ24" s="58"/>
      <c r="AK24" s="58"/>
      <c r="AL24" s="58"/>
      <c r="AM24" s="58"/>
      <c r="AN24" s="58"/>
      <c r="AO24" s="58"/>
      <c r="AP24" s="58"/>
      <c r="AQ24" s="58"/>
      <c r="AR24" s="58"/>
      <c r="AS24" s="58"/>
      <c r="AT24" s="58"/>
      <c r="AU24" s="58"/>
      <c r="AV24" s="58"/>
      <c r="AW24" s="58"/>
      <c r="AX24" s="58"/>
      <c r="AY24" s="58"/>
      <c r="AZ24" s="58"/>
      <c r="BA24" s="58"/>
      <c r="BB24" s="58"/>
      <c r="BC24" s="58"/>
      <c r="BD24" s="58"/>
      <c r="BE24" s="58"/>
      <c r="BF24" s="58"/>
      <c r="BG24" s="58"/>
      <c r="BH24" s="58"/>
      <c r="BI24" s="58"/>
      <c r="BJ24" s="58"/>
      <c r="BK24" s="58"/>
      <c r="BL24" s="58"/>
      <c r="BM24" s="58"/>
      <c r="BN24" s="58"/>
      <c r="BO24" s="58"/>
      <c r="BP24" s="58"/>
      <c r="BQ24" s="58"/>
      <c r="BR24" s="58"/>
      <c r="BS24" s="58"/>
      <c r="BT24" s="58"/>
      <c r="BU24" s="58"/>
      <c r="BV24" s="58"/>
      <c r="BW24" s="58"/>
      <c r="BX24" s="58"/>
      <c r="BY24" s="58"/>
      <c r="BZ24" s="58"/>
      <c r="CA24" s="58"/>
      <c r="CB24" s="58"/>
      <c r="CC24" s="58"/>
      <c r="CD24" s="58"/>
    </row>
    <row r="25" spans="1:82" x14ac:dyDescent="0.4">
      <c r="A25" s="58"/>
      <c r="B25" s="58"/>
      <c r="C25" s="58"/>
      <c r="D25" s="58"/>
      <c r="E25" s="58"/>
      <c r="G25" s="29"/>
      <c r="H25" s="29"/>
      <c r="I25" s="29"/>
      <c r="J25" s="29" t="str">
        <f xml:space="preserve"> _xll.EPMOlapMemberO("[KEY_FIGURES].[].[FINALCONSENSUSDEMAND]","","Consensus Demand","","000")</f>
        <v>Consensus Demand</v>
      </c>
      <c r="K25" s="34">
        <v>0</v>
      </c>
      <c r="L25" s="34">
        <v>300</v>
      </c>
      <c r="M25" s="34">
        <v>1000</v>
      </c>
      <c r="N25" s="34">
        <v>400</v>
      </c>
      <c r="O25" s="34">
        <v>500</v>
      </c>
      <c r="P25" s="34">
        <v>300</v>
      </c>
      <c r="Q25" s="34"/>
      <c r="R25" s="34">
        <v>100</v>
      </c>
      <c r="S25" s="34">
        <v>100</v>
      </c>
      <c r="T25" s="34">
        <v>100</v>
      </c>
      <c r="U25" s="34">
        <v>4055.56</v>
      </c>
      <c r="V25" s="34">
        <v>700</v>
      </c>
      <c r="AI25" s="58"/>
      <c r="AJ25" s="58"/>
      <c r="AK25" s="58"/>
      <c r="AL25" s="58"/>
      <c r="AM25" s="58"/>
      <c r="AN25" s="58"/>
      <c r="AO25" s="58"/>
      <c r="AP25" s="58"/>
      <c r="AQ25" s="58"/>
      <c r="AR25" s="58"/>
      <c r="AS25" s="58"/>
      <c r="AT25" s="58"/>
      <c r="AU25" s="58"/>
      <c r="AV25" s="58"/>
      <c r="AW25" s="58"/>
      <c r="AX25" s="58"/>
      <c r="AY25" s="58"/>
      <c r="AZ25" s="58"/>
      <c r="BA25" s="58"/>
      <c r="BB25" s="58"/>
      <c r="BC25" s="58"/>
      <c r="BD25" s="58"/>
      <c r="BE25" s="58"/>
      <c r="BF25" s="58"/>
      <c r="BG25" s="58"/>
      <c r="BH25" s="58"/>
      <c r="BI25" s="58"/>
      <c r="BJ25" s="58"/>
      <c r="BK25" s="58"/>
      <c r="BL25" s="58"/>
      <c r="BM25" s="58"/>
      <c r="BN25" s="58"/>
      <c r="BO25" s="58"/>
      <c r="BP25" s="58"/>
      <c r="BQ25" s="58"/>
      <c r="BR25" s="58"/>
      <c r="BS25" s="58"/>
      <c r="BT25" s="58"/>
      <c r="BU25" s="58"/>
      <c r="BV25" s="58"/>
      <c r="BW25" s="58"/>
      <c r="BX25" s="58"/>
      <c r="BY25" s="58"/>
      <c r="BZ25" s="58"/>
      <c r="CA25" s="58"/>
      <c r="CB25" s="58"/>
      <c r="CC25" s="58"/>
      <c r="CD25" s="58"/>
    </row>
    <row r="26" spans="1:82" x14ac:dyDescent="0.4">
      <c r="A26" s="58"/>
      <c r="B26" s="58"/>
      <c r="C26" s="58"/>
      <c r="D26" s="58"/>
      <c r="E26" s="58"/>
      <c r="G26" s="29"/>
      <c r="H26" s="29"/>
      <c r="I26" s="29"/>
      <c r="J26" s="29" t="str">
        <f xml:space="preserve"> _xll.EPMOlapMemberO("[KEY_FIGURES].[].[ADJDELIVQTY]","","Delivered Qty Adjusted","","000")</f>
        <v>Delivered Qty Adjusted</v>
      </c>
      <c r="K26" s="62">
        <v>2310.5</v>
      </c>
      <c r="L26" s="62">
        <v>2030</v>
      </c>
      <c r="M26" s="62">
        <v>2247.5</v>
      </c>
      <c r="N26" s="62">
        <v>1365</v>
      </c>
      <c r="O26" s="62">
        <v>1410.5</v>
      </c>
      <c r="P26" s="62">
        <v>1425</v>
      </c>
      <c r="Q26" s="62">
        <v>42</v>
      </c>
      <c r="R26" s="62">
        <v>30</v>
      </c>
      <c r="S26" s="62">
        <v>0</v>
      </c>
      <c r="T26" s="62">
        <v>0</v>
      </c>
      <c r="U26" s="62">
        <v>66.5</v>
      </c>
      <c r="V26" s="62">
        <v>0</v>
      </c>
      <c r="AI26" s="58"/>
      <c r="AJ26" s="58"/>
      <c r="AK26" s="58"/>
      <c r="AL26" s="58"/>
      <c r="AM26" s="58"/>
      <c r="AN26" s="58"/>
      <c r="AO26" s="58"/>
      <c r="AP26" s="58"/>
      <c r="AQ26" s="58"/>
      <c r="AR26" s="58"/>
      <c r="AS26" s="58"/>
      <c r="AT26" s="58"/>
      <c r="AU26" s="58"/>
      <c r="AV26" s="58"/>
      <c r="AW26" s="58"/>
      <c r="AX26" s="58"/>
      <c r="AY26" s="58"/>
      <c r="AZ26" s="58"/>
      <c r="BA26" s="58"/>
      <c r="BB26" s="58"/>
      <c r="BC26" s="58"/>
      <c r="BD26" s="58"/>
      <c r="BE26" s="58"/>
      <c r="BF26" s="58"/>
      <c r="BG26" s="58"/>
      <c r="BH26" s="58"/>
      <c r="BI26" s="58"/>
      <c r="BJ26" s="58"/>
      <c r="BK26" s="58"/>
      <c r="BL26" s="58"/>
      <c r="BM26" s="58"/>
      <c r="BN26" s="58"/>
      <c r="BO26" s="58"/>
      <c r="BP26" s="58"/>
      <c r="BQ26" s="58"/>
      <c r="BR26" s="58"/>
      <c r="BS26" s="58"/>
      <c r="BT26" s="58"/>
      <c r="BU26" s="58"/>
      <c r="BV26" s="58"/>
      <c r="BW26" s="58"/>
      <c r="BX26" s="58"/>
      <c r="BY26" s="58"/>
      <c r="BZ26" s="58"/>
      <c r="CA26" s="58"/>
      <c r="CB26" s="58"/>
      <c r="CC26" s="58"/>
      <c r="CD26" s="58"/>
    </row>
    <row r="27" spans="1:82" x14ac:dyDescent="0.4">
      <c r="A27" s="58"/>
      <c r="B27" s="58"/>
      <c r="C27" s="58"/>
      <c r="D27" s="58"/>
      <c r="E27" s="58"/>
      <c r="G27" s="29"/>
      <c r="H27" s="29"/>
      <c r="I27" s="29"/>
      <c r="J27" s="29" t="str">
        <f xml:space="preserve"> _xll.EPMOlapMemberO("[KEY_FIGURES].[].[ACTUALSREV]","","Actuals Revenue","","000")</f>
        <v>Actuals Revenue</v>
      </c>
      <c r="K27" s="62"/>
      <c r="L27" s="62"/>
      <c r="M27" s="62"/>
      <c r="N27" s="62"/>
      <c r="O27" s="62"/>
      <c r="P27" s="62"/>
      <c r="Q27" s="62"/>
      <c r="R27" s="62"/>
      <c r="S27" s="62"/>
      <c r="T27" s="62"/>
      <c r="U27" s="62"/>
      <c r="V27" s="62"/>
      <c r="AI27" s="58"/>
      <c r="AJ27" s="58"/>
      <c r="AK27" s="58"/>
      <c r="AL27" s="58"/>
      <c r="AM27" s="58"/>
      <c r="AN27" s="58"/>
      <c r="AO27" s="58"/>
      <c r="AP27" s="58"/>
      <c r="AQ27" s="58"/>
      <c r="AR27" s="58"/>
      <c r="AS27" s="58"/>
      <c r="AT27" s="58"/>
      <c r="AU27" s="58"/>
      <c r="AV27" s="58"/>
      <c r="AW27" s="58"/>
      <c r="AX27" s="58"/>
      <c r="AY27" s="58"/>
      <c r="AZ27" s="58"/>
      <c r="BA27" s="58"/>
      <c r="BB27" s="58"/>
      <c r="BC27" s="58"/>
      <c r="BD27" s="58"/>
      <c r="BE27" s="58"/>
      <c r="BF27" s="58"/>
      <c r="BG27" s="58"/>
      <c r="BH27" s="58"/>
      <c r="BI27" s="58"/>
      <c r="BJ27" s="58"/>
      <c r="BK27" s="58"/>
      <c r="BL27" s="58"/>
      <c r="BM27" s="58"/>
      <c r="BN27" s="58"/>
      <c r="BO27" s="58"/>
      <c r="BP27" s="58"/>
      <c r="BQ27" s="58"/>
      <c r="BR27" s="58"/>
      <c r="BS27" s="58"/>
      <c r="BT27" s="58"/>
      <c r="BU27" s="58"/>
      <c r="BV27" s="58"/>
      <c r="BW27" s="58"/>
      <c r="BX27" s="58"/>
      <c r="BY27" s="58"/>
      <c r="BZ27" s="58"/>
      <c r="CA27" s="58"/>
      <c r="CB27" s="58"/>
      <c r="CC27" s="58"/>
      <c r="CD27" s="58"/>
    </row>
    <row r="28" spans="1:82" x14ac:dyDescent="0.4">
      <c r="A28" s="58"/>
      <c r="B28" s="58"/>
      <c r="C28" s="58"/>
      <c r="D28" s="58"/>
      <c r="E28" s="58"/>
      <c r="G28" s="29"/>
      <c r="H28" s="29"/>
      <c r="I28" s="29"/>
      <c r="J28" s="29" t="str">
        <f xml:space="preserve"> _xll.EPMOlapMemberO("[KEY_FIGURES].[].[CONFQTY]","","Confirmed Qty","","000")</f>
        <v>Confirmed Qty</v>
      </c>
      <c r="K28" s="34"/>
      <c r="L28" s="34"/>
      <c r="M28" s="34"/>
      <c r="N28" s="34"/>
      <c r="O28" s="34"/>
      <c r="P28" s="34"/>
      <c r="Q28" s="34"/>
      <c r="R28" s="34"/>
      <c r="S28" s="34"/>
      <c r="T28" s="34"/>
      <c r="U28" s="34"/>
      <c r="V28" s="34"/>
      <c r="AI28" s="58"/>
      <c r="AJ28" s="58"/>
      <c r="AK28" s="58"/>
      <c r="AL28" s="58"/>
      <c r="AM28" s="58"/>
      <c r="AN28" s="58"/>
      <c r="AO28" s="58"/>
      <c r="AP28" s="58"/>
      <c r="AQ28" s="58"/>
      <c r="AR28" s="58"/>
      <c r="AS28" s="58"/>
      <c r="AT28" s="58"/>
      <c r="AU28" s="58"/>
      <c r="AV28" s="58"/>
      <c r="AW28" s="58"/>
      <c r="AX28" s="58"/>
      <c r="AY28" s="58"/>
      <c r="AZ28" s="58"/>
      <c r="BA28" s="58"/>
      <c r="BB28" s="58"/>
      <c r="BC28" s="58"/>
      <c r="BD28" s="58"/>
      <c r="BE28" s="58"/>
      <c r="BF28" s="58"/>
      <c r="BG28" s="58"/>
      <c r="BH28" s="58"/>
      <c r="BI28" s="58"/>
      <c r="BJ28" s="58"/>
      <c r="BK28" s="58"/>
      <c r="BL28" s="58"/>
      <c r="BM28" s="58"/>
      <c r="BN28" s="58"/>
      <c r="BO28" s="58"/>
      <c r="BP28" s="58"/>
      <c r="BQ28" s="58"/>
      <c r="BR28" s="58"/>
      <c r="BS28" s="58"/>
      <c r="BT28" s="58"/>
      <c r="BU28" s="58"/>
      <c r="BV28" s="58"/>
      <c r="BW28" s="58"/>
      <c r="BX28" s="58"/>
      <c r="BY28" s="58"/>
      <c r="BZ28" s="58"/>
      <c r="CA28" s="58"/>
      <c r="CB28" s="58"/>
      <c r="CC28" s="58"/>
      <c r="CD28" s="58"/>
    </row>
    <row r="29" spans="1:82" x14ac:dyDescent="0.4">
      <c r="A29" s="58"/>
      <c r="B29" s="58"/>
      <c r="C29" s="58"/>
      <c r="D29" s="58"/>
      <c r="E29" s="58"/>
      <c r="G29" s="29" t="str">
        <f xml:space="preserve"> _xll.EPMOlapMemberO("[PRDID].[].[HT_002]","","HT_002","","000")</f>
        <v>HT_002</v>
      </c>
      <c r="H29" s="29" t="str">
        <f xml:space="preserve"> _xll.EPMOlapMemberO("[LOCID].[].[HD_DC_CA_E]","","HD_DC_CA_E","","000")</f>
        <v>HD_DC_CA_E</v>
      </c>
      <c r="I29" s="29" t="str">
        <f xml:space="preserve"> _xll.EPMOlapMemberO("[ABCID].[].[A]","","A","","000")</f>
        <v>A</v>
      </c>
      <c r="J29" s="29" t="str">
        <f xml:space="preserve"> _xll.EPMOlapMemberO("[KEY_FIGURES].[].[CONSENSUSDEMAND]","","Consensus Demand without Promotion","","000")</f>
        <v>Consensus Demand without Promotion</v>
      </c>
      <c r="K29" s="62"/>
      <c r="L29" s="62"/>
      <c r="M29" s="62"/>
      <c r="N29" s="62"/>
      <c r="O29" s="62"/>
      <c r="P29" s="62"/>
      <c r="Q29" s="62">
        <v>175</v>
      </c>
      <c r="R29" s="62">
        <v>175.00200000000001</v>
      </c>
      <c r="S29" s="62">
        <v>175</v>
      </c>
      <c r="T29" s="62">
        <v>175</v>
      </c>
      <c r="U29" s="62">
        <v>175</v>
      </c>
      <c r="V29" s="62">
        <v>175</v>
      </c>
      <c r="AI29" s="58"/>
      <c r="AJ29" s="58"/>
      <c r="AK29" s="58"/>
      <c r="AL29" s="58"/>
      <c r="AM29" s="58"/>
      <c r="AN29" s="58"/>
      <c r="AO29" s="58"/>
      <c r="AP29" s="58"/>
      <c r="AQ29" s="58"/>
      <c r="AR29" s="58"/>
      <c r="AS29" s="58"/>
      <c r="AT29" s="58"/>
      <c r="AU29" s="58"/>
      <c r="AV29" s="58"/>
      <c r="AW29" s="58"/>
      <c r="AX29" s="58"/>
      <c r="AY29" s="58"/>
      <c r="AZ29" s="58"/>
      <c r="BA29" s="58"/>
      <c r="BB29" s="58"/>
      <c r="BC29" s="58"/>
      <c r="BD29" s="58"/>
      <c r="BE29" s="58"/>
      <c r="BF29" s="58"/>
      <c r="BG29" s="58"/>
      <c r="BH29" s="58"/>
      <c r="BI29" s="58"/>
      <c r="BJ29" s="58"/>
      <c r="BK29" s="58"/>
      <c r="BL29" s="58"/>
      <c r="BM29" s="58"/>
      <c r="BN29" s="58"/>
      <c r="BO29" s="58"/>
      <c r="BP29" s="58"/>
      <c r="BQ29" s="58"/>
      <c r="BR29" s="58"/>
      <c r="BS29" s="58"/>
      <c r="BT29" s="58"/>
      <c r="BU29" s="58"/>
      <c r="BV29" s="58"/>
      <c r="BW29" s="58"/>
      <c r="BX29" s="58"/>
      <c r="BY29" s="58"/>
      <c r="BZ29" s="58"/>
      <c r="CA29" s="58"/>
      <c r="CB29" s="58"/>
      <c r="CC29" s="58"/>
      <c r="CD29" s="58"/>
    </row>
    <row r="30" spans="1:82" x14ac:dyDescent="0.4">
      <c r="A30" s="58"/>
      <c r="B30" s="58"/>
      <c r="C30" s="58"/>
      <c r="D30" s="58"/>
      <c r="E30" s="58"/>
      <c r="G30" s="29"/>
      <c r="H30" s="29"/>
      <c r="I30" s="29"/>
      <c r="J30" s="29" t="str">
        <f xml:space="preserve"> _xll.EPMOlapMemberO("[KEY_FIGURES].[].[DEMANDPLANNINGQTY]","","Demand Planning Qty","","000")</f>
        <v>Demand Planning Qty</v>
      </c>
      <c r="K30" s="34">
        <v>0</v>
      </c>
      <c r="L30" s="34">
        <v>0</v>
      </c>
      <c r="M30" s="34">
        <v>0</v>
      </c>
      <c r="N30" s="34">
        <v>0</v>
      </c>
      <c r="O30" s="34">
        <v>0</v>
      </c>
      <c r="P30" s="34"/>
      <c r="Q30" s="34"/>
      <c r="R30" s="34"/>
      <c r="S30" s="34"/>
      <c r="T30" s="34"/>
      <c r="U30" s="34">
        <v>150</v>
      </c>
      <c r="V30" s="34">
        <v>150</v>
      </c>
      <c r="AI30" s="58"/>
      <c r="AJ30" s="58"/>
      <c r="AK30" s="58"/>
      <c r="AL30" s="58"/>
      <c r="AM30" s="58"/>
      <c r="AN30" s="58"/>
      <c r="AO30" s="58"/>
      <c r="AP30" s="58"/>
      <c r="AQ30" s="58"/>
      <c r="AR30" s="58"/>
      <c r="AS30" s="58"/>
      <c r="AT30" s="58"/>
      <c r="AU30" s="58"/>
      <c r="AV30" s="58"/>
      <c r="AW30" s="58"/>
      <c r="AX30" s="58"/>
      <c r="AY30" s="58"/>
      <c r="AZ30" s="58"/>
      <c r="BA30" s="58"/>
      <c r="BB30" s="58"/>
      <c r="BC30" s="58"/>
      <c r="BD30" s="58"/>
      <c r="BE30" s="58"/>
      <c r="BF30" s="58"/>
      <c r="BG30" s="58"/>
      <c r="BH30" s="58"/>
      <c r="BI30" s="58"/>
      <c r="BJ30" s="58"/>
      <c r="BK30" s="58"/>
      <c r="BL30" s="58"/>
      <c r="BM30" s="58"/>
      <c r="BN30" s="58"/>
      <c r="BO30" s="58"/>
      <c r="BP30" s="58"/>
      <c r="BQ30" s="58"/>
      <c r="BR30" s="58"/>
      <c r="BS30" s="58"/>
      <c r="BT30" s="58"/>
      <c r="BU30" s="58"/>
      <c r="BV30" s="58"/>
      <c r="BW30" s="58"/>
      <c r="BX30" s="58"/>
      <c r="BY30" s="58"/>
      <c r="BZ30" s="58"/>
      <c r="CA30" s="58"/>
      <c r="CB30" s="58"/>
      <c r="CC30" s="58"/>
      <c r="CD30" s="58"/>
    </row>
    <row r="31" spans="1:82" x14ac:dyDescent="0.4">
      <c r="A31" s="58"/>
      <c r="B31" s="58"/>
      <c r="C31" s="58"/>
      <c r="D31" s="58"/>
      <c r="E31" s="58"/>
      <c r="G31" s="29"/>
      <c r="H31" s="29"/>
      <c r="I31" s="29"/>
      <c r="J31" s="29" t="str">
        <f xml:space="preserve"> _xll.EPMOlapMemberO("[KEY_FIGURES].[].[FINALCONSENSUSDEMAND]","","Consensus Demand","","000")</f>
        <v>Consensus Demand</v>
      </c>
      <c r="K31" s="34">
        <v>0</v>
      </c>
      <c r="L31" s="34">
        <v>0</v>
      </c>
      <c r="M31" s="34">
        <v>0</v>
      </c>
      <c r="N31" s="34">
        <v>0</v>
      </c>
      <c r="O31" s="34">
        <v>0</v>
      </c>
      <c r="P31" s="34"/>
      <c r="Q31" s="34">
        <v>175</v>
      </c>
      <c r="R31" s="34">
        <v>175.00200000000001</v>
      </c>
      <c r="S31" s="34">
        <v>175</v>
      </c>
      <c r="T31" s="34">
        <v>175</v>
      </c>
      <c r="U31" s="34">
        <v>175</v>
      </c>
      <c r="V31" s="34">
        <v>175</v>
      </c>
      <c r="AI31" s="58"/>
      <c r="AJ31" s="58"/>
      <c r="AK31" s="58"/>
      <c r="AL31" s="58"/>
      <c r="AM31" s="58"/>
      <c r="AN31" s="58"/>
      <c r="AO31" s="58"/>
      <c r="AP31" s="58"/>
      <c r="AQ31" s="58"/>
      <c r="AR31" s="58"/>
      <c r="AS31" s="58"/>
      <c r="AT31" s="58"/>
      <c r="AU31" s="58"/>
      <c r="AV31" s="58"/>
      <c r="AW31" s="58"/>
      <c r="AX31" s="58"/>
      <c r="AY31" s="58"/>
      <c r="AZ31" s="58"/>
      <c r="BA31" s="58"/>
      <c r="BB31" s="58"/>
      <c r="BC31" s="58"/>
      <c r="BD31" s="58"/>
      <c r="BE31" s="58"/>
      <c r="BF31" s="58"/>
      <c r="BG31" s="58"/>
      <c r="BH31" s="58"/>
      <c r="BI31" s="58"/>
      <c r="BJ31" s="58"/>
      <c r="BK31" s="58"/>
      <c r="BL31" s="58"/>
      <c r="BM31" s="58"/>
      <c r="BN31" s="58"/>
      <c r="BO31" s="58"/>
      <c r="BP31" s="58"/>
      <c r="BQ31" s="58"/>
      <c r="BR31" s="58"/>
      <c r="BS31" s="58"/>
      <c r="BT31" s="58"/>
      <c r="BU31" s="58"/>
      <c r="BV31" s="58"/>
      <c r="BW31" s="58"/>
      <c r="BX31" s="58"/>
      <c r="BY31" s="58"/>
      <c r="BZ31" s="58"/>
      <c r="CA31" s="58"/>
      <c r="CB31" s="58"/>
      <c r="CC31" s="58"/>
      <c r="CD31" s="58"/>
    </row>
    <row r="32" spans="1:82" x14ac:dyDescent="0.4">
      <c r="A32" s="58"/>
      <c r="B32" s="58"/>
      <c r="C32" s="58"/>
      <c r="D32" s="58"/>
      <c r="E32" s="58"/>
      <c r="G32" s="29"/>
      <c r="H32" s="29"/>
      <c r="I32" s="29"/>
      <c r="J32" s="29" t="str">
        <f xml:space="preserve"> _xll.EPMOlapMemberO("[KEY_FIGURES].[].[ADJDELIVQTY]","","Delivered Qty Adjusted","","000")</f>
        <v>Delivered Qty Adjusted</v>
      </c>
      <c r="K32" s="62"/>
      <c r="L32" s="62"/>
      <c r="M32" s="62"/>
      <c r="N32" s="62"/>
      <c r="O32" s="62"/>
      <c r="P32" s="62"/>
      <c r="Q32" s="62">
        <v>125</v>
      </c>
      <c r="R32" s="62">
        <v>125</v>
      </c>
      <c r="S32" s="62">
        <v>125</v>
      </c>
      <c r="T32" s="62">
        <v>125</v>
      </c>
      <c r="U32" s="62">
        <v>125</v>
      </c>
      <c r="V32" s="62">
        <v>125</v>
      </c>
      <c r="AI32" s="58"/>
      <c r="AJ32" s="58"/>
      <c r="AK32" s="58"/>
      <c r="AL32" s="58"/>
      <c r="AM32" s="58"/>
      <c r="AN32" s="58"/>
      <c r="AO32" s="58"/>
      <c r="AP32" s="58"/>
      <c r="AQ32" s="58"/>
      <c r="AR32" s="58"/>
      <c r="AS32" s="58"/>
      <c r="AT32" s="58"/>
      <c r="AU32" s="58"/>
      <c r="AV32" s="58"/>
      <c r="AW32" s="58"/>
      <c r="AX32" s="58"/>
      <c r="AY32" s="58"/>
      <c r="AZ32" s="58"/>
      <c r="BA32" s="58"/>
      <c r="BB32" s="58"/>
      <c r="BC32" s="58"/>
      <c r="BD32" s="58"/>
      <c r="BE32" s="58"/>
      <c r="BF32" s="58"/>
      <c r="BG32" s="58"/>
      <c r="BH32" s="58"/>
      <c r="BI32" s="58"/>
      <c r="BJ32" s="58"/>
      <c r="BK32" s="58"/>
      <c r="BL32" s="58"/>
      <c r="BM32" s="58"/>
      <c r="BN32" s="58"/>
      <c r="BO32" s="58"/>
      <c r="BP32" s="58"/>
      <c r="BQ32" s="58"/>
      <c r="BR32" s="58"/>
      <c r="BS32" s="58"/>
      <c r="BT32" s="58"/>
      <c r="BU32" s="58"/>
      <c r="BV32" s="58"/>
      <c r="BW32" s="58"/>
      <c r="BX32" s="58"/>
      <c r="BY32" s="58"/>
      <c r="BZ32" s="58"/>
      <c r="CA32" s="58"/>
      <c r="CB32" s="58"/>
      <c r="CC32" s="58"/>
      <c r="CD32" s="58"/>
    </row>
    <row r="33" spans="1:82" x14ac:dyDescent="0.4">
      <c r="A33" s="58"/>
      <c r="B33" s="58"/>
      <c r="C33" s="58"/>
      <c r="D33" s="58"/>
      <c r="E33" s="58"/>
      <c r="G33" s="29"/>
      <c r="H33" s="29"/>
      <c r="I33" s="29"/>
      <c r="J33" s="29" t="str">
        <f xml:space="preserve"> _xll.EPMOlapMemberO("[KEY_FIGURES].[].[ACTUALSREV]","","Actuals Revenue","","000")</f>
        <v>Actuals Revenue</v>
      </c>
      <c r="K33" s="62"/>
      <c r="L33" s="62"/>
      <c r="M33" s="62"/>
      <c r="N33" s="62"/>
      <c r="O33" s="62"/>
      <c r="P33" s="62"/>
      <c r="Q33" s="62"/>
      <c r="R33" s="62"/>
      <c r="S33" s="62"/>
      <c r="T33" s="62"/>
      <c r="U33" s="62"/>
      <c r="V33" s="62"/>
      <c r="AI33" s="58"/>
      <c r="AJ33" s="58"/>
      <c r="AK33" s="58"/>
      <c r="AL33" s="58"/>
      <c r="AM33" s="58"/>
      <c r="AN33" s="58"/>
      <c r="AO33" s="58"/>
      <c r="AP33" s="58"/>
      <c r="AQ33" s="58"/>
      <c r="AR33" s="58"/>
      <c r="AS33" s="58"/>
      <c r="AT33" s="58"/>
      <c r="AU33" s="58"/>
      <c r="AV33" s="58"/>
      <c r="AW33" s="58"/>
      <c r="AX33" s="58"/>
      <c r="AY33" s="58"/>
      <c r="AZ33" s="58"/>
      <c r="BA33" s="58"/>
      <c r="BB33" s="58"/>
      <c r="BC33" s="58"/>
      <c r="BD33" s="58"/>
      <c r="BE33" s="58"/>
      <c r="BF33" s="58"/>
      <c r="BG33" s="58"/>
      <c r="BH33" s="58"/>
      <c r="BI33" s="58"/>
      <c r="BJ33" s="58"/>
      <c r="BK33" s="58"/>
      <c r="BL33" s="58"/>
      <c r="BM33" s="58"/>
      <c r="BN33" s="58"/>
      <c r="BO33" s="58"/>
      <c r="BP33" s="58"/>
      <c r="BQ33" s="58"/>
      <c r="BR33" s="58"/>
      <c r="BS33" s="58"/>
      <c r="BT33" s="58"/>
      <c r="BU33" s="58"/>
      <c r="BV33" s="58"/>
      <c r="BW33" s="58"/>
      <c r="BX33" s="58"/>
      <c r="BY33" s="58"/>
      <c r="BZ33" s="58"/>
      <c r="CA33" s="58"/>
      <c r="CB33" s="58"/>
      <c r="CC33" s="58"/>
      <c r="CD33" s="58"/>
    </row>
    <row r="34" spans="1:82" x14ac:dyDescent="0.4">
      <c r="A34" s="58"/>
      <c r="B34" s="58"/>
      <c r="C34" s="58"/>
      <c r="D34" s="58"/>
      <c r="E34" s="58"/>
      <c r="G34" s="29"/>
      <c r="H34" s="29"/>
      <c r="I34" s="29"/>
      <c r="J34" s="29" t="str">
        <f xml:space="preserve"> _xll.EPMOlapMemberO("[KEY_FIGURES].[].[CONFQTY]","","Confirmed Qty","","000")</f>
        <v>Confirmed Qty</v>
      </c>
      <c r="K34" s="34"/>
      <c r="L34" s="34"/>
      <c r="M34" s="34"/>
      <c r="N34" s="34"/>
      <c r="O34" s="34"/>
      <c r="P34" s="34"/>
      <c r="Q34" s="34"/>
      <c r="R34" s="34"/>
      <c r="S34" s="34"/>
      <c r="T34" s="34"/>
      <c r="U34" s="34"/>
      <c r="V34" s="34"/>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8"/>
      <c r="BK34" s="58"/>
      <c r="BL34" s="58"/>
      <c r="BM34" s="58"/>
      <c r="BN34" s="58"/>
      <c r="BO34" s="58"/>
      <c r="BP34" s="58"/>
      <c r="BQ34" s="58"/>
      <c r="BR34" s="58"/>
      <c r="BS34" s="58"/>
      <c r="BT34" s="58"/>
      <c r="BU34" s="58"/>
      <c r="BV34" s="58"/>
      <c r="BW34" s="58"/>
      <c r="BX34" s="58"/>
      <c r="BY34" s="58"/>
      <c r="BZ34" s="58"/>
      <c r="CA34" s="58"/>
      <c r="CB34" s="58"/>
      <c r="CC34" s="58"/>
      <c r="CD34" s="58"/>
    </row>
    <row r="35" spans="1:82" x14ac:dyDescent="0.4">
      <c r="A35" s="58"/>
      <c r="B35" s="58"/>
      <c r="C35" s="58"/>
      <c r="D35" s="58"/>
      <c r="E35" s="58"/>
      <c r="G35" s="29"/>
      <c r="H35" s="29" t="str">
        <f xml:space="preserve"> _xll.EPMOlapMemberO("[LOCID].[].[HD_DC_FR]","","HD_DC_FR","","000")</f>
        <v>HD_DC_FR</v>
      </c>
      <c r="I35" s="29" t="str">
        <f xml:space="preserve"> _xll.EPMOlapMemberO("[ABCID].[].[A]","","A","","000")</f>
        <v>A</v>
      </c>
      <c r="J35" s="29" t="str">
        <f xml:space="preserve"> _xll.EPMOlapMemberO("[KEY_FIGURES].[].[CONSENSUSDEMAND]","","Consensus Demand without Promotion","","000")</f>
        <v>Consensus Demand without Promotion</v>
      </c>
      <c r="K35" s="62"/>
      <c r="L35" s="62"/>
      <c r="M35" s="62"/>
      <c r="N35" s="62"/>
      <c r="O35" s="62"/>
      <c r="P35" s="62">
        <v>6000</v>
      </c>
      <c r="Q35" s="62">
        <v>175</v>
      </c>
      <c r="R35" s="62">
        <v>174.99600000000001</v>
      </c>
      <c r="S35" s="62">
        <v>175</v>
      </c>
      <c r="T35" s="62">
        <v>175</v>
      </c>
      <c r="U35" s="62">
        <v>175</v>
      </c>
      <c r="V35" s="62">
        <v>700</v>
      </c>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c r="BG35" s="58"/>
      <c r="BH35" s="58"/>
      <c r="BI35" s="58"/>
      <c r="BJ35" s="58"/>
      <c r="BK35" s="58"/>
      <c r="BL35" s="58"/>
      <c r="BM35" s="58"/>
      <c r="BN35" s="58"/>
      <c r="BO35" s="58"/>
      <c r="BP35" s="58"/>
      <c r="BQ35" s="58"/>
      <c r="BR35" s="58"/>
      <c r="BS35" s="58"/>
      <c r="BT35" s="58"/>
      <c r="BU35" s="58"/>
      <c r="BV35" s="58"/>
      <c r="BW35" s="58"/>
      <c r="BX35" s="58"/>
      <c r="BY35" s="58"/>
      <c r="BZ35" s="58"/>
      <c r="CA35" s="58"/>
      <c r="CB35" s="58"/>
      <c r="CC35" s="58"/>
      <c r="CD35" s="58"/>
    </row>
    <row r="36" spans="1:82" x14ac:dyDescent="0.4">
      <c r="A36" s="58"/>
      <c r="B36" s="58"/>
      <c r="C36" s="58"/>
      <c r="D36" s="58"/>
      <c r="E36" s="58"/>
      <c r="G36" s="29"/>
      <c r="H36" s="29"/>
      <c r="I36" s="29"/>
      <c r="J36" s="29" t="str">
        <f xml:space="preserve"> _xll.EPMOlapMemberO("[KEY_FIGURES].[].[DEMANDPLANNINGQTY]","","Demand Planning Qty","","000")</f>
        <v>Demand Planning Qty</v>
      </c>
      <c r="K36" s="34">
        <v>0</v>
      </c>
      <c r="L36" s="34">
        <v>0</v>
      </c>
      <c r="M36" s="34">
        <v>0</v>
      </c>
      <c r="N36" s="34">
        <v>0</v>
      </c>
      <c r="O36" s="34">
        <v>0</v>
      </c>
      <c r="P36" s="34"/>
      <c r="Q36" s="34"/>
      <c r="R36" s="34"/>
      <c r="S36" s="34"/>
      <c r="T36" s="34"/>
      <c r="U36" s="34">
        <v>150</v>
      </c>
      <c r="V36" s="34">
        <v>150</v>
      </c>
      <c r="AI36" s="58"/>
      <c r="AJ36" s="58"/>
      <c r="AK36" s="58"/>
      <c r="AL36" s="58"/>
      <c r="AM36" s="58"/>
      <c r="AN36" s="58"/>
      <c r="AO36" s="58"/>
      <c r="AP36" s="58"/>
      <c r="AQ36" s="58"/>
      <c r="AR36" s="58"/>
      <c r="AS36" s="58"/>
      <c r="AT36" s="58"/>
      <c r="AU36" s="58"/>
      <c r="AV36" s="58"/>
      <c r="AW36" s="58"/>
      <c r="AX36" s="58"/>
      <c r="AY36" s="58"/>
      <c r="AZ36" s="58"/>
      <c r="BA36" s="58"/>
      <c r="BB36" s="58"/>
      <c r="BC36" s="58"/>
      <c r="BD36" s="58"/>
      <c r="BE36" s="58"/>
      <c r="BF36" s="58"/>
      <c r="BG36" s="58"/>
      <c r="BH36" s="58"/>
      <c r="BI36" s="58"/>
      <c r="BJ36" s="58"/>
      <c r="BK36" s="58"/>
      <c r="BL36" s="58"/>
      <c r="BM36" s="58"/>
      <c r="BN36" s="58"/>
      <c r="BO36" s="58"/>
      <c r="BP36" s="58"/>
      <c r="BQ36" s="58"/>
      <c r="BR36" s="58"/>
      <c r="BS36" s="58"/>
      <c r="BT36" s="58"/>
      <c r="BU36" s="58"/>
      <c r="BV36" s="58"/>
      <c r="BW36" s="58"/>
      <c r="BX36" s="58"/>
      <c r="BY36" s="58"/>
      <c r="BZ36" s="58"/>
      <c r="CA36" s="58"/>
      <c r="CB36" s="58"/>
      <c r="CC36" s="58"/>
      <c r="CD36" s="58"/>
    </row>
    <row r="37" spans="1:82" x14ac:dyDescent="0.4">
      <c r="G37" s="29"/>
      <c r="H37" s="29"/>
      <c r="I37" s="29"/>
      <c r="J37" s="29" t="str">
        <f xml:space="preserve"> _xll.EPMOlapMemberO("[KEY_FIGURES].[].[FINALCONSENSUSDEMAND]","","Consensus Demand","","000")</f>
        <v>Consensus Demand</v>
      </c>
      <c r="K37" s="34">
        <v>0</v>
      </c>
      <c r="L37" s="34">
        <v>0</v>
      </c>
      <c r="M37" s="34">
        <v>0</v>
      </c>
      <c r="N37" s="34">
        <v>0</v>
      </c>
      <c r="O37" s="34">
        <v>0</v>
      </c>
      <c r="P37" s="34">
        <v>6000</v>
      </c>
      <c r="Q37" s="34">
        <v>175</v>
      </c>
      <c r="R37" s="34">
        <v>174.99600000000001</v>
      </c>
      <c r="S37" s="34">
        <v>175</v>
      </c>
      <c r="T37" s="34">
        <v>175</v>
      </c>
      <c r="U37" s="34">
        <v>175</v>
      </c>
      <c r="V37" s="34">
        <v>700</v>
      </c>
    </row>
    <row r="38" spans="1:82" x14ac:dyDescent="0.4">
      <c r="G38" s="29"/>
      <c r="H38" s="29"/>
      <c r="I38" s="29"/>
      <c r="J38" s="29" t="str">
        <f xml:space="preserve"> _xll.EPMOlapMemberO("[KEY_FIGURES].[].[ADJDELIVQTY]","","Delivered Qty Adjusted","","000")</f>
        <v>Delivered Qty Adjusted</v>
      </c>
      <c r="K38" s="62"/>
      <c r="L38" s="62"/>
      <c r="M38" s="62"/>
      <c r="N38" s="62"/>
      <c r="O38" s="62"/>
      <c r="P38" s="62"/>
      <c r="Q38" s="62">
        <v>125</v>
      </c>
      <c r="R38" s="62">
        <v>125</v>
      </c>
      <c r="S38" s="62">
        <v>125</v>
      </c>
      <c r="T38" s="62">
        <v>125</v>
      </c>
      <c r="U38" s="62">
        <v>125</v>
      </c>
      <c r="V38" s="62">
        <v>125</v>
      </c>
    </row>
    <row r="39" spans="1:82" x14ac:dyDescent="0.4">
      <c r="G39" s="29"/>
      <c r="H39" s="29"/>
      <c r="I39" s="29"/>
      <c r="J39" s="29" t="str">
        <f xml:space="preserve"> _xll.EPMOlapMemberO("[KEY_FIGURES].[].[ACTUALSREV]","","Actuals Revenue","","000")</f>
        <v>Actuals Revenue</v>
      </c>
      <c r="K39" s="62"/>
      <c r="L39" s="62"/>
      <c r="M39" s="62"/>
      <c r="N39" s="62"/>
      <c r="O39" s="62"/>
      <c r="P39" s="62"/>
      <c r="Q39" s="62"/>
      <c r="R39" s="62"/>
      <c r="S39" s="62"/>
      <c r="T39" s="62"/>
      <c r="U39" s="62"/>
      <c r="V39" s="62"/>
    </row>
    <row r="40" spans="1:82" x14ac:dyDescent="0.4">
      <c r="G40" s="29"/>
      <c r="H40" s="29"/>
      <c r="I40" s="29"/>
      <c r="J40" s="29" t="str">
        <f xml:space="preserve"> _xll.EPMOlapMemberO("[KEY_FIGURES].[].[CONFQTY]","","Confirmed Qty","","000")</f>
        <v>Confirmed Qty</v>
      </c>
      <c r="K40" s="34"/>
      <c r="L40" s="34"/>
      <c r="M40" s="34"/>
      <c r="N40" s="34"/>
      <c r="O40" s="34"/>
      <c r="P40" s="34"/>
      <c r="Q40" s="34"/>
      <c r="R40" s="34"/>
      <c r="S40" s="34"/>
      <c r="T40" s="34"/>
      <c r="U40" s="34"/>
      <c r="V40" s="34"/>
    </row>
    <row r="41" spans="1:82" x14ac:dyDescent="0.4">
      <c r="G41" s="29"/>
      <c r="H41" s="29" t="str">
        <f xml:space="preserve"> _xll.EPMOlapMemberO("[LOCID].[].[HD_DC_US_E]","","HD_DC_US_E","","000")</f>
        <v>HD_DC_US_E</v>
      </c>
      <c r="I41" s="29" t="str">
        <f xml:space="preserve"> _xll.EPMOlapMemberO("[ABCID].[].[A]","","A","","000")</f>
        <v>A</v>
      </c>
      <c r="J41" s="29" t="str">
        <f xml:space="preserve"> _xll.EPMOlapMemberO("[KEY_FIGURES].[].[CONSENSUSDEMAND]","","Consensus Demand without Promotion","","000")</f>
        <v>Consensus Demand without Promotion</v>
      </c>
      <c r="K41" s="62"/>
      <c r="L41" s="62"/>
      <c r="M41" s="62"/>
      <c r="N41" s="62"/>
      <c r="O41" s="62"/>
      <c r="P41" s="62"/>
      <c r="Q41" s="62">
        <v>175</v>
      </c>
      <c r="R41" s="62">
        <v>175.00200000000001</v>
      </c>
      <c r="S41" s="62">
        <v>175</v>
      </c>
      <c r="T41" s="62">
        <v>175</v>
      </c>
      <c r="U41" s="62">
        <v>175</v>
      </c>
      <c r="V41" s="62">
        <v>175</v>
      </c>
    </row>
    <row r="42" spans="1:82" x14ac:dyDescent="0.4">
      <c r="G42" s="29"/>
      <c r="H42" s="29"/>
      <c r="I42" s="29"/>
      <c r="J42" s="29" t="str">
        <f xml:space="preserve"> _xll.EPMOlapMemberO("[KEY_FIGURES].[].[DEMANDPLANNINGQTY]","","Demand Planning Qty","","000")</f>
        <v>Demand Planning Qty</v>
      </c>
      <c r="K42" s="34">
        <v>0</v>
      </c>
      <c r="L42" s="34">
        <v>0</v>
      </c>
      <c r="M42" s="34">
        <v>0</v>
      </c>
      <c r="N42" s="34">
        <v>0</v>
      </c>
      <c r="O42" s="34">
        <v>0</v>
      </c>
      <c r="P42" s="34"/>
      <c r="Q42" s="34"/>
      <c r="R42" s="34"/>
      <c r="S42" s="34"/>
      <c r="T42" s="34"/>
      <c r="U42" s="34">
        <v>150</v>
      </c>
      <c r="V42" s="34">
        <v>150</v>
      </c>
    </row>
    <row r="43" spans="1:82" x14ac:dyDescent="0.4">
      <c r="G43" s="29"/>
      <c r="H43" s="29"/>
      <c r="I43" s="29"/>
      <c r="J43" s="29" t="str">
        <f xml:space="preserve"> _xll.EPMOlapMemberO("[KEY_FIGURES].[].[FINALCONSENSUSDEMAND]","","Consensus Demand","","000")</f>
        <v>Consensus Demand</v>
      </c>
      <c r="K43" s="34">
        <v>0</v>
      </c>
      <c r="L43" s="34">
        <v>0</v>
      </c>
      <c r="M43" s="34">
        <v>0</v>
      </c>
      <c r="N43" s="34">
        <v>0</v>
      </c>
      <c r="O43" s="34">
        <v>0</v>
      </c>
      <c r="P43" s="34"/>
      <c r="Q43" s="34">
        <v>175</v>
      </c>
      <c r="R43" s="34">
        <v>175.00200000000001</v>
      </c>
      <c r="S43" s="34">
        <v>175</v>
      </c>
      <c r="T43" s="34">
        <v>175</v>
      </c>
      <c r="U43" s="34">
        <v>175</v>
      </c>
      <c r="V43" s="34">
        <v>175</v>
      </c>
    </row>
    <row r="44" spans="1:82" x14ac:dyDescent="0.4">
      <c r="G44" s="29"/>
      <c r="H44" s="29"/>
      <c r="I44" s="29"/>
      <c r="J44" s="29" t="str">
        <f xml:space="preserve"> _xll.EPMOlapMemberO("[KEY_FIGURES].[].[ADJDELIVQTY]","","Delivered Qty Adjusted","","000")</f>
        <v>Delivered Qty Adjusted</v>
      </c>
      <c r="K44" s="62"/>
      <c r="L44" s="62"/>
      <c r="M44" s="62"/>
      <c r="N44" s="62"/>
      <c r="O44" s="62"/>
      <c r="P44" s="62"/>
      <c r="Q44" s="62">
        <v>125</v>
      </c>
      <c r="R44" s="62">
        <v>125</v>
      </c>
      <c r="S44" s="62">
        <v>125</v>
      </c>
      <c r="T44" s="62">
        <v>125</v>
      </c>
      <c r="U44" s="62">
        <v>125</v>
      </c>
      <c r="V44" s="62">
        <v>125</v>
      </c>
    </row>
    <row r="45" spans="1:82" x14ac:dyDescent="0.4">
      <c r="G45" s="29"/>
      <c r="H45" s="29"/>
      <c r="I45" s="29"/>
      <c r="J45" s="29" t="str">
        <f xml:space="preserve"> _xll.EPMOlapMemberO("[KEY_FIGURES].[].[ACTUALSREV]","","Actuals Revenue","","000")</f>
        <v>Actuals Revenue</v>
      </c>
      <c r="K45" s="62"/>
      <c r="L45" s="62"/>
      <c r="M45" s="62"/>
      <c r="N45" s="62"/>
      <c r="O45" s="62"/>
      <c r="P45" s="62"/>
      <c r="Q45" s="62"/>
      <c r="R45" s="62"/>
      <c r="S45" s="62"/>
      <c r="T45" s="62"/>
      <c r="U45" s="62"/>
      <c r="V45" s="62"/>
    </row>
    <row r="46" spans="1:82" x14ac:dyDescent="0.4">
      <c r="G46" s="29"/>
      <c r="H46" s="29"/>
      <c r="I46" s="29"/>
      <c r="J46" s="29" t="str">
        <f xml:space="preserve"> _xll.EPMOlapMemberO("[KEY_FIGURES].[].[CONFQTY]","","Confirmed Qty","","000")</f>
        <v>Confirmed Qty</v>
      </c>
      <c r="K46" s="34"/>
      <c r="L46" s="34"/>
      <c r="M46" s="34"/>
      <c r="N46" s="34"/>
      <c r="O46" s="34"/>
      <c r="P46" s="34"/>
      <c r="Q46" s="34"/>
      <c r="R46" s="34"/>
      <c r="S46" s="34"/>
      <c r="T46" s="34"/>
      <c r="U46" s="34"/>
      <c r="V46" s="34"/>
    </row>
    <row r="47" spans="1:82" x14ac:dyDescent="0.4">
      <c r="G47" s="29"/>
      <c r="H47" s="29" t="str">
        <f xml:space="preserve"> _xll.EPMOlapMemberO("[LOCID].[].[HD_DC_US_W]","","HD_DC_US_W","","000")</f>
        <v>HD_DC_US_W</v>
      </c>
      <c r="I47" s="29" t="str">
        <f xml:space="preserve"> _xll.EPMOlapMemberO("[ABCID].[].[A]","","A","","000")</f>
        <v>A</v>
      </c>
      <c r="J47" s="29" t="str">
        <f xml:space="preserve"> _xll.EPMOlapMemberO("[KEY_FIGURES].[].[CONSENSUSDEMAND]","","Consensus Demand without Promotion","","000")</f>
        <v>Consensus Demand without Promotion</v>
      </c>
      <c r="K47" s="62"/>
      <c r="L47" s="62"/>
      <c r="M47" s="62"/>
      <c r="N47" s="62"/>
      <c r="O47" s="62"/>
      <c r="P47" s="62"/>
      <c r="Q47" s="62">
        <v>600</v>
      </c>
      <c r="R47" s="62">
        <v>175</v>
      </c>
      <c r="S47" s="62">
        <v>175</v>
      </c>
      <c r="T47" s="62">
        <v>175</v>
      </c>
      <c r="U47" s="62">
        <v>175</v>
      </c>
      <c r="V47" s="62">
        <v>175</v>
      </c>
    </row>
    <row r="48" spans="1:82" x14ac:dyDescent="0.4">
      <c r="G48" s="29"/>
      <c r="H48" s="29"/>
      <c r="I48" s="29"/>
      <c r="J48" s="29" t="str">
        <f xml:space="preserve"> _xll.EPMOlapMemberO("[KEY_FIGURES].[].[DEMANDPLANNINGQTY]","","Demand Planning Qty","","000")</f>
        <v>Demand Planning Qty</v>
      </c>
      <c r="K48" s="34">
        <v>0</v>
      </c>
      <c r="L48" s="34">
        <v>0</v>
      </c>
      <c r="M48" s="34">
        <v>0</v>
      </c>
      <c r="N48" s="34">
        <v>0</v>
      </c>
      <c r="O48" s="34">
        <v>0</v>
      </c>
      <c r="P48" s="34"/>
      <c r="Q48" s="34"/>
      <c r="R48" s="34"/>
      <c r="S48" s="34"/>
      <c r="T48" s="34"/>
      <c r="U48" s="34">
        <v>150</v>
      </c>
      <c r="V48" s="34">
        <v>150</v>
      </c>
    </row>
    <row r="49" spans="7:22" x14ac:dyDescent="0.4">
      <c r="G49" s="29"/>
      <c r="H49" s="29"/>
      <c r="I49" s="29"/>
      <c r="J49" s="29" t="str">
        <f xml:space="preserve"> _xll.EPMOlapMemberO("[KEY_FIGURES].[].[FINALCONSENSUSDEMAND]","","Consensus Demand","","000")</f>
        <v>Consensus Demand</v>
      </c>
      <c r="K49" s="34">
        <v>0</v>
      </c>
      <c r="L49" s="34">
        <v>0</v>
      </c>
      <c r="M49" s="34">
        <v>0</v>
      </c>
      <c r="N49" s="34">
        <v>0</v>
      </c>
      <c r="O49" s="34">
        <v>0</v>
      </c>
      <c r="P49" s="34"/>
      <c r="Q49" s="34">
        <v>600</v>
      </c>
      <c r="R49" s="34">
        <v>175</v>
      </c>
      <c r="S49" s="34">
        <v>175</v>
      </c>
      <c r="T49" s="34">
        <v>175</v>
      </c>
      <c r="U49" s="34">
        <v>175</v>
      </c>
      <c r="V49" s="34">
        <v>175</v>
      </c>
    </row>
    <row r="50" spans="7:22" x14ac:dyDescent="0.4">
      <c r="G50" s="29"/>
      <c r="H50" s="29"/>
      <c r="I50" s="29"/>
      <c r="J50" s="29" t="str">
        <f xml:space="preserve"> _xll.EPMOlapMemberO("[KEY_FIGURES].[].[ADJDELIVQTY]","","Delivered Qty Adjusted","","000")</f>
        <v>Delivered Qty Adjusted</v>
      </c>
      <c r="K50" s="62"/>
      <c r="L50" s="62"/>
      <c r="M50" s="62"/>
      <c r="N50" s="62"/>
      <c r="O50" s="62"/>
      <c r="P50" s="62"/>
      <c r="Q50" s="62">
        <v>125</v>
      </c>
      <c r="R50" s="62">
        <v>125</v>
      </c>
      <c r="S50" s="62">
        <v>125</v>
      </c>
      <c r="T50" s="62">
        <v>125</v>
      </c>
      <c r="U50" s="62">
        <v>125</v>
      </c>
      <c r="V50" s="62">
        <v>125</v>
      </c>
    </row>
    <row r="51" spans="7:22" x14ac:dyDescent="0.4">
      <c r="G51" s="29"/>
      <c r="H51" s="29"/>
      <c r="I51" s="29"/>
      <c r="J51" s="29" t="str">
        <f xml:space="preserve"> _xll.EPMOlapMemberO("[KEY_FIGURES].[].[ACTUALSREV]","","Actuals Revenue","","000")</f>
        <v>Actuals Revenue</v>
      </c>
      <c r="K51" s="62"/>
      <c r="L51" s="62"/>
      <c r="M51" s="62"/>
      <c r="N51" s="62"/>
      <c r="O51" s="62"/>
      <c r="P51" s="62"/>
      <c r="Q51" s="62"/>
      <c r="R51" s="62"/>
      <c r="S51" s="62"/>
      <c r="T51" s="62"/>
      <c r="U51" s="62"/>
      <c r="V51" s="62"/>
    </row>
    <row r="52" spans="7:22" x14ac:dyDescent="0.4">
      <c r="G52" s="29"/>
      <c r="H52" s="29"/>
      <c r="I52" s="29"/>
      <c r="J52" s="29" t="str">
        <f xml:space="preserve"> _xll.EPMOlapMemberO("[KEY_FIGURES].[].[CONFQTY]","","Confirmed Qty","","000")</f>
        <v>Confirmed Qty</v>
      </c>
      <c r="K52" s="34"/>
      <c r="L52" s="34"/>
      <c r="M52" s="34"/>
      <c r="N52" s="34"/>
      <c r="O52" s="34"/>
      <c r="P52" s="34"/>
      <c r="Q52" s="34"/>
      <c r="R52" s="34"/>
      <c r="S52" s="34"/>
      <c r="T52" s="34"/>
      <c r="U52" s="34"/>
      <c r="V52" s="34"/>
    </row>
    <row r="53" spans="7:22" x14ac:dyDescent="0.4">
      <c r="G53" s="29" t="str">
        <f xml:space="preserve"> _xll.EPMOlapMemberO("[PRDID].[].[HT_003]","","HT_003","","000")</f>
        <v>HT_003</v>
      </c>
      <c r="H53" s="29" t="str">
        <f xml:space="preserve"> _xll.EPMOlapMemberO("[LOCID].[].[HD_DC_CA_E]","","HD_DC_CA_E","","000")</f>
        <v>HD_DC_CA_E</v>
      </c>
      <c r="I53" s="29" t="str">
        <f xml:space="preserve"> _xll.EPMOlapMemberO("[ABCID].[].[C]","","C","","000")</f>
        <v>C</v>
      </c>
      <c r="J53" s="29" t="str">
        <f xml:space="preserve"> _xll.EPMOlapMemberO("[KEY_FIGURES].[].[CONSENSUSDEMAND]","","Consensus Demand without Promotion","","000")</f>
        <v>Consensus Demand without Promotion</v>
      </c>
      <c r="K53" s="62">
        <v>85.76</v>
      </c>
      <c r="L53" s="62">
        <v>98.007999999999996</v>
      </c>
      <c r="M53" s="62">
        <v>62.5</v>
      </c>
      <c r="N53" s="62">
        <v>93.5</v>
      </c>
      <c r="O53" s="62">
        <v>57</v>
      </c>
      <c r="P53" s="62">
        <v>58</v>
      </c>
      <c r="Q53" s="62">
        <v>100</v>
      </c>
      <c r="R53" s="62">
        <v>35.003999999999998</v>
      </c>
      <c r="S53" s="62">
        <v>58.005000000000003</v>
      </c>
      <c r="T53" s="62">
        <v>99.754999999999995</v>
      </c>
      <c r="U53" s="62">
        <v>37.75</v>
      </c>
      <c r="V53" s="62">
        <v>85.5</v>
      </c>
    </row>
    <row r="54" spans="7:22" x14ac:dyDescent="0.4">
      <c r="G54" s="29"/>
      <c r="H54" s="29"/>
      <c r="I54" s="29"/>
      <c r="J54" s="29" t="str">
        <f xml:space="preserve"> _xll.EPMOlapMemberO("[KEY_FIGURES].[].[DEMANDPLANNINGQTY]","","Demand Planning Qty","","000")</f>
        <v>Demand Planning Qty</v>
      </c>
      <c r="K54" s="34">
        <v>0</v>
      </c>
      <c r="L54" s="34">
        <v>0</v>
      </c>
      <c r="M54" s="34">
        <v>0</v>
      </c>
      <c r="N54" s="34">
        <v>0</v>
      </c>
      <c r="O54" s="34">
        <v>0</v>
      </c>
      <c r="P54" s="34"/>
      <c r="Q54" s="34"/>
      <c r="R54" s="34"/>
      <c r="S54" s="34"/>
      <c r="T54" s="34"/>
      <c r="U54" s="34"/>
      <c r="V54" s="34"/>
    </row>
    <row r="55" spans="7:22" x14ac:dyDescent="0.4">
      <c r="G55" s="29"/>
      <c r="H55" s="29"/>
      <c r="I55" s="29"/>
      <c r="J55" s="29" t="str">
        <f xml:space="preserve"> _xll.EPMOlapMemberO("[KEY_FIGURES].[].[FINALCONSENSUSDEMAND]","","Consensus Demand","","000")</f>
        <v>Consensus Demand</v>
      </c>
      <c r="K55" s="34">
        <v>85.76</v>
      </c>
      <c r="L55" s="34">
        <v>98.007999999999996</v>
      </c>
      <c r="M55" s="34">
        <v>62.5</v>
      </c>
      <c r="N55" s="34">
        <v>93.5</v>
      </c>
      <c r="O55" s="34">
        <v>57</v>
      </c>
      <c r="P55" s="34">
        <v>58</v>
      </c>
      <c r="Q55" s="34">
        <v>100</v>
      </c>
      <c r="R55" s="34">
        <v>35.003999999999998</v>
      </c>
      <c r="S55" s="34">
        <v>58.005000000000003</v>
      </c>
      <c r="T55" s="34">
        <v>99.754999999999995</v>
      </c>
      <c r="U55" s="34">
        <v>37.75</v>
      </c>
      <c r="V55" s="34">
        <v>85.5</v>
      </c>
    </row>
    <row r="56" spans="7:22" x14ac:dyDescent="0.4">
      <c r="G56" s="29"/>
      <c r="H56" s="29"/>
      <c r="I56" s="29"/>
      <c r="J56" s="29" t="str">
        <f xml:space="preserve"> _xll.EPMOlapMemberO("[KEY_FIGURES].[].[ADJDELIVQTY]","","Delivered Qty Adjusted","","000")</f>
        <v>Delivered Qty Adjusted</v>
      </c>
      <c r="K56" s="62">
        <v>62</v>
      </c>
      <c r="L56" s="62">
        <v>56</v>
      </c>
      <c r="M56" s="62">
        <v>0</v>
      </c>
      <c r="N56" s="62">
        <v>37</v>
      </c>
      <c r="O56" s="62">
        <v>62</v>
      </c>
      <c r="P56" s="62">
        <v>78</v>
      </c>
      <c r="Q56" s="62">
        <v>32</v>
      </c>
      <c r="R56" s="62">
        <v>56</v>
      </c>
      <c r="S56" s="62">
        <v>80</v>
      </c>
      <c r="T56" s="62">
        <v>30</v>
      </c>
      <c r="U56" s="62">
        <v>62</v>
      </c>
      <c r="V56" s="62">
        <v>76</v>
      </c>
    </row>
    <row r="57" spans="7:22" x14ac:dyDescent="0.4">
      <c r="G57" s="29"/>
      <c r="H57" s="29"/>
      <c r="I57" s="29"/>
      <c r="J57" s="29" t="str">
        <f xml:space="preserve"> _xll.EPMOlapMemberO("[KEY_FIGURES].[].[ACTUALSREV]","","Actuals Revenue","","000")</f>
        <v>Actuals Revenue</v>
      </c>
      <c r="K57" s="62"/>
      <c r="L57" s="62"/>
      <c r="M57" s="62"/>
      <c r="N57" s="62"/>
      <c r="O57" s="62"/>
      <c r="P57" s="62"/>
      <c r="Q57" s="62"/>
      <c r="R57" s="62"/>
      <c r="S57" s="62"/>
      <c r="T57" s="62"/>
      <c r="U57" s="62"/>
      <c r="V57" s="62"/>
    </row>
    <row r="58" spans="7:22" x14ac:dyDescent="0.4">
      <c r="G58" s="29"/>
      <c r="H58" s="29"/>
      <c r="I58" s="29"/>
      <c r="J58" s="29" t="str">
        <f xml:space="preserve"> _xll.EPMOlapMemberO("[KEY_FIGURES].[].[CONFQTY]","","Confirmed Qty","","000")</f>
        <v>Confirmed Qty</v>
      </c>
      <c r="K58" s="34"/>
      <c r="L58" s="34"/>
      <c r="M58" s="34"/>
      <c r="N58" s="34"/>
      <c r="O58" s="34"/>
      <c r="P58" s="34"/>
      <c r="Q58" s="34"/>
      <c r="R58" s="34"/>
      <c r="S58" s="34"/>
      <c r="T58" s="34"/>
      <c r="U58" s="34"/>
      <c r="V58" s="34"/>
    </row>
    <row r="59" spans="7:22" x14ac:dyDescent="0.4">
      <c r="G59" s="29"/>
      <c r="H59" s="29" t="str">
        <f xml:space="preserve"> _xll.EPMOlapMemberO("[LOCID].[].[HD_DC_FR]","","HD_DC_FR","","000")</f>
        <v>HD_DC_FR</v>
      </c>
      <c r="I59" s="29" t="str">
        <f xml:space="preserve"> _xll.EPMOlapMemberO("[ABCID].[].[C]","","C","","000")</f>
        <v>C</v>
      </c>
      <c r="J59" s="29" t="str">
        <f xml:space="preserve"> _xll.EPMOlapMemberO("[KEY_FIGURES].[].[CONSENSUSDEMAND]","","Consensus Demand without Promotion","","000")</f>
        <v>Consensus Demand without Promotion</v>
      </c>
      <c r="K59" s="62">
        <v>85.76</v>
      </c>
      <c r="L59" s="62">
        <v>98.007999999999996</v>
      </c>
      <c r="M59" s="62">
        <v>62.5</v>
      </c>
      <c r="N59" s="62">
        <v>93.51</v>
      </c>
      <c r="O59" s="62">
        <v>57</v>
      </c>
      <c r="P59" s="62">
        <v>58</v>
      </c>
      <c r="Q59" s="62">
        <v>100</v>
      </c>
      <c r="R59" s="62">
        <v>35.003999999999998</v>
      </c>
      <c r="S59" s="62">
        <v>58.01</v>
      </c>
      <c r="T59" s="62">
        <v>99.765000000000001</v>
      </c>
      <c r="U59" s="62">
        <v>37.75</v>
      </c>
      <c r="V59" s="62">
        <v>85.5</v>
      </c>
    </row>
    <row r="60" spans="7:22" x14ac:dyDescent="0.4">
      <c r="G60" s="29"/>
      <c r="H60" s="29"/>
      <c r="I60" s="29"/>
      <c r="J60" s="29" t="str">
        <f xml:space="preserve"> _xll.EPMOlapMemberO("[KEY_FIGURES].[].[DEMANDPLANNINGQTY]","","Demand Planning Qty","","000")</f>
        <v>Demand Planning Qty</v>
      </c>
      <c r="K60" s="34">
        <v>0</v>
      </c>
      <c r="L60" s="34">
        <v>0</v>
      </c>
      <c r="M60" s="34">
        <v>0</v>
      </c>
      <c r="N60" s="34">
        <v>0</v>
      </c>
      <c r="O60" s="34">
        <v>0</v>
      </c>
      <c r="P60" s="34"/>
      <c r="Q60" s="34"/>
      <c r="R60" s="34"/>
      <c r="S60" s="34"/>
      <c r="T60" s="34"/>
      <c r="U60" s="34"/>
      <c r="V60" s="34"/>
    </row>
    <row r="61" spans="7:22" x14ac:dyDescent="0.4">
      <c r="G61" s="29"/>
      <c r="H61" s="29"/>
      <c r="I61" s="29"/>
      <c r="J61" s="29" t="str">
        <f xml:space="preserve"> _xll.EPMOlapMemberO("[KEY_FIGURES].[].[FINALCONSENSUSDEMAND]","","Consensus Demand","","000")</f>
        <v>Consensus Demand</v>
      </c>
      <c r="K61" s="34">
        <v>85.76</v>
      </c>
      <c r="L61" s="34">
        <v>98.007999999999996</v>
      </c>
      <c r="M61" s="34">
        <v>62.5</v>
      </c>
      <c r="N61" s="34">
        <v>93.51</v>
      </c>
      <c r="O61" s="34">
        <v>57</v>
      </c>
      <c r="P61" s="34">
        <v>58</v>
      </c>
      <c r="Q61" s="34">
        <v>100</v>
      </c>
      <c r="R61" s="34">
        <v>35.003999999999998</v>
      </c>
      <c r="S61" s="34">
        <v>58.01</v>
      </c>
      <c r="T61" s="34">
        <v>99.765000000000001</v>
      </c>
      <c r="U61" s="34">
        <v>37.75</v>
      </c>
      <c r="V61" s="34">
        <v>85.5</v>
      </c>
    </row>
    <row r="62" spans="7:22" x14ac:dyDescent="0.4">
      <c r="G62" s="29"/>
      <c r="H62" s="29"/>
      <c r="I62" s="29"/>
      <c r="J62" s="29" t="str">
        <f xml:space="preserve"> _xll.EPMOlapMemberO("[KEY_FIGURES].[].[ADJDELIVQTY]","","Delivered Qty Adjusted","","000")</f>
        <v>Delivered Qty Adjusted</v>
      </c>
      <c r="K62" s="62">
        <v>100</v>
      </c>
      <c r="L62" s="62">
        <v>112</v>
      </c>
      <c r="M62" s="62">
        <v>62</v>
      </c>
      <c r="N62" s="62">
        <v>56</v>
      </c>
      <c r="O62" s="62">
        <v>124</v>
      </c>
      <c r="P62" s="62">
        <v>78</v>
      </c>
      <c r="Q62" s="62">
        <v>32</v>
      </c>
      <c r="R62" s="62">
        <v>56</v>
      </c>
      <c r="S62" s="62">
        <v>80</v>
      </c>
      <c r="T62" s="62">
        <v>30</v>
      </c>
      <c r="U62" s="62">
        <v>61</v>
      </c>
      <c r="V62" s="62">
        <v>76</v>
      </c>
    </row>
    <row r="63" spans="7:22" x14ac:dyDescent="0.4">
      <c r="G63" s="29"/>
      <c r="H63" s="29"/>
      <c r="I63" s="29"/>
      <c r="J63" s="29" t="str">
        <f xml:space="preserve"> _xll.EPMOlapMemberO("[KEY_FIGURES].[].[ACTUALSREV]","","Actuals Revenue","","000")</f>
        <v>Actuals Revenue</v>
      </c>
      <c r="K63" s="62"/>
      <c r="L63" s="62"/>
      <c r="M63" s="62"/>
      <c r="N63" s="62"/>
      <c r="O63" s="62"/>
      <c r="P63" s="62"/>
      <c r="Q63" s="62"/>
      <c r="R63" s="62"/>
      <c r="S63" s="62"/>
      <c r="T63" s="62"/>
      <c r="U63" s="62"/>
      <c r="V63" s="62"/>
    </row>
    <row r="64" spans="7:22" x14ac:dyDescent="0.4">
      <c r="G64" s="29"/>
      <c r="H64" s="29"/>
      <c r="I64" s="29"/>
      <c r="J64" s="29" t="str">
        <f xml:space="preserve"> _xll.EPMOlapMemberO("[KEY_FIGURES].[].[CONFQTY]","","Confirmed Qty","","000")</f>
        <v>Confirmed Qty</v>
      </c>
      <c r="K64" s="34"/>
      <c r="L64" s="34"/>
      <c r="M64" s="34"/>
      <c r="N64" s="34"/>
      <c r="O64" s="34"/>
      <c r="P64" s="34"/>
      <c r="Q64" s="34"/>
      <c r="R64" s="34"/>
      <c r="S64" s="34"/>
      <c r="T64" s="34"/>
      <c r="U64" s="34"/>
      <c r="V64" s="34"/>
    </row>
    <row r="65" spans="7:22" x14ac:dyDescent="0.4">
      <c r="G65" s="29"/>
      <c r="H65" s="29" t="str">
        <f xml:space="preserve"> _xll.EPMOlapMemberO("[LOCID].[].[HD_DC_US_E]","","HD_DC_US_E","","000")</f>
        <v>HD_DC_US_E</v>
      </c>
      <c r="I65" s="29" t="str">
        <f xml:space="preserve"> _xll.EPMOlapMemberO("[ABCID].[].[C]","","C","","000")</f>
        <v>C</v>
      </c>
      <c r="J65" s="29" t="str">
        <f xml:space="preserve"> _xll.EPMOlapMemberO("[KEY_FIGURES].[].[CONSENSUSDEMAND]","","Consensus Demand without Promotion","","000")</f>
        <v>Consensus Demand without Promotion</v>
      </c>
      <c r="K65" s="62">
        <v>85.74</v>
      </c>
      <c r="L65" s="62">
        <v>97.992000000000004</v>
      </c>
      <c r="M65" s="62">
        <v>62.5</v>
      </c>
      <c r="N65" s="62">
        <v>93.49</v>
      </c>
      <c r="O65" s="62">
        <v>57</v>
      </c>
      <c r="P65" s="62">
        <v>58</v>
      </c>
      <c r="Q65" s="62">
        <v>100</v>
      </c>
      <c r="R65" s="62">
        <v>35</v>
      </c>
      <c r="S65" s="62">
        <v>57.99</v>
      </c>
      <c r="T65" s="62">
        <v>99.734999999999999</v>
      </c>
      <c r="U65" s="62">
        <v>37.75</v>
      </c>
      <c r="V65" s="62">
        <v>85.5</v>
      </c>
    </row>
    <row r="66" spans="7:22" x14ac:dyDescent="0.4">
      <c r="G66" s="29"/>
      <c r="H66" s="29"/>
      <c r="I66" s="29"/>
      <c r="J66" s="29" t="str">
        <f xml:space="preserve"> _xll.EPMOlapMemberO("[KEY_FIGURES].[].[DEMANDPLANNINGQTY]","","Demand Planning Qty","","000")</f>
        <v>Demand Planning Qty</v>
      </c>
      <c r="K66" s="34">
        <v>0</v>
      </c>
      <c r="L66" s="34">
        <v>0</v>
      </c>
      <c r="M66" s="34">
        <v>0</v>
      </c>
      <c r="N66" s="34">
        <v>0</v>
      </c>
      <c r="O66" s="34">
        <v>0</v>
      </c>
      <c r="P66" s="34"/>
      <c r="Q66" s="34"/>
      <c r="R66" s="34"/>
      <c r="S66" s="34"/>
      <c r="T66" s="34"/>
      <c r="U66" s="34"/>
      <c r="V66" s="34"/>
    </row>
    <row r="67" spans="7:22" x14ac:dyDescent="0.4">
      <c r="G67" s="29"/>
      <c r="H67" s="29"/>
      <c r="I67" s="29"/>
      <c r="J67" s="29" t="str">
        <f xml:space="preserve"> _xll.EPMOlapMemberO("[KEY_FIGURES].[].[FINALCONSENSUSDEMAND]","","Consensus Demand","","000")</f>
        <v>Consensus Demand</v>
      </c>
      <c r="K67" s="34">
        <v>85.74</v>
      </c>
      <c r="L67" s="34">
        <v>97.992000000000004</v>
      </c>
      <c r="M67" s="34">
        <v>62.5</v>
      </c>
      <c r="N67" s="34">
        <v>93.49</v>
      </c>
      <c r="O67" s="34">
        <v>57</v>
      </c>
      <c r="P67" s="34">
        <v>58</v>
      </c>
      <c r="Q67" s="34">
        <v>100</v>
      </c>
      <c r="R67" s="34">
        <v>35</v>
      </c>
      <c r="S67" s="34">
        <v>57.99</v>
      </c>
      <c r="T67" s="34">
        <v>99.734999999999999</v>
      </c>
      <c r="U67" s="34">
        <v>37.75</v>
      </c>
      <c r="V67" s="34">
        <v>85.5</v>
      </c>
    </row>
    <row r="68" spans="7:22" x14ac:dyDescent="0.4">
      <c r="G68" s="29"/>
      <c r="H68" s="29"/>
      <c r="I68" s="29"/>
      <c r="J68" s="29" t="str">
        <f xml:space="preserve"> _xll.EPMOlapMemberO("[KEY_FIGURES].[].[ADJDELIVQTY]","","Delivered Qty Adjusted","","000")</f>
        <v>Delivered Qty Adjusted</v>
      </c>
      <c r="K68" s="62">
        <v>76</v>
      </c>
      <c r="L68" s="62">
        <v>87</v>
      </c>
      <c r="M68" s="62">
        <v>31</v>
      </c>
      <c r="N68" s="62">
        <v>56</v>
      </c>
      <c r="O68" s="62">
        <v>93</v>
      </c>
      <c r="P68" s="62">
        <v>78</v>
      </c>
      <c r="Q68" s="62">
        <v>32</v>
      </c>
      <c r="R68" s="62">
        <v>56</v>
      </c>
      <c r="S68" s="62">
        <v>80</v>
      </c>
      <c r="T68" s="62">
        <v>28</v>
      </c>
      <c r="U68" s="62">
        <v>60</v>
      </c>
      <c r="V68" s="62">
        <v>76</v>
      </c>
    </row>
    <row r="69" spans="7:22" x14ac:dyDescent="0.4">
      <c r="G69" s="29"/>
      <c r="H69" s="29"/>
      <c r="I69" s="29"/>
      <c r="J69" s="29" t="str">
        <f xml:space="preserve"> _xll.EPMOlapMemberO("[KEY_FIGURES].[].[ACTUALSREV]","","Actuals Revenue","","000")</f>
        <v>Actuals Revenue</v>
      </c>
      <c r="K69" s="62"/>
      <c r="L69" s="62"/>
      <c r="M69" s="62"/>
      <c r="N69" s="62"/>
      <c r="O69" s="62"/>
      <c r="P69" s="62"/>
      <c r="Q69" s="62"/>
      <c r="R69" s="62"/>
      <c r="S69" s="62"/>
      <c r="T69" s="62"/>
      <c r="U69" s="62"/>
      <c r="V69" s="62"/>
    </row>
    <row r="70" spans="7:22" x14ac:dyDescent="0.4">
      <c r="G70" s="29"/>
      <c r="H70" s="29"/>
      <c r="I70" s="29"/>
      <c r="J70" s="29" t="str">
        <f xml:space="preserve"> _xll.EPMOlapMemberO("[KEY_FIGURES].[].[CONFQTY]","","Confirmed Qty","","000")</f>
        <v>Confirmed Qty</v>
      </c>
      <c r="K70" s="34"/>
      <c r="L70" s="34"/>
      <c r="M70" s="34"/>
      <c r="N70" s="34"/>
      <c r="O70" s="34"/>
      <c r="P70" s="34"/>
      <c r="Q70" s="34"/>
      <c r="R70" s="34"/>
      <c r="S70" s="34"/>
      <c r="T70" s="34"/>
      <c r="U70" s="34"/>
      <c r="V70" s="34"/>
    </row>
    <row r="71" spans="7:22" x14ac:dyDescent="0.4">
      <c r="G71" s="29"/>
      <c r="H71" s="29" t="str">
        <f xml:space="preserve"> _xll.EPMOlapMemberO("[LOCID].[].[HD_DC_US_W]","","HD_DC_US_W","","000")</f>
        <v>HD_DC_US_W</v>
      </c>
      <c r="I71" s="29" t="str">
        <f xml:space="preserve"> _xll.EPMOlapMemberO("[ABCID].[].[C]","","C","","000")</f>
        <v>C</v>
      </c>
      <c r="J71" s="29" t="str">
        <f xml:space="preserve"> _xll.EPMOlapMemberO("[KEY_FIGURES].[].[CONSENSUSDEMAND]","","Consensus Demand without Promotion","","000")</f>
        <v>Consensus Demand without Promotion</v>
      </c>
      <c r="K71" s="62">
        <v>85.74</v>
      </c>
      <c r="L71" s="62">
        <v>97.992000000000004</v>
      </c>
      <c r="M71" s="62">
        <v>62.5</v>
      </c>
      <c r="N71" s="62">
        <v>93.5</v>
      </c>
      <c r="O71" s="62">
        <v>57</v>
      </c>
      <c r="P71" s="62">
        <v>58</v>
      </c>
      <c r="Q71" s="62">
        <v>100</v>
      </c>
      <c r="R71" s="62">
        <v>34.991999999999997</v>
      </c>
      <c r="S71" s="62">
        <v>57.994999999999997</v>
      </c>
      <c r="T71" s="62">
        <v>99.745000000000005</v>
      </c>
      <c r="U71" s="62">
        <v>37.75</v>
      </c>
      <c r="V71" s="62">
        <v>85.5</v>
      </c>
    </row>
    <row r="72" spans="7:22" x14ac:dyDescent="0.4">
      <c r="G72" s="29"/>
      <c r="H72" s="29"/>
      <c r="I72" s="29"/>
      <c r="J72" s="29" t="str">
        <f xml:space="preserve"> _xll.EPMOlapMemberO("[KEY_FIGURES].[].[DEMANDPLANNINGQTY]","","Demand Planning Qty","","000")</f>
        <v>Demand Planning Qty</v>
      </c>
      <c r="K72" s="34">
        <v>0</v>
      </c>
      <c r="L72" s="34">
        <v>0</v>
      </c>
      <c r="M72" s="34">
        <v>0</v>
      </c>
      <c r="N72" s="34">
        <v>0</v>
      </c>
      <c r="O72" s="34">
        <v>0</v>
      </c>
      <c r="P72" s="34"/>
      <c r="Q72" s="34"/>
      <c r="R72" s="34"/>
      <c r="S72" s="34"/>
      <c r="T72" s="34"/>
      <c r="U72" s="34"/>
      <c r="V72" s="34"/>
    </row>
    <row r="73" spans="7:22" x14ac:dyDescent="0.4">
      <c r="G73" s="29"/>
      <c r="H73" s="29"/>
      <c r="I73" s="29"/>
      <c r="J73" s="29" t="str">
        <f xml:space="preserve"> _xll.EPMOlapMemberO("[KEY_FIGURES].[].[FINALCONSENSUSDEMAND]","","Consensus Demand","","000")</f>
        <v>Consensus Demand</v>
      </c>
      <c r="K73" s="34">
        <v>85.74</v>
      </c>
      <c r="L73" s="34">
        <v>97.992000000000004</v>
      </c>
      <c r="M73" s="34">
        <v>62.5</v>
      </c>
      <c r="N73" s="34">
        <v>93.5</v>
      </c>
      <c r="O73" s="34">
        <v>57</v>
      </c>
      <c r="P73" s="34">
        <v>58</v>
      </c>
      <c r="Q73" s="34">
        <v>100</v>
      </c>
      <c r="R73" s="34">
        <v>34.991999999999997</v>
      </c>
      <c r="S73" s="34">
        <v>57.994999999999997</v>
      </c>
      <c r="T73" s="34">
        <v>99.745000000000005</v>
      </c>
      <c r="U73" s="34">
        <v>37.75</v>
      </c>
      <c r="V73" s="34">
        <v>85.5</v>
      </c>
    </row>
    <row r="74" spans="7:22" x14ac:dyDescent="0.4">
      <c r="G74" s="29"/>
      <c r="H74" s="29"/>
      <c r="I74" s="29"/>
      <c r="J74" s="29" t="str">
        <f xml:space="preserve"> _xll.EPMOlapMemberO("[KEY_FIGURES].[].[ADJDELIVQTY]","","Delivered Qty Adjusted","","000")</f>
        <v>Delivered Qty Adjusted</v>
      </c>
      <c r="K74" s="62">
        <v>97</v>
      </c>
      <c r="L74" s="62">
        <v>112</v>
      </c>
      <c r="M74" s="62">
        <v>48</v>
      </c>
      <c r="N74" s="62">
        <v>56</v>
      </c>
      <c r="O74" s="62">
        <v>114</v>
      </c>
      <c r="P74" s="62">
        <v>78</v>
      </c>
      <c r="Q74" s="62">
        <v>30</v>
      </c>
      <c r="R74" s="62">
        <v>55</v>
      </c>
      <c r="S74" s="62">
        <v>80</v>
      </c>
      <c r="T74" s="62">
        <v>28</v>
      </c>
      <c r="U74" s="62">
        <v>60</v>
      </c>
      <c r="V74" s="62">
        <v>76</v>
      </c>
    </row>
    <row r="75" spans="7:22" x14ac:dyDescent="0.4">
      <c r="G75" s="29"/>
      <c r="H75" s="29"/>
      <c r="I75" s="29"/>
      <c r="J75" s="29" t="str">
        <f xml:space="preserve"> _xll.EPMOlapMemberO("[KEY_FIGURES].[].[ACTUALSREV]","","Actuals Revenue","","000")</f>
        <v>Actuals Revenue</v>
      </c>
      <c r="K75" s="62"/>
      <c r="L75" s="62"/>
      <c r="M75" s="62"/>
      <c r="N75" s="62"/>
      <c r="O75" s="62"/>
      <c r="P75" s="62"/>
      <c r="Q75" s="62"/>
      <c r="R75" s="62"/>
      <c r="S75" s="62"/>
      <c r="T75" s="62"/>
      <c r="U75" s="62"/>
      <c r="V75" s="62"/>
    </row>
    <row r="76" spans="7:22" x14ac:dyDescent="0.4">
      <c r="G76" s="29"/>
      <c r="H76" s="29"/>
      <c r="I76" s="29"/>
      <c r="J76" s="29" t="str">
        <f xml:space="preserve"> _xll.EPMOlapMemberO("[KEY_FIGURES].[].[CONFQTY]","","Confirmed Qty","","000")</f>
        <v>Confirmed Qty</v>
      </c>
      <c r="K76" s="34"/>
      <c r="L76" s="34"/>
      <c r="M76" s="34"/>
      <c r="N76" s="34"/>
      <c r="O76" s="34"/>
      <c r="P76" s="34"/>
      <c r="Q76" s="34"/>
      <c r="R76" s="34"/>
      <c r="S76" s="34"/>
      <c r="T76" s="34"/>
      <c r="U76" s="34"/>
      <c r="V76" s="34"/>
    </row>
    <row r="77" spans="7:22" x14ac:dyDescent="0.4">
      <c r="G77" s="29" t="str">
        <f xml:space="preserve"> _xll.EPMOlapMemberO("[PRDID].[].[HT_004]","","HT_004","","000")</f>
        <v>HT_004</v>
      </c>
      <c r="H77" s="29" t="str">
        <f xml:space="preserve"> _xll.EPMOlapMemberO("[LOCID].[].[HD_DC_CA_E]","","HD_DC_CA_E","","000")</f>
        <v>HD_DC_CA_E</v>
      </c>
      <c r="I77" s="29" t="str">
        <f xml:space="preserve"> _xll.EPMOlapMemberO("[ABCID].[].[C]","","C","","000")</f>
        <v>C</v>
      </c>
      <c r="J77" s="29" t="str">
        <f xml:space="preserve"> _xll.EPMOlapMemberO("[KEY_FIGURES].[].[CONSENSUSDEMAND]","","Consensus Demand without Promotion","","000")</f>
        <v>Consensus Demand without Promotion</v>
      </c>
      <c r="K77" s="62">
        <v>76.5</v>
      </c>
      <c r="L77" s="62">
        <v>99.251999999999995</v>
      </c>
      <c r="M77" s="62">
        <v>69.75</v>
      </c>
      <c r="N77" s="62">
        <v>95.495000000000005</v>
      </c>
      <c r="O77" s="62">
        <v>71.748000000000005</v>
      </c>
      <c r="P77" s="62">
        <v>30.5</v>
      </c>
      <c r="Q77" s="62">
        <v>48.25</v>
      </c>
      <c r="R77" s="62">
        <v>47.502000000000002</v>
      </c>
      <c r="S77" s="62">
        <v>77.5</v>
      </c>
      <c r="T77" s="62">
        <v>98.74</v>
      </c>
      <c r="U77" s="62">
        <v>52.494999999999997</v>
      </c>
      <c r="V77" s="62">
        <v>52.25</v>
      </c>
    </row>
    <row r="78" spans="7:22" x14ac:dyDescent="0.4">
      <c r="G78" s="29"/>
      <c r="H78" s="29"/>
      <c r="I78" s="29"/>
      <c r="J78" s="29" t="str">
        <f xml:space="preserve"> _xll.EPMOlapMemberO("[KEY_FIGURES].[].[DEMANDPLANNINGQTY]","","Demand Planning Qty","","000")</f>
        <v>Demand Planning Qty</v>
      </c>
      <c r="K78" s="34">
        <v>0</v>
      </c>
      <c r="L78" s="34">
        <v>0</v>
      </c>
      <c r="M78" s="34">
        <v>0</v>
      </c>
      <c r="N78" s="34">
        <v>0</v>
      </c>
      <c r="O78" s="34">
        <v>0</v>
      </c>
      <c r="P78" s="34"/>
      <c r="Q78" s="34"/>
      <c r="R78" s="34"/>
      <c r="S78" s="34"/>
      <c r="T78" s="34"/>
      <c r="U78" s="34"/>
      <c r="V78" s="34"/>
    </row>
    <row r="79" spans="7:22" x14ac:dyDescent="0.4">
      <c r="G79" s="29"/>
      <c r="H79" s="29"/>
      <c r="I79" s="29"/>
      <c r="J79" s="29" t="str">
        <f xml:space="preserve"> _xll.EPMOlapMemberO("[KEY_FIGURES].[].[FINALCONSENSUSDEMAND]","","Consensus Demand","","000")</f>
        <v>Consensus Demand</v>
      </c>
      <c r="K79" s="34">
        <v>76.5</v>
      </c>
      <c r="L79" s="34">
        <v>99.251999999999995</v>
      </c>
      <c r="M79" s="34">
        <v>69.75</v>
      </c>
      <c r="N79" s="34">
        <v>95.495000000000005</v>
      </c>
      <c r="O79" s="34">
        <v>71.748000000000005</v>
      </c>
      <c r="P79" s="34">
        <v>30.5</v>
      </c>
      <c r="Q79" s="34">
        <v>48.25</v>
      </c>
      <c r="R79" s="34">
        <v>47.502000000000002</v>
      </c>
      <c r="S79" s="34">
        <v>77.5</v>
      </c>
      <c r="T79" s="34">
        <v>98.74</v>
      </c>
      <c r="U79" s="34">
        <v>52.494999999999997</v>
      </c>
      <c r="V79" s="34">
        <v>52.25</v>
      </c>
    </row>
    <row r="80" spans="7:22" x14ac:dyDescent="0.4">
      <c r="G80" s="29"/>
      <c r="H80" s="29"/>
      <c r="I80" s="29"/>
      <c r="J80" s="29" t="str">
        <f xml:space="preserve"> _xll.EPMOlapMemberO("[KEY_FIGURES].[].[ADJDELIVQTY]","","Delivered Qty Adjusted","","000")</f>
        <v>Delivered Qty Adjusted</v>
      </c>
      <c r="K80" s="62">
        <v>69</v>
      </c>
      <c r="L80" s="62">
        <v>42</v>
      </c>
      <c r="M80" s="62">
        <v>93</v>
      </c>
      <c r="N80" s="62">
        <v>60</v>
      </c>
      <c r="O80" s="62">
        <v>62</v>
      </c>
      <c r="P80" s="62">
        <v>46</v>
      </c>
      <c r="Q80" s="62">
        <v>59</v>
      </c>
      <c r="R80" s="62">
        <v>27</v>
      </c>
      <c r="S80" s="62">
        <v>50</v>
      </c>
      <c r="T80" s="62">
        <v>93</v>
      </c>
      <c r="U80" s="62">
        <v>54</v>
      </c>
      <c r="V80" s="62">
        <v>44</v>
      </c>
    </row>
    <row r="81" spans="7:22" x14ac:dyDescent="0.4">
      <c r="G81" s="29"/>
      <c r="H81" s="29"/>
      <c r="I81" s="29"/>
      <c r="J81" s="29" t="str">
        <f xml:space="preserve"> _xll.EPMOlapMemberO("[KEY_FIGURES].[].[ACTUALSREV]","","Actuals Revenue","","000")</f>
        <v>Actuals Revenue</v>
      </c>
      <c r="K81" s="62"/>
      <c r="L81" s="62"/>
      <c r="M81" s="62"/>
      <c r="N81" s="62"/>
      <c r="O81" s="62"/>
      <c r="P81" s="62"/>
      <c r="Q81" s="62"/>
      <c r="R81" s="62"/>
      <c r="S81" s="62"/>
      <c r="T81" s="62"/>
      <c r="U81" s="62"/>
      <c r="V81" s="62"/>
    </row>
    <row r="82" spans="7:22" x14ac:dyDescent="0.4">
      <c r="G82" s="29"/>
      <c r="H82" s="29"/>
      <c r="I82" s="29"/>
      <c r="J82" s="29" t="str">
        <f xml:space="preserve"> _xll.EPMOlapMemberO("[KEY_FIGURES].[].[CONFQTY]","","Confirmed Qty","","000")</f>
        <v>Confirmed Qty</v>
      </c>
      <c r="K82" s="34"/>
      <c r="L82" s="34"/>
      <c r="M82" s="34"/>
      <c r="N82" s="34"/>
      <c r="O82" s="34"/>
      <c r="P82" s="34"/>
      <c r="Q82" s="34"/>
      <c r="R82" s="34"/>
      <c r="S82" s="34"/>
      <c r="T82" s="34"/>
      <c r="U82" s="34"/>
      <c r="V82" s="34"/>
    </row>
    <row r="83" spans="7:22" x14ac:dyDescent="0.4">
      <c r="G83" s="29"/>
      <c r="H83" s="29" t="str">
        <f xml:space="preserve"> _xll.EPMOlapMemberO("[LOCID].[].[HD_DC_FR]","","HD_DC_FR","","000")</f>
        <v>HD_DC_FR</v>
      </c>
      <c r="I83" s="29" t="str">
        <f xml:space="preserve"> _xll.EPMOlapMemberO("[ABCID].[].[C]","","C","","000")</f>
        <v>C</v>
      </c>
      <c r="J83" s="29" t="str">
        <f xml:space="preserve"> _xll.EPMOlapMemberO("[KEY_FIGURES].[].[CONSENSUSDEMAND]","","Consensus Demand without Promotion","","000")</f>
        <v>Consensus Demand without Promotion</v>
      </c>
      <c r="K83" s="62">
        <v>76.5</v>
      </c>
      <c r="L83" s="62">
        <v>99.251999999999995</v>
      </c>
      <c r="M83" s="62">
        <v>69.75</v>
      </c>
      <c r="N83" s="62">
        <v>95.5</v>
      </c>
      <c r="O83" s="62">
        <v>71.754000000000005</v>
      </c>
      <c r="P83" s="62">
        <v>30.5</v>
      </c>
      <c r="Q83" s="62">
        <v>48.25</v>
      </c>
      <c r="R83" s="62">
        <v>47.5</v>
      </c>
      <c r="S83" s="62">
        <v>77.5</v>
      </c>
      <c r="T83" s="62">
        <v>98.75</v>
      </c>
      <c r="U83" s="62">
        <v>52.5</v>
      </c>
      <c r="V83" s="62">
        <v>52.25</v>
      </c>
    </row>
    <row r="84" spans="7:22" x14ac:dyDescent="0.4">
      <c r="G84" s="29"/>
      <c r="H84" s="29"/>
      <c r="I84" s="29"/>
      <c r="J84" s="29" t="str">
        <f xml:space="preserve"> _xll.EPMOlapMemberO("[KEY_FIGURES].[].[DEMANDPLANNINGQTY]","","Demand Planning Qty","","000")</f>
        <v>Demand Planning Qty</v>
      </c>
      <c r="K84" s="34">
        <v>0</v>
      </c>
      <c r="L84" s="34">
        <v>0</v>
      </c>
      <c r="M84" s="34">
        <v>0</v>
      </c>
      <c r="N84" s="34">
        <v>0</v>
      </c>
      <c r="O84" s="34">
        <v>0</v>
      </c>
      <c r="P84" s="34"/>
      <c r="Q84" s="34"/>
      <c r="R84" s="34"/>
      <c r="S84" s="34"/>
      <c r="T84" s="34"/>
      <c r="U84" s="34"/>
      <c r="V84" s="34"/>
    </row>
    <row r="85" spans="7:22" x14ac:dyDescent="0.4">
      <c r="G85" s="29"/>
      <c r="H85" s="29"/>
      <c r="I85" s="29"/>
      <c r="J85" s="29" t="str">
        <f xml:space="preserve"> _xll.EPMOlapMemberO("[KEY_FIGURES].[].[FINALCONSENSUSDEMAND]","","Consensus Demand","","000")</f>
        <v>Consensus Demand</v>
      </c>
      <c r="K85" s="34">
        <v>76.5</v>
      </c>
      <c r="L85" s="34">
        <v>99.251999999999995</v>
      </c>
      <c r="M85" s="34">
        <v>69.75</v>
      </c>
      <c r="N85" s="34">
        <v>95.5</v>
      </c>
      <c r="O85" s="34">
        <v>71.754000000000005</v>
      </c>
      <c r="P85" s="34">
        <v>30.5</v>
      </c>
      <c r="Q85" s="34">
        <v>48.25</v>
      </c>
      <c r="R85" s="34">
        <v>47.5</v>
      </c>
      <c r="S85" s="34">
        <v>77.5</v>
      </c>
      <c r="T85" s="34">
        <v>98.75</v>
      </c>
      <c r="U85" s="34">
        <v>52.5</v>
      </c>
      <c r="V85" s="34">
        <v>52.25</v>
      </c>
    </row>
    <row r="86" spans="7:22" x14ac:dyDescent="0.4">
      <c r="G86" s="29"/>
      <c r="H86" s="29"/>
      <c r="I86" s="29"/>
      <c r="J86" s="29" t="str">
        <f xml:space="preserve"> _xll.EPMOlapMemberO("[KEY_FIGURES].[].[ADJDELIVQTY]","","Delivered Qty Adjusted","","000")</f>
        <v>Delivered Qty Adjusted</v>
      </c>
      <c r="K86" s="62">
        <v>62</v>
      </c>
      <c r="L86" s="62">
        <v>28</v>
      </c>
      <c r="M86" s="62">
        <v>93</v>
      </c>
      <c r="N86" s="62">
        <v>84</v>
      </c>
      <c r="O86" s="62">
        <v>31</v>
      </c>
      <c r="P86" s="62">
        <v>45</v>
      </c>
      <c r="Q86" s="62">
        <v>59</v>
      </c>
      <c r="R86" s="62">
        <v>27</v>
      </c>
      <c r="S86" s="62">
        <v>51</v>
      </c>
      <c r="T86" s="62">
        <v>93</v>
      </c>
      <c r="U86" s="62">
        <v>54</v>
      </c>
      <c r="V86" s="62">
        <v>44</v>
      </c>
    </row>
    <row r="87" spans="7:22" x14ac:dyDescent="0.4">
      <c r="G87" s="29"/>
      <c r="H87" s="29"/>
      <c r="I87" s="29"/>
      <c r="J87" s="29" t="str">
        <f xml:space="preserve"> _xll.EPMOlapMemberO("[KEY_FIGURES].[].[ACTUALSREV]","","Actuals Revenue","","000")</f>
        <v>Actuals Revenue</v>
      </c>
      <c r="K87" s="62"/>
      <c r="L87" s="62"/>
      <c r="M87" s="62"/>
      <c r="N87" s="62"/>
      <c r="O87" s="62"/>
      <c r="P87" s="62"/>
      <c r="Q87" s="62"/>
      <c r="R87" s="62"/>
      <c r="S87" s="62"/>
      <c r="T87" s="62"/>
      <c r="U87" s="62"/>
      <c r="V87" s="62"/>
    </row>
    <row r="88" spans="7:22" x14ac:dyDescent="0.4">
      <c r="G88" s="29"/>
      <c r="H88" s="29"/>
      <c r="I88" s="29"/>
      <c r="J88" s="29" t="str">
        <f xml:space="preserve"> _xll.EPMOlapMemberO("[KEY_FIGURES].[].[CONFQTY]","","Confirmed Qty","","000")</f>
        <v>Confirmed Qty</v>
      </c>
      <c r="K88" s="34"/>
      <c r="L88" s="34"/>
      <c r="M88" s="34"/>
      <c r="N88" s="34"/>
      <c r="O88" s="34"/>
      <c r="P88" s="34"/>
      <c r="Q88" s="34"/>
      <c r="R88" s="34"/>
      <c r="S88" s="34"/>
      <c r="T88" s="34"/>
      <c r="U88" s="34"/>
      <c r="V88" s="34"/>
    </row>
    <row r="89" spans="7:22" x14ac:dyDescent="0.4">
      <c r="G89" s="29"/>
      <c r="H89" s="29" t="str">
        <f xml:space="preserve"> _xll.EPMOlapMemberO("[LOCID].[].[HD_DC_US_E]","","HD_DC_US_E","","000")</f>
        <v>HD_DC_US_E</v>
      </c>
      <c r="I89" s="29" t="str">
        <f xml:space="preserve"> _xll.EPMOlapMemberO("[ABCID].[].[C]","","C","","000")</f>
        <v>C</v>
      </c>
      <c r="J89" s="29" t="str">
        <f xml:space="preserve"> _xll.EPMOlapMemberO("[KEY_FIGURES].[].[CONSENSUSDEMAND]","","Consensus Demand without Promotion","","000")</f>
        <v>Consensus Demand without Promotion</v>
      </c>
      <c r="K89" s="62">
        <v>76.5</v>
      </c>
      <c r="L89" s="62">
        <v>99.248000000000005</v>
      </c>
      <c r="M89" s="62">
        <v>69.75</v>
      </c>
      <c r="N89" s="62">
        <v>95.5</v>
      </c>
      <c r="O89" s="62">
        <v>71.75</v>
      </c>
      <c r="P89" s="62">
        <v>30.5</v>
      </c>
      <c r="Q89" s="62">
        <v>48.25</v>
      </c>
      <c r="R89" s="62">
        <v>47.496000000000002</v>
      </c>
      <c r="S89" s="62">
        <v>77.5</v>
      </c>
      <c r="T89" s="62">
        <v>98.75</v>
      </c>
      <c r="U89" s="62">
        <v>52.5</v>
      </c>
      <c r="V89" s="62">
        <v>52.25</v>
      </c>
    </row>
    <row r="90" spans="7:22" x14ac:dyDescent="0.4">
      <c r="G90" s="29"/>
      <c r="H90" s="29"/>
      <c r="I90" s="29"/>
      <c r="J90" s="29" t="str">
        <f xml:space="preserve"> _xll.EPMOlapMemberO("[KEY_FIGURES].[].[DEMANDPLANNINGQTY]","","Demand Planning Qty","","000")</f>
        <v>Demand Planning Qty</v>
      </c>
      <c r="K90" s="34">
        <v>0</v>
      </c>
      <c r="L90" s="34">
        <v>0</v>
      </c>
      <c r="M90" s="34">
        <v>0</v>
      </c>
      <c r="N90" s="34">
        <v>0</v>
      </c>
      <c r="O90" s="34">
        <v>0</v>
      </c>
      <c r="P90" s="34"/>
      <c r="Q90" s="34"/>
      <c r="R90" s="34"/>
      <c r="S90" s="34"/>
      <c r="T90" s="34"/>
      <c r="U90" s="34"/>
      <c r="V90" s="34"/>
    </row>
    <row r="91" spans="7:22" x14ac:dyDescent="0.4">
      <c r="G91" s="29"/>
      <c r="H91" s="29"/>
      <c r="I91" s="29"/>
      <c r="J91" s="29" t="str">
        <f xml:space="preserve"> _xll.EPMOlapMemberO("[KEY_FIGURES].[].[FINALCONSENSUSDEMAND]","","Consensus Demand","","000")</f>
        <v>Consensus Demand</v>
      </c>
      <c r="K91" s="34">
        <v>76.5</v>
      </c>
      <c r="L91" s="34">
        <v>99.248000000000005</v>
      </c>
      <c r="M91" s="34">
        <v>69.75</v>
      </c>
      <c r="N91" s="34">
        <v>95.5</v>
      </c>
      <c r="O91" s="34">
        <v>71.75</v>
      </c>
      <c r="P91" s="34">
        <v>30.5</v>
      </c>
      <c r="Q91" s="34">
        <v>48.25</v>
      </c>
      <c r="R91" s="34">
        <v>47.496000000000002</v>
      </c>
      <c r="S91" s="34">
        <v>77.5</v>
      </c>
      <c r="T91" s="34">
        <v>98.75</v>
      </c>
      <c r="U91" s="34">
        <v>52.5</v>
      </c>
      <c r="V91" s="34">
        <v>52.25</v>
      </c>
    </row>
    <row r="92" spans="7:22" x14ac:dyDescent="0.4">
      <c r="G92" s="29"/>
      <c r="H92" s="29"/>
      <c r="I92" s="29"/>
      <c r="J92" s="29" t="str">
        <f xml:space="preserve"> _xll.EPMOlapMemberO("[KEY_FIGURES].[].[ADJDELIVQTY]","","Delivered Qty Adjusted","","000")</f>
        <v>Delivered Qty Adjusted</v>
      </c>
      <c r="K92" s="62">
        <v>93</v>
      </c>
      <c r="L92" s="62">
        <v>56</v>
      </c>
      <c r="M92" s="62">
        <v>93</v>
      </c>
      <c r="N92" s="62">
        <v>90</v>
      </c>
      <c r="O92" s="62">
        <v>62</v>
      </c>
      <c r="P92" s="62">
        <v>45</v>
      </c>
      <c r="Q92" s="62">
        <v>59</v>
      </c>
      <c r="R92" s="62">
        <v>27</v>
      </c>
      <c r="S92" s="62">
        <v>50</v>
      </c>
      <c r="T92" s="62">
        <v>93</v>
      </c>
      <c r="U92" s="62">
        <v>54</v>
      </c>
      <c r="V92" s="62">
        <v>44</v>
      </c>
    </row>
    <row r="93" spans="7:22" x14ac:dyDescent="0.4">
      <c r="G93" s="29"/>
      <c r="H93" s="29"/>
      <c r="I93" s="29"/>
      <c r="J93" s="29" t="str">
        <f xml:space="preserve"> _xll.EPMOlapMemberO("[KEY_FIGURES].[].[ACTUALSREV]","","Actuals Revenue","","000")</f>
        <v>Actuals Revenue</v>
      </c>
      <c r="K93" s="62"/>
      <c r="L93" s="62"/>
      <c r="M93" s="62"/>
      <c r="N93" s="62"/>
      <c r="O93" s="62"/>
      <c r="P93" s="62"/>
      <c r="Q93" s="62"/>
      <c r="R93" s="62"/>
      <c r="S93" s="62"/>
      <c r="T93" s="62"/>
      <c r="U93" s="62"/>
      <c r="V93" s="62"/>
    </row>
    <row r="94" spans="7:22" x14ac:dyDescent="0.4">
      <c r="G94" s="29"/>
      <c r="H94" s="29"/>
      <c r="I94" s="29"/>
      <c r="J94" s="29" t="str">
        <f xml:space="preserve"> _xll.EPMOlapMemberO("[KEY_FIGURES].[].[CONFQTY]","","Confirmed Qty","","000")</f>
        <v>Confirmed Qty</v>
      </c>
      <c r="K94" s="34"/>
      <c r="L94" s="34"/>
      <c r="M94" s="34"/>
      <c r="N94" s="34"/>
      <c r="O94" s="34"/>
      <c r="P94" s="34"/>
      <c r="Q94" s="34"/>
      <c r="R94" s="34"/>
      <c r="S94" s="34"/>
      <c r="T94" s="34"/>
      <c r="U94" s="34"/>
      <c r="V94" s="34"/>
    </row>
    <row r="95" spans="7:22" x14ac:dyDescent="0.4">
      <c r="G95" s="29"/>
      <c r="H95" s="29" t="str">
        <f xml:space="preserve"> _xll.EPMOlapMemberO("[LOCID].[].[HD_DC_US_W]","","HD_DC_US_W","","000")</f>
        <v>HD_DC_US_W</v>
      </c>
      <c r="I95" s="29" t="str">
        <f xml:space="preserve"> _xll.EPMOlapMemberO("[ABCID].[].[C]","","C","","000")</f>
        <v>C</v>
      </c>
      <c r="J95" s="29" t="str">
        <f xml:space="preserve"> _xll.EPMOlapMemberO("[KEY_FIGURES].[].[CONSENSUSDEMAND]","","Consensus Demand without Promotion","","000")</f>
        <v>Consensus Demand without Promotion</v>
      </c>
      <c r="K95" s="62">
        <v>76.5</v>
      </c>
      <c r="L95" s="62">
        <v>99.248000000000005</v>
      </c>
      <c r="M95" s="62">
        <v>69.75</v>
      </c>
      <c r="N95" s="62">
        <v>95.504999999999995</v>
      </c>
      <c r="O95" s="62">
        <v>71.748000000000005</v>
      </c>
      <c r="P95" s="62">
        <v>30.5</v>
      </c>
      <c r="Q95" s="62">
        <v>48.25</v>
      </c>
      <c r="R95" s="62">
        <v>47.502000000000002</v>
      </c>
      <c r="S95" s="62">
        <v>77.5</v>
      </c>
      <c r="T95" s="62">
        <v>98.76</v>
      </c>
      <c r="U95" s="62">
        <v>52.505000000000003</v>
      </c>
      <c r="V95" s="62">
        <v>52.25</v>
      </c>
    </row>
    <row r="96" spans="7:22" x14ac:dyDescent="0.4">
      <c r="G96" s="29"/>
      <c r="H96" s="29"/>
      <c r="I96" s="29"/>
      <c r="J96" s="29" t="str">
        <f xml:space="preserve"> _xll.EPMOlapMemberO("[KEY_FIGURES].[].[DEMANDPLANNINGQTY]","","Demand Planning Qty","","000")</f>
        <v>Demand Planning Qty</v>
      </c>
      <c r="K96" s="34">
        <v>0</v>
      </c>
      <c r="L96" s="34">
        <v>0</v>
      </c>
      <c r="M96" s="34">
        <v>0</v>
      </c>
      <c r="N96" s="34">
        <v>0</v>
      </c>
      <c r="O96" s="34">
        <v>0</v>
      </c>
      <c r="P96" s="34"/>
      <c r="Q96" s="34"/>
      <c r="R96" s="34"/>
      <c r="S96" s="34"/>
      <c r="T96" s="34"/>
      <c r="U96" s="34"/>
      <c r="V96" s="34"/>
    </row>
    <row r="97" spans="7:22" x14ac:dyDescent="0.4">
      <c r="G97" s="29"/>
      <c r="H97" s="29"/>
      <c r="I97" s="29"/>
      <c r="J97" s="29" t="str">
        <f xml:space="preserve"> _xll.EPMOlapMemberO("[KEY_FIGURES].[].[FINALCONSENSUSDEMAND]","","Consensus Demand","","000")</f>
        <v>Consensus Demand</v>
      </c>
      <c r="K97" s="34">
        <v>76.5</v>
      </c>
      <c r="L97" s="34">
        <v>99.248000000000005</v>
      </c>
      <c r="M97" s="34">
        <v>69.75</v>
      </c>
      <c r="N97" s="34">
        <v>95.504999999999995</v>
      </c>
      <c r="O97" s="34">
        <v>71.748000000000005</v>
      </c>
      <c r="P97" s="34">
        <v>30.5</v>
      </c>
      <c r="Q97" s="34">
        <v>48.25</v>
      </c>
      <c r="R97" s="34">
        <v>47.502000000000002</v>
      </c>
      <c r="S97" s="34">
        <v>77.5</v>
      </c>
      <c r="T97" s="34">
        <v>98.76</v>
      </c>
      <c r="U97" s="34">
        <v>52.505000000000003</v>
      </c>
      <c r="V97" s="34">
        <v>52.25</v>
      </c>
    </row>
    <row r="98" spans="7:22" x14ac:dyDescent="0.4">
      <c r="G98" s="29"/>
      <c r="H98" s="29"/>
      <c r="I98" s="29"/>
      <c r="J98" s="29" t="str">
        <f xml:space="preserve"> _xll.EPMOlapMemberO("[KEY_FIGURES].[].[ADJDELIVQTY]","","Delivered Qty Adjusted","","000")</f>
        <v>Delivered Qty Adjusted</v>
      </c>
      <c r="K98" s="62">
        <v>93</v>
      </c>
      <c r="L98" s="62">
        <v>56</v>
      </c>
      <c r="M98" s="62">
        <v>93</v>
      </c>
      <c r="N98" s="62">
        <v>112</v>
      </c>
      <c r="O98" s="62">
        <v>62</v>
      </c>
      <c r="P98" s="62">
        <v>45</v>
      </c>
      <c r="Q98" s="62">
        <v>58</v>
      </c>
      <c r="R98" s="62">
        <v>26</v>
      </c>
      <c r="S98" s="62">
        <v>50</v>
      </c>
      <c r="T98" s="62">
        <v>92</v>
      </c>
      <c r="U98" s="62">
        <v>54</v>
      </c>
      <c r="V98" s="62">
        <v>44</v>
      </c>
    </row>
    <row r="99" spans="7:22" x14ac:dyDescent="0.4">
      <c r="G99" s="29"/>
      <c r="H99" s="29"/>
      <c r="I99" s="29"/>
      <c r="J99" s="29" t="str">
        <f xml:space="preserve"> _xll.EPMOlapMemberO("[KEY_FIGURES].[].[ACTUALSREV]","","Actuals Revenue","","000")</f>
        <v>Actuals Revenue</v>
      </c>
      <c r="K99" s="62"/>
      <c r="L99" s="62"/>
      <c r="M99" s="62"/>
      <c r="N99" s="62"/>
      <c r="O99" s="62"/>
      <c r="P99" s="62"/>
      <c r="Q99" s="62"/>
      <c r="R99" s="62"/>
      <c r="S99" s="62"/>
      <c r="T99" s="62"/>
      <c r="U99" s="62"/>
      <c r="V99" s="62"/>
    </row>
    <row r="100" spans="7:22" x14ac:dyDescent="0.4">
      <c r="G100" s="29"/>
      <c r="H100" s="29"/>
      <c r="I100" s="29"/>
      <c r="J100" s="29" t="str">
        <f xml:space="preserve"> _xll.EPMOlapMemberO("[KEY_FIGURES].[].[CONFQTY]","","Confirmed Qty","","000")</f>
        <v>Confirmed Qty</v>
      </c>
      <c r="K100" s="34"/>
      <c r="L100" s="34"/>
      <c r="M100" s="34"/>
      <c r="N100" s="34"/>
      <c r="O100" s="34"/>
      <c r="P100" s="34"/>
      <c r="Q100" s="34"/>
      <c r="R100" s="34"/>
      <c r="S100" s="34"/>
      <c r="T100" s="34"/>
      <c r="U100" s="34"/>
      <c r="V100" s="34"/>
    </row>
    <row r="101" spans="7:22" x14ac:dyDescent="0.4">
      <c r="G101" s="29" t="str">
        <f xml:space="preserve"> _xll.EPMOlapMemberO("[PRDID].[].[HT_005]","","HT_005","","000")</f>
        <v>HT_005</v>
      </c>
      <c r="H101" s="29" t="str">
        <f xml:space="preserve"> _xll.EPMOlapMemberO("[LOCID].[].[HD_DC_CA_E]","","HD_DC_CA_E","","000")</f>
        <v>HD_DC_CA_E</v>
      </c>
      <c r="I101" s="29" t="str">
        <f xml:space="preserve"> _xll.EPMOlapMemberO("[ABCID].[].[C]","","C","","000")</f>
        <v>C</v>
      </c>
      <c r="J101" s="29" t="str">
        <f xml:space="preserve"> _xll.EPMOlapMemberO("[KEY_FIGURES].[].[CONSENSUSDEMAND]","","Consensus Demand without Promotion","","000")</f>
        <v>Consensus Demand without Promotion</v>
      </c>
      <c r="K101" s="62"/>
      <c r="L101" s="62"/>
      <c r="M101" s="62"/>
      <c r="N101" s="62"/>
      <c r="O101" s="62"/>
      <c r="P101" s="62"/>
      <c r="Q101" s="62"/>
      <c r="R101" s="62"/>
      <c r="S101" s="62"/>
      <c r="T101" s="62"/>
      <c r="U101" s="62"/>
      <c r="V101" s="62"/>
    </row>
    <row r="102" spans="7:22" x14ac:dyDescent="0.4">
      <c r="G102" s="29"/>
      <c r="H102" s="29"/>
      <c r="I102" s="29"/>
      <c r="J102" s="29" t="str">
        <f xml:space="preserve"> _xll.EPMOlapMemberO("[KEY_FIGURES].[].[DEMANDPLANNINGQTY]","","Demand Planning Qty","","000")</f>
        <v>Demand Planning Qty</v>
      </c>
      <c r="K102" s="34">
        <v>0</v>
      </c>
      <c r="L102" s="34">
        <v>0</v>
      </c>
      <c r="M102" s="34">
        <v>0</v>
      </c>
      <c r="N102" s="34">
        <v>0</v>
      </c>
      <c r="O102" s="34">
        <v>0</v>
      </c>
      <c r="P102" s="34"/>
      <c r="Q102" s="34"/>
      <c r="R102" s="34"/>
      <c r="S102" s="34"/>
      <c r="T102" s="34"/>
      <c r="U102" s="34"/>
      <c r="V102" s="34"/>
    </row>
    <row r="103" spans="7:22" x14ac:dyDescent="0.4">
      <c r="G103" s="29"/>
      <c r="H103" s="29"/>
      <c r="I103" s="29"/>
      <c r="J103" s="29" t="str">
        <f xml:space="preserve"> _xll.EPMOlapMemberO("[KEY_FIGURES].[].[FINALCONSENSUSDEMAND]","","Consensus Demand","","000")</f>
        <v>Consensus Demand</v>
      </c>
      <c r="K103" s="34">
        <v>0</v>
      </c>
      <c r="L103" s="34">
        <v>0</v>
      </c>
      <c r="M103" s="34">
        <v>0</v>
      </c>
      <c r="N103" s="34">
        <v>0</v>
      </c>
      <c r="O103" s="34">
        <v>0</v>
      </c>
      <c r="P103" s="34"/>
      <c r="Q103" s="34"/>
      <c r="R103" s="34"/>
      <c r="S103" s="34"/>
      <c r="T103" s="34"/>
      <c r="U103" s="34"/>
      <c r="V103" s="34"/>
    </row>
    <row r="104" spans="7:22" x14ac:dyDescent="0.4">
      <c r="G104" s="29"/>
      <c r="H104" s="29"/>
      <c r="I104" s="29"/>
      <c r="J104" s="29" t="str">
        <f xml:space="preserve"> _xll.EPMOlapMemberO("[KEY_FIGURES].[].[ADJDELIVQTY]","","Delivered Qty Adjusted","","000")</f>
        <v>Delivered Qty Adjusted</v>
      </c>
      <c r="K104" s="62"/>
      <c r="L104" s="62"/>
      <c r="M104" s="62"/>
      <c r="N104" s="62"/>
      <c r="O104" s="62"/>
      <c r="P104" s="62"/>
      <c r="Q104" s="62"/>
      <c r="R104" s="62"/>
      <c r="S104" s="62"/>
      <c r="T104" s="62"/>
      <c r="U104" s="62"/>
      <c r="V104" s="62"/>
    </row>
    <row r="105" spans="7:22" x14ac:dyDescent="0.4">
      <c r="G105" s="29"/>
      <c r="H105" s="29"/>
      <c r="I105" s="29"/>
      <c r="J105" s="29" t="str">
        <f xml:space="preserve"> _xll.EPMOlapMemberO("[KEY_FIGURES].[].[ACTUALSREV]","","Actuals Revenue","","000")</f>
        <v>Actuals Revenue</v>
      </c>
      <c r="K105" s="62"/>
      <c r="L105" s="62"/>
      <c r="M105" s="62"/>
      <c r="N105" s="62"/>
      <c r="O105" s="62"/>
      <c r="P105" s="62"/>
      <c r="Q105" s="62"/>
      <c r="R105" s="62"/>
      <c r="S105" s="62"/>
      <c r="T105" s="62"/>
      <c r="U105" s="62"/>
      <c r="V105" s="62"/>
    </row>
    <row r="106" spans="7:22" x14ac:dyDescent="0.4">
      <c r="G106" s="29"/>
      <c r="H106" s="29"/>
      <c r="I106" s="29"/>
      <c r="J106" s="29" t="str">
        <f xml:space="preserve"> _xll.EPMOlapMemberO("[KEY_FIGURES].[].[CONFQTY]","","Confirmed Qty","","000")</f>
        <v>Confirmed Qty</v>
      </c>
      <c r="K106" s="34"/>
      <c r="L106" s="34"/>
      <c r="M106" s="34"/>
      <c r="N106" s="34"/>
      <c r="O106" s="34"/>
      <c r="P106" s="34"/>
      <c r="Q106" s="34"/>
      <c r="R106" s="34"/>
      <c r="S106" s="34"/>
      <c r="T106" s="34"/>
      <c r="U106" s="34"/>
      <c r="V106" s="34"/>
    </row>
    <row r="107" spans="7:22" x14ac:dyDescent="0.4">
      <c r="G107" s="29"/>
      <c r="H107" s="29" t="str">
        <f xml:space="preserve"> _xll.EPMOlapMemberO("[LOCID].[].[HD_DC_FR]","","HD_DC_FR","","000")</f>
        <v>HD_DC_FR</v>
      </c>
      <c r="I107" s="29" t="str">
        <f xml:space="preserve"> _xll.EPMOlapMemberO("[ABCID].[].[C]","","C","","000")</f>
        <v>C</v>
      </c>
      <c r="J107" s="29" t="str">
        <f xml:space="preserve"> _xll.EPMOlapMemberO("[KEY_FIGURES].[].[CONSENSUSDEMAND]","","Consensus Demand without Promotion","","000")</f>
        <v>Consensus Demand without Promotion</v>
      </c>
      <c r="K107" s="62"/>
      <c r="L107" s="62"/>
      <c r="M107" s="62"/>
      <c r="N107" s="62"/>
      <c r="O107" s="62"/>
      <c r="P107" s="62"/>
      <c r="Q107" s="62"/>
      <c r="R107" s="62"/>
      <c r="S107" s="62"/>
      <c r="T107" s="62"/>
      <c r="U107" s="62"/>
      <c r="V107" s="62"/>
    </row>
    <row r="108" spans="7:22" x14ac:dyDescent="0.4">
      <c r="G108" s="29"/>
      <c r="H108" s="29"/>
      <c r="I108" s="29"/>
      <c r="J108" s="29" t="str">
        <f xml:space="preserve"> _xll.EPMOlapMemberO("[KEY_FIGURES].[].[DEMANDPLANNINGQTY]","","Demand Planning Qty","","000")</f>
        <v>Demand Planning Qty</v>
      </c>
      <c r="K108" s="34">
        <v>0</v>
      </c>
      <c r="L108" s="34">
        <v>0</v>
      </c>
      <c r="M108" s="34">
        <v>0</v>
      </c>
      <c r="N108" s="34">
        <v>0</v>
      </c>
      <c r="O108" s="34">
        <v>0</v>
      </c>
      <c r="P108" s="34"/>
      <c r="Q108" s="34"/>
      <c r="R108" s="34"/>
      <c r="S108" s="34"/>
      <c r="T108" s="34"/>
      <c r="U108" s="34"/>
      <c r="V108" s="34"/>
    </row>
    <row r="109" spans="7:22" x14ac:dyDescent="0.4">
      <c r="G109" s="29"/>
      <c r="H109" s="29"/>
      <c r="I109" s="29"/>
      <c r="J109" s="29" t="str">
        <f xml:space="preserve"> _xll.EPMOlapMemberO("[KEY_FIGURES].[].[FINALCONSENSUSDEMAND]","","Consensus Demand","","000")</f>
        <v>Consensus Demand</v>
      </c>
      <c r="K109" s="34">
        <v>0</v>
      </c>
      <c r="L109" s="34">
        <v>0</v>
      </c>
      <c r="M109" s="34">
        <v>0</v>
      </c>
      <c r="N109" s="34">
        <v>0</v>
      </c>
      <c r="O109" s="34">
        <v>0</v>
      </c>
      <c r="P109" s="34"/>
      <c r="Q109" s="34"/>
      <c r="R109" s="34"/>
      <c r="S109" s="34"/>
      <c r="T109" s="34"/>
      <c r="U109" s="34"/>
      <c r="V109" s="34"/>
    </row>
    <row r="110" spans="7:22" x14ac:dyDescent="0.4">
      <c r="G110" s="29"/>
      <c r="H110" s="29"/>
      <c r="I110" s="29"/>
      <c r="J110" s="29" t="str">
        <f xml:space="preserve"> _xll.EPMOlapMemberO("[KEY_FIGURES].[].[ADJDELIVQTY]","","Delivered Qty Adjusted","","000")</f>
        <v>Delivered Qty Adjusted</v>
      </c>
      <c r="K110" s="62"/>
      <c r="L110" s="62"/>
      <c r="M110" s="62"/>
      <c r="N110" s="62"/>
      <c r="O110" s="62"/>
      <c r="P110" s="62"/>
      <c r="Q110" s="62"/>
      <c r="R110" s="62"/>
      <c r="S110" s="62"/>
      <c r="T110" s="62"/>
      <c r="U110" s="62"/>
      <c r="V110" s="62"/>
    </row>
    <row r="111" spans="7:22" x14ac:dyDescent="0.4">
      <c r="G111" s="29"/>
      <c r="H111" s="29"/>
      <c r="I111" s="29"/>
      <c r="J111" s="29" t="str">
        <f xml:space="preserve"> _xll.EPMOlapMemberO("[KEY_FIGURES].[].[ACTUALSREV]","","Actuals Revenue","","000")</f>
        <v>Actuals Revenue</v>
      </c>
      <c r="K111" s="62"/>
      <c r="L111" s="62"/>
      <c r="M111" s="62"/>
      <c r="N111" s="62"/>
      <c r="O111" s="62"/>
      <c r="P111" s="62"/>
      <c r="Q111" s="62"/>
      <c r="R111" s="62"/>
      <c r="S111" s="62"/>
      <c r="T111" s="62"/>
      <c r="U111" s="62"/>
      <c r="V111" s="62"/>
    </row>
    <row r="112" spans="7:22" x14ac:dyDescent="0.4">
      <c r="G112" s="29"/>
      <c r="H112" s="29"/>
      <c r="I112" s="29"/>
      <c r="J112" s="29" t="str">
        <f xml:space="preserve"> _xll.EPMOlapMemberO("[KEY_FIGURES].[].[CONFQTY]","","Confirmed Qty","","000")</f>
        <v>Confirmed Qty</v>
      </c>
      <c r="K112" s="34"/>
      <c r="L112" s="34"/>
      <c r="M112" s="34"/>
      <c r="N112" s="34"/>
      <c r="O112" s="34"/>
      <c r="P112" s="34"/>
      <c r="Q112" s="34"/>
      <c r="R112" s="34"/>
      <c r="S112" s="34"/>
      <c r="T112" s="34"/>
      <c r="U112" s="34"/>
      <c r="V112" s="34"/>
    </row>
    <row r="113" spans="7:22" x14ac:dyDescent="0.4">
      <c r="G113" s="29"/>
      <c r="H113" s="29" t="str">
        <f xml:space="preserve"> _xll.EPMOlapMemberO("[LOCID].[].[HD_DC_US_E]","","HD_DC_US_E","","000")</f>
        <v>HD_DC_US_E</v>
      </c>
      <c r="I113" s="29" t="str">
        <f xml:space="preserve"> _xll.EPMOlapMemberO("[ABCID].[].[C]","","C","","000")</f>
        <v>C</v>
      </c>
      <c r="J113" s="29" t="str">
        <f xml:space="preserve"> _xll.EPMOlapMemberO("[KEY_FIGURES].[].[CONSENSUSDEMAND]","","Consensus Demand without Promotion","","000")</f>
        <v>Consensus Demand without Promotion</v>
      </c>
      <c r="K113" s="62"/>
      <c r="L113" s="62"/>
      <c r="M113" s="62"/>
      <c r="N113" s="62"/>
      <c r="O113" s="62"/>
      <c r="P113" s="62"/>
      <c r="Q113" s="62"/>
      <c r="R113" s="62"/>
      <c r="S113" s="62"/>
      <c r="T113" s="62"/>
      <c r="U113" s="62"/>
      <c r="V113" s="62"/>
    </row>
    <row r="114" spans="7:22" x14ac:dyDescent="0.4">
      <c r="G114" s="29"/>
      <c r="H114" s="29"/>
      <c r="I114" s="29"/>
      <c r="J114" s="29" t="str">
        <f xml:space="preserve"> _xll.EPMOlapMemberO("[KEY_FIGURES].[].[DEMANDPLANNINGQTY]","","Demand Planning Qty","","000")</f>
        <v>Demand Planning Qty</v>
      </c>
      <c r="K114" s="34">
        <v>0</v>
      </c>
      <c r="L114" s="34">
        <v>0</v>
      </c>
      <c r="M114" s="34">
        <v>0</v>
      </c>
      <c r="N114" s="34">
        <v>0</v>
      </c>
      <c r="O114" s="34">
        <v>0</v>
      </c>
      <c r="P114" s="34"/>
      <c r="Q114" s="34"/>
      <c r="R114" s="34"/>
      <c r="S114" s="34"/>
      <c r="T114" s="34"/>
      <c r="U114" s="34"/>
      <c r="V114" s="34"/>
    </row>
    <row r="115" spans="7:22" x14ac:dyDescent="0.4">
      <c r="G115" s="29"/>
      <c r="H115" s="29"/>
      <c r="I115" s="29"/>
      <c r="J115" s="29" t="str">
        <f xml:space="preserve"> _xll.EPMOlapMemberO("[KEY_FIGURES].[].[FINALCONSENSUSDEMAND]","","Consensus Demand","","000")</f>
        <v>Consensus Demand</v>
      </c>
      <c r="K115" s="34">
        <v>0</v>
      </c>
      <c r="L115" s="34">
        <v>0</v>
      </c>
      <c r="M115" s="34">
        <v>0</v>
      </c>
      <c r="N115" s="34">
        <v>0</v>
      </c>
      <c r="O115" s="34">
        <v>0</v>
      </c>
      <c r="P115" s="34"/>
      <c r="Q115" s="34"/>
      <c r="R115" s="34"/>
      <c r="S115" s="34"/>
      <c r="T115" s="34"/>
      <c r="U115" s="34"/>
      <c r="V115" s="34"/>
    </row>
    <row r="116" spans="7:22" x14ac:dyDescent="0.4">
      <c r="G116" s="29"/>
      <c r="H116" s="29"/>
      <c r="I116" s="29"/>
      <c r="J116" s="29" t="str">
        <f xml:space="preserve"> _xll.EPMOlapMemberO("[KEY_FIGURES].[].[ADJDELIVQTY]","","Delivered Qty Adjusted","","000")</f>
        <v>Delivered Qty Adjusted</v>
      </c>
      <c r="K116" s="62"/>
      <c r="L116" s="62"/>
      <c r="M116" s="62"/>
      <c r="N116" s="62"/>
      <c r="O116" s="62"/>
      <c r="P116" s="62"/>
      <c r="Q116" s="62"/>
      <c r="R116" s="62"/>
      <c r="S116" s="62"/>
      <c r="T116" s="62"/>
      <c r="U116" s="62"/>
      <c r="V116" s="62"/>
    </row>
    <row r="117" spans="7:22" x14ac:dyDescent="0.4">
      <c r="G117" s="29"/>
      <c r="H117" s="29"/>
      <c r="I117" s="29"/>
      <c r="J117" s="29" t="str">
        <f xml:space="preserve"> _xll.EPMOlapMemberO("[KEY_FIGURES].[].[ACTUALSREV]","","Actuals Revenue","","000")</f>
        <v>Actuals Revenue</v>
      </c>
      <c r="K117" s="62"/>
      <c r="L117" s="62"/>
      <c r="M117" s="62"/>
      <c r="N117" s="62"/>
      <c r="O117" s="62"/>
      <c r="P117" s="62"/>
      <c r="Q117" s="62"/>
      <c r="R117" s="62"/>
      <c r="S117" s="62"/>
      <c r="T117" s="62"/>
      <c r="U117" s="62"/>
      <c r="V117" s="62"/>
    </row>
    <row r="118" spans="7:22" x14ac:dyDescent="0.4">
      <c r="G118" s="29"/>
      <c r="H118" s="29"/>
      <c r="I118" s="29"/>
      <c r="J118" s="29" t="str">
        <f xml:space="preserve"> _xll.EPMOlapMemberO("[KEY_FIGURES].[].[CONFQTY]","","Confirmed Qty","","000")</f>
        <v>Confirmed Qty</v>
      </c>
      <c r="K118" s="34"/>
      <c r="L118" s="34"/>
      <c r="M118" s="34"/>
      <c r="N118" s="34"/>
      <c r="O118" s="34"/>
      <c r="P118" s="34"/>
      <c r="Q118" s="34"/>
      <c r="R118" s="34"/>
      <c r="S118" s="34"/>
      <c r="T118" s="34"/>
      <c r="U118" s="34"/>
      <c r="V118" s="34"/>
    </row>
    <row r="119" spans="7:22" x14ac:dyDescent="0.4">
      <c r="G119" s="29"/>
      <c r="H119" s="29" t="str">
        <f xml:space="preserve"> _xll.EPMOlapMemberO("[LOCID].[].[HD_DC_US_W]","","HD_DC_US_W","","000")</f>
        <v>HD_DC_US_W</v>
      </c>
      <c r="I119" s="29" t="str">
        <f xml:space="preserve"> _xll.EPMOlapMemberO("[ABCID].[].[C]","","C","","000")</f>
        <v>C</v>
      </c>
      <c r="J119" s="29" t="str">
        <f xml:space="preserve"> _xll.EPMOlapMemberO("[KEY_FIGURES].[].[CONSENSUSDEMAND]","","Consensus Demand without Promotion","","000")</f>
        <v>Consensus Demand without Promotion</v>
      </c>
      <c r="K119" s="62"/>
      <c r="L119" s="62"/>
      <c r="M119" s="62"/>
      <c r="N119" s="62"/>
      <c r="O119" s="62"/>
      <c r="P119" s="62"/>
      <c r="Q119" s="62"/>
      <c r="R119" s="62"/>
      <c r="S119" s="62"/>
      <c r="T119" s="62"/>
      <c r="U119" s="62"/>
      <c r="V119" s="62"/>
    </row>
    <row r="120" spans="7:22" x14ac:dyDescent="0.4">
      <c r="G120" s="29"/>
      <c r="H120" s="29"/>
      <c r="I120" s="29"/>
      <c r="J120" s="29" t="str">
        <f xml:space="preserve"> _xll.EPMOlapMemberO("[KEY_FIGURES].[].[DEMANDPLANNINGQTY]","","Demand Planning Qty","","000")</f>
        <v>Demand Planning Qty</v>
      </c>
      <c r="K120" s="34">
        <v>0</v>
      </c>
      <c r="L120" s="34">
        <v>0</v>
      </c>
      <c r="M120" s="34">
        <v>0</v>
      </c>
      <c r="N120" s="34">
        <v>0</v>
      </c>
      <c r="O120" s="34">
        <v>0</v>
      </c>
      <c r="P120" s="34"/>
      <c r="Q120" s="34"/>
      <c r="R120" s="34"/>
      <c r="S120" s="34"/>
      <c r="T120" s="34"/>
      <c r="U120" s="34"/>
      <c r="V120" s="34"/>
    </row>
    <row r="121" spans="7:22" x14ac:dyDescent="0.4">
      <c r="G121" s="29"/>
      <c r="H121" s="29"/>
      <c r="I121" s="29"/>
      <c r="J121" s="29" t="str">
        <f xml:space="preserve"> _xll.EPMOlapMemberO("[KEY_FIGURES].[].[FINALCONSENSUSDEMAND]","","Consensus Demand","","000")</f>
        <v>Consensus Demand</v>
      </c>
      <c r="K121" s="34">
        <v>0</v>
      </c>
      <c r="L121" s="34">
        <v>0</v>
      </c>
      <c r="M121" s="34">
        <v>0</v>
      </c>
      <c r="N121" s="34">
        <v>0</v>
      </c>
      <c r="O121" s="34">
        <v>0</v>
      </c>
      <c r="P121" s="34"/>
      <c r="Q121" s="34"/>
      <c r="R121" s="34"/>
      <c r="S121" s="34"/>
      <c r="T121" s="34"/>
      <c r="U121" s="34"/>
      <c r="V121" s="34"/>
    </row>
    <row r="122" spans="7:22" x14ac:dyDescent="0.4">
      <c r="G122" s="29"/>
      <c r="H122" s="29"/>
      <c r="I122" s="29"/>
      <c r="J122" s="29" t="str">
        <f xml:space="preserve"> _xll.EPMOlapMemberO("[KEY_FIGURES].[].[ADJDELIVQTY]","","Delivered Qty Adjusted","","000")</f>
        <v>Delivered Qty Adjusted</v>
      </c>
      <c r="K122" s="62"/>
      <c r="L122" s="62"/>
      <c r="M122" s="62"/>
      <c r="N122" s="62"/>
      <c r="O122" s="62"/>
      <c r="P122" s="62"/>
      <c r="Q122" s="62"/>
      <c r="R122" s="62"/>
      <c r="S122" s="62"/>
      <c r="T122" s="62"/>
      <c r="U122" s="62"/>
      <c r="V122" s="62"/>
    </row>
    <row r="123" spans="7:22" x14ac:dyDescent="0.4">
      <c r="G123" s="29"/>
      <c r="H123" s="29"/>
      <c r="I123" s="29"/>
      <c r="J123" s="29" t="str">
        <f xml:space="preserve"> _xll.EPMOlapMemberO("[KEY_FIGURES].[].[ACTUALSREV]","","Actuals Revenue","","000")</f>
        <v>Actuals Revenue</v>
      </c>
      <c r="K123" s="62"/>
      <c r="L123" s="62"/>
      <c r="M123" s="62"/>
      <c r="N123" s="62"/>
      <c r="O123" s="62"/>
      <c r="P123" s="62"/>
      <c r="Q123" s="62"/>
      <c r="R123" s="62"/>
      <c r="S123" s="62"/>
      <c r="T123" s="62"/>
      <c r="U123" s="62"/>
      <c r="V123" s="62"/>
    </row>
    <row r="124" spans="7:22" x14ac:dyDescent="0.4">
      <c r="G124" s="29"/>
      <c r="H124" s="29"/>
      <c r="I124" s="29"/>
      <c r="J124" s="29" t="str">
        <f xml:space="preserve"> _xll.EPMOlapMemberO("[KEY_FIGURES].[].[CONFQTY]","","Confirmed Qty","","000")</f>
        <v>Confirmed Qty</v>
      </c>
      <c r="K124" s="34"/>
      <c r="L124" s="34"/>
      <c r="M124" s="34"/>
      <c r="N124" s="34"/>
      <c r="O124" s="34"/>
      <c r="P124" s="34"/>
      <c r="Q124" s="34"/>
      <c r="R124" s="34"/>
      <c r="S124" s="34"/>
      <c r="T124" s="34"/>
      <c r="U124" s="34"/>
      <c r="V124" s="34"/>
    </row>
  </sheetData>
  <sheetProtection autoFilter="0"/>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47" r:id="rId8" name="AnalyzerDynReportDC000tb1">
          <controlPr defaultSize="0" autoLine="0" r:id="rId9">
            <anchor moveWithCells="1">
              <from>
                <xdr:col>10</xdr:col>
                <xdr:colOff>0</xdr:colOff>
                <xdr:row>4</xdr:row>
                <xdr:rowOff>0</xdr:rowOff>
              </from>
              <to>
                <xdr:col>11</xdr:col>
                <xdr:colOff>310243</xdr:colOff>
                <xdr:row>4</xdr:row>
                <xdr:rowOff>5443</xdr:rowOff>
              </to>
            </anchor>
          </controlPr>
        </control>
      </mc:Choice>
      <mc:Fallback>
        <control shapeId="3147" r:id="rId8" name="AnalyzerDynReportDC000tb1"/>
      </mc:Fallback>
    </mc:AlternateContent>
    <mc:AlternateContent xmlns:mc="http://schemas.openxmlformats.org/markup-compatibility/2006">
      <mc:Choice Requires="x14">
        <control shapeId="3146" r:id="rId10" name="AnalyzerDynReportHC000tb1">
          <controlPr defaultSize="0" autoLine="0" r:id="rId11">
            <anchor moveWithCells="1">
              <from>
                <xdr:col>10</xdr:col>
                <xdr:colOff>0</xdr:colOff>
                <xdr:row>4</xdr:row>
                <xdr:rowOff>0</xdr:rowOff>
              </from>
              <to>
                <xdr:col>11</xdr:col>
                <xdr:colOff>310243</xdr:colOff>
                <xdr:row>4</xdr:row>
                <xdr:rowOff>5443</xdr:rowOff>
              </to>
            </anchor>
          </controlPr>
        </control>
      </mc:Choice>
      <mc:Fallback>
        <control shapeId="3146" r:id="rId10" name="AnalyzerDynReportHC000tb1"/>
      </mc:Fallback>
    </mc:AlternateContent>
    <mc:AlternateContent xmlns:mc="http://schemas.openxmlformats.org/markup-compatibility/2006">
      <mc:Choice Requires="x14">
        <control shapeId="3142" r:id="rId12" name="ReportSubmitControl_1DCtb1">
          <controlPr defaultSize="0" autoLine="0" r:id="rId13">
            <anchor moveWithCells="1">
              <from>
                <xdr:col>10</xdr:col>
                <xdr:colOff>0</xdr:colOff>
                <xdr:row>4</xdr:row>
                <xdr:rowOff>0</xdr:rowOff>
              </from>
              <to>
                <xdr:col>11</xdr:col>
                <xdr:colOff>310243</xdr:colOff>
                <xdr:row>4</xdr:row>
                <xdr:rowOff>5443</xdr:rowOff>
              </to>
            </anchor>
          </controlPr>
        </control>
      </mc:Choice>
      <mc:Fallback>
        <control shapeId="3142" r:id="rId12" name="ReportSubmitControl_1DCtb1"/>
      </mc:Fallback>
    </mc:AlternateContent>
    <mc:AlternateContent xmlns:mc="http://schemas.openxmlformats.org/markup-compatibility/2006">
      <mc:Choice Requires="x14">
        <control shapeId="3141" r:id="rId14" name="ReportSubmitControl_1HCtb1">
          <controlPr defaultSize="0" autoLine="0" r:id="rId15">
            <anchor moveWithCells="1">
              <from>
                <xdr:col>10</xdr:col>
                <xdr:colOff>0</xdr:colOff>
                <xdr:row>4</xdr:row>
                <xdr:rowOff>0</xdr:rowOff>
              </from>
              <to>
                <xdr:col>11</xdr:col>
                <xdr:colOff>310243</xdr:colOff>
                <xdr:row>4</xdr:row>
                <xdr:rowOff>5443</xdr:rowOff>
              </to>
            </anchor>
          </controlPr>
        </control>
      </mc:Choice>
      <mc:Fallback>
        <control shapeId="3141" r:id="rId14" name="ReportSubmitControl_1HCtb1"/>
      </mc:Fallback>
    </mc:AlternateContent>
    <mc:AlternateContent xmlns:mc="http://schemas.openxmlformats.org/markup-compatibility/2006">
      <mc:Choice Requires="x14">
        <control shapeId="3140" r:id="rId16" name="ReportSubmitManagerControlDCtb1">
          <controlPr defaultSize="0" autoLine="0" r:id="rId17">
            <anchor moveWithCells="1">
              <from>
                <xdr:col>10</xdr:col>
                <xdr:colOff>0</xdr:colOff>
                <xdr:row>4</xdr:row>
                <xdr:rowOff>0</xdr:rowOff>
              </from>
              <to>
                <xdr:col>11</xdr:col>
                <xdr:colOff>310243</xdr:colOff>
                <xdr:row>4</xdr:row>
                <xdr:rowOff>5443</xdr:rowOff>
              </to>
            </anchor>
          </controlPr>
        </control>
      </mc:Choice>
      <mc:Fallback>
        <control shapeId="3140" r:id="rId16" name="ReportSubmitManagerControlDCtb1"/>
      </mc:Fallback>
    </mc:AlternateContent>
    <mc:AlternateContent xmlns:mc="http://schemas.openxmlformats.org/markup-compatibility/2006">
      <mc:Choice Requires="x14">
        <control shapeId="3139" r:id="rId18" name="ReportSubmitManagerControlHCtb1">
          <controlPr defaultSize="0" autoLine="0" r:id="rId19">
            <anchor moveWithCells="1">
              <from>
                <xdr:col>10</xdr:col>
                <xdr:colOff>0</xdr:colOff>
                <xdr:row>4</xdr:row>
                <xdr:rowOff>0</xdr:rowOff>
              </from>
              <to>
                <xdr:col>11</xdr:col>
                <xdr:colOff>310243</xdr:colOff>
                <xdr:row>4</xdr:row>
                <xdr:rowOff>5443</xdr:rowOff>
              </to>
            </anchor>
          </controlPr>
        </control>
      </mc:Choice>
      <mc:Fallback>
        <control shapeId="3139" r:id="rId18" name="ReportSubmitManagerControlHCtb1"/>
      </mc:Fallback>
    </mc:AlternateContent>
    <mc:AlternateContent xmlns:mc="http://schemas.openxmlformats.org/markup-compatibility/2006">
      <mc:Choice Requires="x14">
        <control shapeId="3138" r:id="rId20" name="MultipleReportManagerInfoDCtb1">
          <controlPr defaultSize="0" autoLine="0" r:id="rId21">
            <anchor moveWithCells="1">
              <from>
                <xdr:col>10</xdr:col>
                <xdr:colOff>0</xdr:colOff>
                <xdr:row>4</xdr:row>
                <xdr:rowOff>0</xdr:rowOff>
              </from>
              <to>
                <xdr:col>11</xdr:col>
                <xdr:colOff>310243</xdr:colOff>
                <xdr:row>4</xdr:row>
                <xdr:rowOff>5443</xdr:rowOff>
              </to>
            </anchor>
          </controlPr>
        </control>
      </mc:Choice>
      <mc:Fallback>
        <control shapeId="3138" r:id="rId20" name="MultipleReportManagerInfoDCtb1"/>
      </mc:Fallback>
    </mc:AlternateContent>
    <mc:AlternateContent xmlns:mc="http://schemas.openxmlformats.org/markup-compatibility/2006">
      <mc:Choice Requires="x14">
        <control shapeId="3137" r:id="rId22" name="MultipleReportManagerInfoHCtb1">
          <controlPr defaultSize="0" autoLine="0" r:id="rId23">
            <anchor moveWithCells="1">
              <from>
                <xdr:col>10</xdr:col>
                <xdr:colOff>0</xdr:colOff>
                <xdr:row>4</xdr:row>
                <xdr:rowOff>0</xdr:rowOff>
              </from>
              <to>
                <xdr:col>11</xdr:col>
                <xdr:colOff>310243</xdr:colOff>
                <xdr:row>4</xdr:row>
                <xdr:rowOff>5443</xdr:rowOff>
              </to>
            </anchor>
          </controlPr>
        </control>
      </mc:Choice>
      <mc:Fallback>
        <control shapeId="3137" r:id="rId22" name="MultipleReportManagerInfoHCtb1"/>
      </mc:Fallback>
    </mc:AlternateContent>
    <mc:AlternateContent xmlns:mc="http://schemas.openxmlformats.org/markup-compatibility/2006">
      <mc:Choice Requires="x14">
        <control shapeId="3136" r:id="rId24" name="ConnectionDescriptorsInfoDCtb1">
          <controlPr defaultSize="0" autoLine="0" r:id="rId25">
            <anchor moveWithCells="1">
              <from>
                <xdr:col>10</xdr:col>
                <xdr:colOff>0</xdr:colOff>
                <xdr:row>4</xdr:row>
                <xdr:rowOff>0</xdr:rowOff>
              </from>
              <to>
                <xdr:col>11</xdr:col>
                <xdr:colOff>310243</xdr:colOff>
                <xdr:row>4</xdr:row>
                <xdr:rowOff>5443</xdr:rowOff>
              </to>
            </anchor>
          </controlPr>
        </control>
      </mc:Choice>
      <mc:Fallback>
        <control shapeId="3136" r:id="rId24" name="ConnectionDescriptorsInfoDCtb1"/>
      </mc:Fallback>
    </mc:AlternateContent>
    <mc:AlternateContent xmlns:mc="http://schemas.openxmlformats.org/markup-compatibility/2006">
      <mc:Choice Requires="x14">
        <control shapeId="3135" r:id="rId26" name="ConnectionDescriptorsInfoHCtb1">
          <controlPr defaultSize="0" autoLine="0" r:id="rId27">
            <anchor moveWithCells="1">
              <from>
                <xdr:col>10</xdr:col>
                <xdr:colOff>0</xdr:colOff>
                <xdr:row>4</xdr:row>
                <xdr:rowOff>0</xdr:rowOff>
              </from>
              <to>
                <xdr:col>11</xdr:col>
                <xdr:colOff>310243</xdr:colOff>
                <xdr:row>4</xdr:row>
                <xdr:rowOff>5443</xdr:rowOff>
              </to>
            </anchor>
          </controlPr>
        </control>
      </mc:Choice>
      <mc:Fallback>
        <control shapeId="3135" r:id="rId26" name="ConnectionDescriptorsInfoHCtb1"/>
      </mc:Fallback>
    </mc:AlternateContent>
    <mc:AlternateContent xmlns:mc="http://schemas.openxmlformats.org/markup-compatibility/2006">
      <mc:Choice Requires="x14">
        <control shapeId="3093" r:id="rId28" name="FPMExcelClientSheetOptionstb1">
          <controlPr defaultSize="0" autoLine="0" r:id="rId29">
            <anchor moveWithCells="1" sizeWithCells="1">
              <from>
                <xdr:col>0</xdr:col>
                <xdr:colOff>0</xdr:colOff>
                <xdr:row>0</xdr:row>
                <xdr:rowOff>0</xdr:rowOff>
              </from>
              <to>
                <xdr:col>0</xdr:col>
                <xdr:colOff>0</xdr:colOff>
                <xdr:row>0</xdr:row>
                <xdr:rowOff>0</xdr:rowOff>
              </to>
            </anchor>
          </controlPr>
        </control>
      </mc:Choice>
      <mc:Fallback>
        <control shapeId="3093" r:id="rId28" name="FPMExcelClientSheetOptionstb1"/>
      </mc:Fallback>
    </mc:AlternateContent>
    <mc:AlternateContent xmlns:mc="http://schemas.openxmlformats.org/markup-compatibility/2006">
      <mc:Choice Requires="x14">
        <control shapeId="3115" r:id="rId30" name="TextBox1">
          <controlPr defaultSize="0" disabled="1" autoLine="0" r:id="rId31">
            <anchor>
              <from>
                <xdr:col>0</xdr:col>
                <xdr:colOff>38100</xdr:colOff>
                <xdr:row>2</xdr:row>
                <xdr:rowOff>152400</xdr:rowOff>
              </from>
              <to>
                <xdr:col>0</xdr:col>
                <xdr:colOff>43543</xdr:colOff>
                <xdr:row>2</xdr:row>
                <xdr:rowOff>157843</xdr:rowOff>
              </to>
            </anchor>
          </controlPr>
        </control>
      </mc:Choice>
      <mc:Fallback>
        <control shapeId="3115" r:id="rId30" name="TextBox1"/>
      </mc:Fallback>
    </mc:AlternateContent>
    <mc:AlternateContent xmlns:mc="http://schemas.openxmlformats.org/markup-compatibility/2006">
      <mc:Choice Requires="x14">
        <control shapeId="3119" r:id="rId32" name="TextBox2">
          <controlPr defaultSize="0" disabled="1" autoLine="0" r:id="rId33">
            <anchor>
              <from>
                <xdr:col>7</xdr:col>
                <xdr:colOff>887186</xdr:colOff>
                <xdr:row>2</xdr:row>
                <xdr:rowOff>152400</xdr:rowOff>
              </from>
              <to>
                <xdr:col>8</xdr:col>
                <xdr:colOff>0</xdr:colOff>
                <xdr:row>2</xdr:row>
                <xdr:rowOff>157843</xdr:rowOff>
              </to>
            </anchor>
          </controlPr>
        </control>
      </mc:Choice>
      <mc:Fallback>
        <control shapeId="3119" r:id="rId32" name="TextBox2"/>
      </mc:Fallback>
    </mc:AlternateContent>
    <mc:AlternateContent xmlns:mc="http://schemas.openxmlformats.org/markup-compatibility/2006">
      <mc:Choice Requires="x14">
        <control shapeId="3130" r:id="rId34" name="AnalyzerDynReport000tb1">
          <controlPr defaultSize="0" autoLine="0" autoPict="0" r:id="rId35">
            <anchor moveWithCells="1" sizeWithCells="1">
              <from>
                <xdr:col>0</xdr:col>
                <xdr:colOff>0</xdr:colOff>
                <xdr:row>0</xdr:row>
                <xdr:rowOff>0</xdr:rowOff>
              </from>
              <to>
                <xdr:col>5</xdr:col>
                <xdr:colOff>97971</xdr:colOff>
                <xdr:row>0</xdr:row>
                <xdr:rowOff>0</xdr:rowOff>
              </to>
            </anchor>
          </controlPr>
        </control>
      </mc:Choice>
      <mc:Fallback>
        <control shapeId="3130" r:id="rId34" name="AnalyzerDynReport000tb1"/>
      </mc:Fallback>
    </mc:AlternateContent>
    <mc:AlternateContent xmlns:mc="http://schemas.openxmlformats.org/markup-compatibility/2006">
      <mc:Choice Requires="x14">
        <control shapeId="3131" r:id="rId36" name="ConnectionDescriptorsInfotb1">
          <controlPr defaultSize="0" autoLine="0" autoPict="0" r:id="rId37">
            <anchor moveWithCells="1" sizeWithCells="1">
              <from>
                <xdr:col>0</xdr:col>
                <xdr:colOff>0</xdr:colOff>
                <xdr:row>0</xdr:row>
                <xdr:rowOff>0</xdr:rowOff>
              </from>
              <to>
                <xdr:col>5</xdr:col>
                <xdr:colOff>97971</xdr:colOff>
                <xdr:row>0</xdr:row>
                <xdr:rowOff>0</xdr:rowOff>
              </to>
            </anchor>
          </controlPr>
        </control>
      </mc:Choice>
      <mc:Fallback>
        <control shapeId="3131" r:id="rId36" name="ConnectionDescriptorsInfotb1"/>
      </mc:Fallback>
    </mc:AlternateContent>
    <mc:AlternateContent xmlns:mc="http://schemas.openxmlformats.org/markup-compatibility/2006">
      <mc:Choice Requires="x14">
        <control shapeId="3132" r:id="rId38" name="MultipleReportManagerInfotb1">
          <controlPr defaultSize="0" autoLine="0" autoPict="0" r:id="rId39">
            <anchor moveWithCells="1" sizeWithCells="1">
              <from>
                <xdr:col>0</xdr:col>
                <xdr:colOff>0</xdr:colOff>
                <xdr:row>0</xdr:row>
                <xdr:rowOff>0</xdr:rowOff>
              </from>
              <to>
                <xdr:col>5</xdr:col>
                <xdr:colOff>97971</xdr:colOff>
                <xdr:row>0</xdr:row>
                <xdr:rowOff>0</xdr:rowOff>
              </to>
            </anchor>
          </controlPr>
        </control>
      </mc:Choice>
      <mc:Fallback>
        <control shapeId="3132" r:id="rId38" name="MultipleReportManagerInfotb1"/>
      </mc:Fallback>
    </mc:AlternateContent>
    <mc:AlternateContent xmlns:mc="http://schemas.openxmlformats.org/markup-compatibility/2006">
      <mc:Choice Requires="x14">
        <control shapeId="3133" r:id="rId40" name="ReportSubmitManagerControltb1">
          <controlPr defaultSize="0" autoLine="0" autoPict="0" r:id="rId41">
            <anchor moveWithCells="1" sizeWithCells="1">
              <from>
                <xdr:col>0</xdr:col>
                <xdr:colOff>0</xdr:colOff>
                <xdr:row>0</xdr:row>
                <xdr:rowOff>0</xdr:rowOff>
              </from>
              <to>
                <xdr:col>5</xdr:col>
                <xdr:colOff>97971</xdr:colOff>
                <xdr:row>0</xdr:row>
                <xdr:rowOff>0</xdr:rowOff>
              </to>
            </anchor>
          </controlPr>
        </control>
      </mc:Choice>
      <mc:Fallback>
        <control shapeId="3133" r:id="rId40" name="ReportSubmitManagerControltb1"/>
      </mc:Fallback>
    </mc:AlternateContent>
    <mc:AlternateContent xmlns:mc="http://schemas.openxmlformats.org/markup-compatibility/2006">
      <mc:Choice Requires="x14">
        <control shapeId="3134" r:id="rId42" name="ReportSubmitControl_1tb1">
          <controlPr defaultSize="0" autoLine="0" autoPict="0" r:id="rId43">
            <anchor moveWithCells="1" sizeWithCells="1">
              <from>
                <xdr:col>0</xdr:col>
                <xdr:colOff>0</xdr:colOff>
                <xdr:row>0</xdr:row>
                <xdr:rowOff>0</xdr:rowOff>
              </from>
              <to>
                <xdr:col>5</xdr:col>
                <xdr:colOff>97971</xdr:colOff>
                <xdr:row>0</xdr:row>
                <xdr:rowOff>0</xdr:rowOff>
              </to>
            </anchor>
          </controlPr>
        </control>
      </mc:Choice>
      <mc:Fallback>
        <control shapeId="3134" r:id="rId42" name="ReportSubmitControl_1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Change ABC Code</favorite>
  <bookSettings xmlns="">
    <scenarios>
      <value>__BASELINE</value>
    </scenarios>
    <simulations>
      <value>__PLAN</value>
    </simulations>
    <planningUnits>
      <planningVersion>__BASELINE</planningVersion>
      <planningScenario>__PLAN</planningScenario>
      <timeRelativeFromDays>0</timeRelativeFromDays>
      <timeRelativeToDays>0</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value>ABCID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ABCID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
          <sortOrder>
            <sortOrderItem>__AZ</sortOrderItem>
          </sortOrder>
          <sortByDimension/>
          <dimensionId>ABCID</dimensionId>
          <description>Ascending</description>
          <name>A-Z</name>
          <id>-11</id>
        </attributeSorting>
      </attributeSortings>
    </settings>
    <filter>
      <name/>
      <id>0</id>
      <conditions>
        <condition>
          <dimension>PRDID</dimension>
          <operator>EQ</operator>
          <values>
            <value>HT_001</value>
            <value>HT_002</value>
            <value>HT_003</value>
            <value>HT_004</value>
            <value>HT_005</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BEAAAARAAAABwMAAAAAAQAAACAAAAAENklCUFhMQ2xpZW50LkJQQ1Byb3h5LklCUC5Qcm94eUNsYXNzZXMuVHVubmVsRml4aW5nSW5mbwIAAAAJBAAAAAkFAAAACQYAAAAJBwAAAAkIAAAACQkAAAAJCgAAAAkLAAAACQwAAAAJDQAAAAkOAAAACQ8AAAAJEAAAAAkRAAAACRIAAAAJEwAAAAkUAAAADQ8FBAAAADZJQlBYTENsaWVudC5CUENQcm94eS5JQlAuUHJveHlDbGFzc2VzLlR1bm5lbEZpeGluZ0luZm8DAAAACEVQTVR1cGxlEk9sZEZpeGluZ0luZGljYXRvchZDdXJyZW50Rml4aW5nSW5kaWNhdG9yAwEBf1N5c3RlbS5Db2xsZWN0aW9ucy5HZW5lcmljLkxpc3RgMVtbU3lzdGVtLlN0cmluZywgbXNjb3JsaWIsIFZlcnNpb249NC4wLjAuMCwgQ3VsdHVyZT1uZXV0cmFsLCBQdWJsaWNLZXlUb2tlbj1iNzdhNWM1NjE5MzRlMDg5XV0CAAAACRUAAAAGFgAAAAExCRYAAAABBQAAAAQAAAAJFwAAAAYYAAAAATIJGAAAAAEGAAAABAAAAAkZAAAABhoAAAABMgkaAAAAAQcAAAAEAAAACRsAAAAGHAAAAAEyCRwAAAABCAAAAAQAAAAJHQAAAAYeAAAAATIJHgAAAAEJAAAABAAAAAkfAAAABiAAAAABMQkgAAAAAQoAAAAEAAAACSEAAAAGIgAAAAExCSIAAAABCwAAAAQAAAAJIwAAAAYkAAAAATEJJAAAAAEMAAAABAAAAAklAAAABiYAAAABMgkmAAAAAQ0AAAAEAAAACScAAAAGKAAAAAEyCSgAAAABDgAAAAQAAAAJKQAAAAYqAAAAATIJKgAAAAEPAAAABAAAAAkrAAAABiwAAAABMgksAAAAARAAAAAEAAAACS0AAAAGLgAAAAEyCS4AAAABEQAAAAQAAAAJLwAAAAYwAAAAATIJMAAAAAESAAAABAAAAAkxAAAABjIAAAABMgkyAAAAARMAAAAEAAAACTMAAAAGNAAAAAEyCTQAAAABFAAAAAQAAAAJNQAAAAY2AAAAATIJNgAAAAQVAAAAf1N5c3RlbS5Db2xsZWN0aW9ucy5HZW5lcmljLkxpc3RgMVtbU3lzdGVtLlN0cmluZywgbXNjb3JsaWIsIFZlcnNpb249NC4wLjAuMCwgQ3VsdHVyZT1uZXV0cmFsLCBQdWJsaWNLZXlUb2tlbj1iNzdhNWM1NjE5MzRlMDg5XV0DAAAABl9pdGVtcwVfc2l6ZQhfdmVyc2lvbgYAAAgICTcAAAAFAAAABQAAAAEXAAAAFQAAAAk4AAAABQAAAAUAAAABGQAAABUAAAAJOQAAAAUAAAAFAAAAARsAAAAVAAAACToAAAAFAAAABQAAAAEdAAAAFQAAAAk7AAAABQAAAAUAAAABHwAAABUAAAAJPAAAAAUAAAAFAAAAASEAAAAVAAAACT0AAAAFAAAABQAAAAEjAAAAFQAAAAk+AAAABQAAAAUAAAABJQAAABUAAAAJPwAAAAUAAAAFAAAAAScAAAAVAAAACUAAAAAFAAAABQAAAAEpAAAAFQAAAAlBAAAABQAAAAUAAAABKwAAABUAAAAJQgAAAAUAAAAFAAAAAS0AAAAVAAAACUMAAAAFAAAABQAAAAEvAAAAFQAAAAlEAAAABQAAAAUAAAABMQAAABUAAAAJRQAAAAUAAAAFAAAAATMAAAAVAAAACUYAAAAFAAAABQAAAAE1AAAAFQAAAAlHAAAABQAAAAUAAAARNwAAAAgAAAAGSAAAABZbUEVSSU9ESUQzXS5bXS5bNzA2MTRdBkkAAAATW1BSRElEXS5bXS5bSFRfMDAxXQZKAAAAF1tMT0NJRF0uW10uW0hEX0RDX0NBX0VdBksAAAAOW0FCQ0lEXS5bXS5bQV0GTAAAACJbS0VZX0ZJR1VSRVNdLltdLltDT05TRU5TVVNERU1BTkRdDQMROAAAAAgAAAAGTQAAABZbUEVSSU9ESUQzXS5bXS5bNzA2MTddBk4AAAATW1BSRElEXS5bXS5bSFRfMDAxXQZPAAAAF1tMT0NJRF0uW10uW0hEX0RDX0NBX0VdBlAAAAAOW0FCQ0lEXS5bXS5bQV0GUQAAACJbS0VZX0ZJR1VSRVNdLltdLltDT05TRU5TVVNERU1BTkRdDQMROQAAAAgAAAAGUgAAABZbUEVSSU9ESUQzXS5bXS5bNzA2MThdBlMAAAATW1BSRElEXS5bXS5bSFRfMDAxXQZUAAAAF1tMT0NJRF0uW10uW0hEX0RDX0NBX0VdBlUAAAAOW0FCQ0lEXS5bXS5bQV0GVgAAACJbS0VZX0ZJR1VSRVNdLltdLltDT05TRU5TVVNERU1BTkRdDQMROgAAAAgAAAAGVwAAABZbUEVSSU9ESUQzXS5bXS5bNzA2MTldBlgAAAATW1BSRElEXS5bXS5bSFRfMDAxXQZZAAAAF1tMT0NJRF0uW10uW0hEX0RDX0NBX0VdBloAAAAOW0FCQ0lEXS5bXS5bQV0GWwAAACJbS0VZX0ZJR1VSRVNdLltdLltDT05TRU5TVVNERU1BTkRdDQMROwAAAAgAAAAGXAAAABZbUEVSSU9ESUQzXS5bXS5bNzA2MjBdBl0AAAATW1BSRElEXS5bXS5bSFRfMDAxXQZeAAAAF1tMT0NJRF0uW10uW0hEX0RDX0NBX0VdBl8AAAAOW0FCQ0lEXS5bXS5bQV0GYAAAACJbS0VZX0ZJR1VSRVNdLltdLltDT05TRU5TVVNERU1BTkRdDQMRPAAAAAgAAAAGYQAAABZbUEVSSU9ESUQzXS5bXS5bNzA2MjFdBmIAAAATW1BSRElEXS5bXS5bSFRfMDAxXQZjAAAAF1tMT0NJRF0uW10uW0hEX0RDX0NBX0VdBmQAAAAOW0FCQ0lEXS5bXS5bQV0GZQAAACJbS0VZX0ZJR1VSRVNdLltdLltDT05TRU5TVVNERU1BTkRdDQMRPQAAAAgAAAAGZgAAABZbUEVSSU9ESUQzXS5bXS5bNzA2MjJdBmcAAAATW1BSRElEXS5bXS5bSFRfMDAxXQZoAAAAF1tMT0NJRF0uW10uW0hEX0RDX0NBX0VdBmkAAAAOW0FCQ0lEXS5bXS5bQV0GagAAACJbS0VZX0ZJR1VSRVNdLltdLltDT05TRU5TVVNERU1BTkRdDQMRPgAAAAgAAAAGawAAABZbUEVSSU9ESUQzXS5bXS5bNzA2MjNdBmwAAAATW1BSRElEXS5bXS5bSFRfMDAxXQZtAAAAF1tMT0NJRF0uW10uW0hEX0RDX0NBX0VdBm4AAAAOW0FCQ0lEXS5bXS5bQV0GbwAAACJbS0VZX0ZJR1VSRVNdLltdLltDT05TRU5TVVNERU1BTkRdDQMRPwAAAAgAAAAGcAAAABZbUEVSSU9ESUQzXS5bXS5bNzA2MTNdBnEAAAATW1BSRElEXS5bXS5bSFRfMDAxXQZyAAAAFVtMT0NJRF0uW10uW0hEX0RDX0ZSXQZzAAAADltBQkNJRF0uW10uW0FdBnQAAAAiW0tFWV9GSUdVUkVTXS5bXS5bQ09OU0VOU1VTREVNQU5EXQ0DEUAAAAAIAAAABnUAAAAWW1BFUklPRElEM10uW10uWzcwNjE1XQZ2AAAAE1tQUkRJRF0uW10uW0hUXzAwMV0GdwAAABVbTE9DSURdLltdLltIRF9EQ19GUl0GeAAAAA5bQUJDSURdLltdLltBXQZ5AAAAIltLRVlfRklHVVJFU10uW10uW0NPTlNFTlNVU0RFTUFORF0NAxFBAAAACAAAAAZ6AAAAFltQRVJJT0RJRDNdLltdLls3MDYxNl0GewAAABNbUFJESURdLltdLltIVF8wMDFdBnwAAAAVW0xPQ0lEXS5bXS5bSERfRENfRlJdBn0AAAAOW0FCQ0lEXS5bXS5bQV0GfgAAACJbS0VZX0ZJR1VSRVNdLltdLltDT05TRU5TVVNERU1BTkRdDQMRQgAAAAgAAAAGfwAAABZbUEVSSU9ESUQzXS5bXS5bNzA2MTddBoAAAAATW1BSRElEXS5bXS5bSFRfMDAxXQaBAAAAFVtMT0NJRF0uW10uW0hEX0RDX0ZSXQaCAAAADltBQkNJRF0uW10uW0FdBoMAAAAiW0tFWV9GSUdVUkVTXS5bXS5bQ09OU0VOU1VTREVNQU5EXQ0DEUMAAAAIAAAABoQAAAAWW1BFUklPRElEM10uW10uWzcwNjE4XQaFAAAAE1tQUkRJRF0uW10uW0hUXzAwMV0GhgAAABVbTE9DSURdLltdLltIRF9EQ19GUl0GhwAAAA5bQUJDSURdLltdLltBXQaIAAAAIltLRVlfRklHVVJFU10uW10uW0NPTlNFTlNVU0RFTUFORF0NAxFEAAAACAAAAAaJAAAAFltQRVJJT0RJRDNdLltdLls3MDYxNF0GigAAABNbUFJESURdLltdLltIVF8wMDFdBosAAAAXW0xPQ0lEXS5bXS5bSERfRENfVVNfRV0GjAAAAA5bQUJDSURdLltdLltBXQaNAAAAIltLRVlfRklHVVJFU10uW10uW0NPTlNFTlNVU0RFTUFORF0NAxFFAAAACAAAAAaOAAAAFltQRVJJT0RJRDNdLltdLls3MDYxNl0GjwAAABNbUFJESURdLltdLltIVF8wMDFdBpAAAAAXW0xPQ0lEXS5bXS5bSERfRENfVVNfRV0GkQAAAA5bQUJDSURdLltdLltBXQaSAAAAIltLRVlfRklHVVJFU10uW10uW0NPTlNFTlNVU0RFTUFORF0NAxFGAAAACAAAAAaTAAAAFltQRVJJT0RJRDNdLltdLls3MDYxN10GlAAAABNbUFJESURdLltdLltIVF8wMDFdBpUAAAAXW0xPQ0lEXS5bXS5bSERfRENfVVNfRV0GlgAAAA5bQUJDSURdLltdLltBXQaXAAAAIltLRVlfRklHVVJFU10uW10uW0NPTlNFTlNVU0RFTUFORF0NAxFHAAAACAAAAAaYAAAAFltQRVJJT0RJRDNdLltdLls3MDYxOF0GmQAAABNbUFJESURdLltdLltIVF8wMDFdBpoAAAAXW0xPQ0lEXS5bXS5bSERfRENfVVNfRV0GmwAAAA5bQUJDSURdLltdLltBXQacAAAAIltLRVlfRklHVVJFU10uW10uW0NPTlNFTlNVU0RFTUFORF0NAws=</fixingInfos>
    <fixingInfosDCS>H4sIAAAAAAAACuyba28SQRSGz08hfi+3VtAGaXABbYRiqk00jWkaLi1J2RK2WvTHq88ZtroBbFFM3HFPNjM7O5fznjkzb+a6377W5EDmMpErycknGcpMIhnLtYTyTB5JSfJS5J0jJZQ+8QNSQ7lwqR/lRkayQ64KXwdSl5o0kDCTc/ksPdLekifkGSK/Tcl5XPoQf4S0XIwdgrpPmkq9ROqNTPku8Ny6J4/bxb9G9gWxZbQqgluQd9KVjrxBt0tQJiDvOIwIGedO56HT/yfOKkaUKB2BMuCtpbW+ISGtT5/3Mv4eoaJU8Q/lubxGl44EoIydtTS/xga4GSXn2CQf58wn4rSE4kaUitBNrfiQ3TRPQB619QJrOZe2U9/VQ3WuY6saev5emZq00LPrtJmiyXCpvQa0yRTJD1t04iRrjSPcyNlGrTv5YctdQiXeBdpSe+GYkmrJL06fRY8sJHrXnaXudNh3LT6La1OXUzRvyTH16kkTv0m+D6Cexn4VrArl9vhWy/xKzv0Ix7HspOSX2Oss7p9/LruD3sEa2U1kN0k5wzXwW1tgNOiLqxiNLSS+Qp/3aNVG6gs5wT4t2jMpPaBeR8S1nH+CaxLugnrk9LgfubDSIzW2R2iwIQM2y6s5N+Hg3+dp2Xi6lqdV42lGeLpggPHUz/H0ifHUeGrjaep5+tR4ajw1nqacp4pt61Ob96ZnfWr7SOt5us1ej+0j+bQ+LXmxPl1oafu9yzwtG08zMp4aT/09lym7WBtPjadpGU/tXGb9PpK/PG2Dbmendibz/99xeGwczcB8185NfeZoxThqHLW5bqo56u8dJJvr2jiajfu8/t4/att61Oa6meCov3fudT1nd+6Np9ngqb9rUuOp7R1l5x82f9elxlPjaXZ46u/a1Hh69c/PYpI9cpN/6+vyHQAA//8=</fixingInfosDCS>
  </report_Sheet2>
</config>
</file>

<file path=customXml/itemProps1.xml><?xml version="1.0" encoding="utf-8"?>
<ds:datastoreItem xmlns:ds="http://schemas.openxmlformats.org/officeDocument/2006/customXml" ds:itemID="{C7CB631A-40CF-4C8D-9220-784CC3D120C8}">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2</vt:i4>
      </vt:variant>
    </vt:vector>
  </HeadingPairs>
  <TitlesOfParts>
    <vt:vector size="2" baseType="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2022-12-09T14:39:09Z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8cf7e3fb-fda4-4fe6-b977-b579ead92bed</vt:lpwstr>
  </property>
</Properties>
</file>