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omments1.xml" ContentType="application/vnd.openxmlformats-officedocument.spreadsheetml.comment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sap-my.sharepoint.com/personal/julia_votteler_sap_com/Documents/Excel UI/Doku/VBA Enhancements/VBA Samples/Samples for SAP IBP APIs released with 2205.2.0/1.3_Change Master Data Attribute Value/"/>
    </mc:Choice>
  </mc:AlternateContent>
  <xr:revisionPtr revIDLastSave="214" documentId="8_{E016A6B0-1E0F-4BEA-881D-2EE9CDAE6470}" xr6:coauthVersionLast="47" xr6:coauthVersionMax="47" xr10:uidLastSave="{AB1E64BF-847C-489B-B044-EFA1F2833130}"/>
  <bookViews>
    <workbookView xWindow="-103" yWindow="-103" windowWidth="22149" windowHeight="11949" tabRatio="374" firstSheet="1" activeTab="1" xr2:uid="{00000000-000D-0000-FFFF-FFFF00000000}"/>
  </bookViews>
  <sheets>
    <sheet name="IBPFormattingSheet" sheetId="8" state="hidden" r:id="rId1"/>
    <sheet name="Planning" sheetId="5" r:id="rId2"/>
  </sheets>
  <definedNames>
    <definedName name="__FPMExcelClient_CellBasedFunctionStatus" localSheetId="1" hidden="1">"2_1_2_2_2_2"</definedName>
    <definedName name="__FPMExcelClient_Connection" localSheetId="1">"{A63CB8EE-6674-452e-ACA5-65D5174D689E}_[https://pt6-001.wdf.sap.corp/sap/sop/sopfnd/services/addin/excel/]_[SOP]_[RBSAP6]_[]_[]_[false]_[True]\1"</definedName>
    <definedName name="_xlnm._FilterDatabase" localSheetId="1" hidden="1">Planning!$A$1:$V$124</definedName>
    <definedName name="_SOP">" "</definedName>
    <definedName name="AddDimension" localSheetId="0" hidden="1">IBPFormattingSheet!#REF!</definedName>
    <definedName name="AddLevelFirst" localSheetId="0" hidden="1">IBPFormattingSheet!$A$2</definedName>
    <definedName name="AddLevelSecond" localSheetId="0" hidden="1">IBPFormattingSheet!#REF!</definedName>
    <definedName name="AddMemberFirst" localSheetId="0" hidden="1">IBPFormattingSheet!$D$46</definedName>
    <definedName name="AddMemberFirst_1" localSheetId="0" hidden="1">IBPFormattingSheet!$D$41</definedName>
    <definedName name="AddMemberFirst_2" localSheetId="0" hidden="1">IBPFormattingSheet!$D$44</definedName>
    <definedName name="AddMemberSecond" localSheetId="0" hidden="1">IBPFormattingSheet!$D$85</definedName>
    <definedName name="AddMemberSecond_1" localSheetId="0" hidden="1">IBPFormattingSheet!$D$65</definedName>
    <definedName name="AddMemberSecond_2" localSheetId="0" hidden="1">IBPFormattingSheet!$D$68</definedName>
    <definedName name="AddMemberSecond_3" localSheetId="0" hidden="1">IBPFormattingSheet!$D$71</definedName>
    <definedName name="AddMemberSecond_4" localSheetId="0" hidden="1">IBPFormattingSheet!$D$74</definedName>
    <definedName name="AddMemberSecond_5" localSheetId="0" hidden="1">IBPFormattingSheet!$D$77</definedName>
    <definedName name="AddMemberSecond_6" localSheetId="0" hidden="1">IBPFormattingSheet!$D$80</definedName>
    <definedName name="AddMemberSecond_7" localSheetId="0" hidden="1">IBPFormattingSheet!$D$83</definedName>
    <definedName name="DataFirst" localSheetId="0" hidden="1">IBPFormattingSheet!$E$25:$G$25</definedName>
    <definedName name="DataSecond" localSheetId="0" hidden="1">IBPFormattingSheet!$E$100:$G$100</definedName>
    <definedName name="DataUseFirst" localSheetId="0" hidden="1">IBPFormattingSheet!$H$25</definedName>
    <definedName name="DataUseSecond" localSheetId="0" hidden="1">IBPFormattingSheet!$H$100</definedName>
    <definedName name="EPMWorkbookOptions_1" hidden="1">"TgEAAB+LCAAAAAAABACFkE0LgkAQhu9B/2HZe64WdBA/DnUJEgOhuk466qLtxu7W+vOTwiI9dH3meWeGN4i7a0seqDSXIqSe41KCIpcFF1VI76ZceGsaR/NZcJKquUjZpDfTq5r0OaH9TvOQ1sbcfMastY5dOVJVbOm6Hjsn+yyv8QoLLrQBkSP9pIr/KdpfJSTYtAhqCwZSkcEDoxJajQEb45c7/HhQ0mBusBjs6eDXtwVhb7TTR1AcLi0m"</definedName>
    <definedName name="EPMWorkbookOptions_2" hidden="1">"qKrvhgnvK2GjTqInXuXyk04BAAA="</definedName>
    <definedName name="EvenDataFirst" localSheetId="0" hidden="1">IBPFormattingSheet!$F$97</definedName>
    <definedName name="EvenDataSecond" localSheetId="0" hidden="1">IBPFormattingSheet!$F$105</definedName>
    <definedName name="EvenDataUseFirst" localSheetId="0" hidden="1">IBPFormattingSheet!$H$97</definedName>
    <definedName name="EvenDataUseSecond" localSheetId="0" hidden="1">IBPFormattingSheet!$H$105</definedName>
    <definedName name="EvenHeaderFirst" localSheetId="0" hidden="1">IBPFormattingSheet!$J$97</definedName>
    <definedName name="EvenHeaderSecond" localSheetId="0" hidden="1">IBPFormattingSheet!$J$105</definedName>
    <definedName name="EvenHeaderUseFirst" localSheetId="0" hidden="1">IBPFormattingSheet!$L$97</definedName>
    <definedName name="EvenHeaderUseSecond" localSheetId="0" hidden="1">IBPFormattingSheet!$L$105</definedName>
    <definedName name="HeaderFirst" localSheetId="0" hidden="1">IBPFormattingSheet!$I$25:$K$25</definedName>
    <definedName name="HeaderSecond" localSheetId="0" hidden="1">IBPFormattingSheet!$I$100:$K$100</definedName>
    <definedName name="HeaderSmallGrid" localSheetId="0" hidden="1">IBPFormattingSheet!$A$1</definedName>
    <definedName name="HeaderUseFirst" localSheetId="0" hidden="1">IBPFormattingSheet!$L$25</definedName>
    <definedName name="HeaderUseSecond" localSheetId="0" hidden="1">IBPFormattingSheet!$L$100</definedName>
    <definedName name="HeaderUseSmallGrid" localSheetId="0" hidden="1">IBPFormattingSheet!$A$1</definedName>
    <definedName name="IBPClientFormattingSheet" localSheetId="0" hidden="1">"3_3"</definedName>
    <definedName name="LevelEndBlock" localSheetId="0" hidden="1">IBPFormattingSheet!$B$19</definedName>
    <definedName name="LevelFirstBlock" localSheetId="0" hidden="1">IBPFormattingSheet!$B$13:$B$18</definedName>
    <definedName name="LevelFirstDataDefault" localSheetId="0" hidden="1">IBPFormattingSheet!$F$17</definedName>
    <definedName name="LevelFirstDataLeaf" localSheetId="0" hidden="1">IBPFormattingSheet!#REF!</definedName>
    <definedName name="LevelFirstDataLevel_1" localSheetId="0" hidden="1">IBPFormattingSheet!#REF!</definedName>
    <definedName name="LevelFirstDataLevel_2" localSheetId="0" hidden="1">IBPFormattingSheet!#REF!</definedName>
    <definedName name="LevelFirstDataLevel_3" localSheetId="0" hidden="1">IBPFormattingSheet!#REF!</definedName>
    <definedName name="LevelFirstDataUseDefault" localSheetId="0" hidden="1">IBPFormattingSheet!$H$17</definedName>
    <definedName name="LevelFirstDataUseLeaf" localSheetId="0" hidden="1">IBPFormattingSheet!#REF!</definedName>
    <definedName name="LevelFirstDataUseLevel_1" localSheetId="0" hidden="1">IBPFormattingSheet!#REF!</definedName>
    <definedName name="LevelFirstDataUseLevel_2" localSheetId="0" hidden="1">IBPFormattingSheet!#REF!</definedName>
    <definedName name="LevelFirstDataUseLevel_3" localSheetId="0" hidden="1">IBPFormattingSheet!#REF!</definedName>
    <definedName name="LevelFirstHeaderDefault" localSheetId="0" hidden="1">IBPFormattingSheet!$J$17</definedName>
    <definedName name="LevelFirstHeaderLeaf" localSheetId="0" hidden="1">IBPFormattingSheet!#REF!</definedName>
    <definedName name="LevelFirstHeaderLevel_1" localSheetId="0" hidden="1">IBPFormattingSheet!#REF!</definedName>
    <definedName name="LevelFirstHeaderLevel_2" localSheetId="0" hidden="1">IBPFormattingSheet!#REF!</definedName>
    <definedName name="LevelFirstHeaderLevel_3" localSheetId="0" hidden="1">IBPFormattingSheet!#REF!</definedName>
    <definedName name="LevelFirstHeaderUseDefault" localSheetId="0" hidden="1">IBPFormattingSheet!$L$17</definedName>
    <definedName name="LevelFirstHeaderUseLeaf" localSheetId="0" hidden="1">IBPFormattingSheet!#REF!</definedName>
    <definedName name="LevelFirstHeaderUseLevel_1" localSheetId="0" hidden="1">IBPFormattingSheet!#REF!</definedName>
    <definedName name="LevelFirstHeaderUseLevel_2" localSheetId="0" hidden="1">IBPFormattingSheet!#REF!</definedName>
    <definedName name="LevelFirstHeaderUseLevel_3" localSheetId="0" hidden="1">IBPFormattingSheet!#REF!</definedName>
    <definedName name="LevelSecondBlock" localSheetId="0" hidden="1">IBPFormattingSheet!$B$7:$B$12</definedName>
    <definedName name="LevelSecondDataDefault" localSheetId="0" hidden="1">IBPFormattingSheet!$F$11</definedName>
    <definedName name="LevelSecondDataLeaf" localSheetId="0" hidden="1">IBPFormattingSheet!#REF!</definedName>
    <definedName name="LevelSecondDataLevel_1" localSheetId="0" hidden="1">IBPFormattingSheet!#REF!</definedName>
    <definedName name="LevelSecondDataLevel_2" localSheetId="0" hidden="1">IBPFormattingSheet!#REF!</definedName>
    <definedName name="LevelSecondDataLevel_3" localSheetId="0" hidden="1">IBPFormattingSheet!#REF!</definedName>
    <definedName name="LevelSecondDataUseDefault" localSheetId="0" hidden="1">IBPFormattingSheet!$H$11</definedName>
    <definedName name="LevelSecondDataUseLeaf" localSheetId="0" hidden="1">IBPFormattingSheet!#REF!</definedName>
    <definedName name="LevelSecondDataUseLevel_1" localSheetId="0" hidden="1">IBPFormattingSheet!#REF!</definedName>
    <definedName name="LevelSecondDataUseLevel_2" localSheetId="0" hidden="1">IBPFormattingSheet!#REF!</definedName>
    <definedName name="LevelSecondDataUseLevel_3" localSheetId="0" hidden="1">IBPFormattingSheet!#REF!</definedName>
    <definedName name="LevelSecondHeaderDefault" localSheetId="0" hidden="1">IBPFormattingSheet!$J$11</definedName>
    <definedName name="LevelSecondHeaderLeaf" localSheetId="0" hidden="1">IBPFormattingSheet!#REF!</definedName>
    <definedName name="LevelSecondHeaderLevel_1" localSheetId="0" hidden="1">IBPFormattingSheet!#REF!</definedName>
    <definedName name="LevelSecondHeaderLevel_2" localSheetId="0" hidden="1">IBPFormattingSheet!#REF!</definedName>
    <definedName name="LevelSecondHeaderLevel_3" localSheetId="0" hidden="1">IBPFormattingSheet!#REF!</definedName>
    <definedName name="LevelSecondHeaderUseDefault" localSheetId="0" hidden="1">IBPFormattingSheet!$L$11</definedName>
    <definedName name="LevelSecondHeaderUseLeaf" localSheetId="0" hidden="1">IBPFormattingSheet!#REF!</definedName>
    <definedName name="LevelSecondHeaderUseLevel_1" localSheetId="0" hidden="1">IBPFormattingSheet!#REF!</definedName>
    <definedName name="LevelSecondHeaderUseLevel_2" localSheetId="0" hidden="1">IBPFormattingSheet!#REF!</definedName>
    <definedName name="LevelSecondHeaderUseLevel_3" localSheetId="0" hidden="1">IBPFormattingSheet!#REF!</definedName>
    <definedName name="MemberEndBlock" localSheetId="0" hidden="1">IBPFormattingSheet!$B$87</definedName>
    <definedName name="MemberFirstBlock" localSheetId="0" hidden="1">IBPFormattingSheet!$B$24:$B$47</definedName>
    <definedName name="MemberFirstDataCalculated" localSheetId="0" hidden="1">IBPFormattingSheet!$F$27</definedName>
    <definedName name="MemberFirstDataChanged" localSheetId="0" hidden="1">IBPFormattingSheet!$F$36</definedName>
    <definedName name="MemberFirstDataCustom" localSheetId="0" hidden="1">IBPFormattingSheet!#REF!</definedName>
    <definedName name="MemberFirstDataInputable" localSheetId="0" hidden="1">IBPFormattingSheet!$F$30</definedName>
    <definedName name="MemberFirstDataItem_1" localSheetId="0" hidden="1">IBPFormattingSheet!$F$41</definedName>
    <definedName name="MemberFirstDataItem_2" localSheetId="0" hidden="1">IBPFormattingSheet!$F$44</definedName>
    <definedName name="MemberFirstDataLocal" localSheetId="0" hidden="1">IBPFormattingSheet!$F$33</definedName>
    <definedName name="MemberFirstDataUseCalculated" localSheetId="0" hidden="1">IBPFormattingSheet!$H$27</definedName>
    <definedName name="MemberFirstDataUseChanged" localSheetId="0" hidden="1">IBPFormattingSheet!$H$36</definedName>
    <definedName name="MemberFirstDataUseCustom" localSheetId="0" hidden="1">IBPFormattingSheet!#REF!</definedName>
    <definedName name="MemberFirstDataUseInputable" localSheetId="0" hidden="1">IBPFormattingSheet!$H$30</definedName>
    <definedName name="MemberFirstDataUseItem_1" localSheetId="0" hidden="1">IBPFormattingSheet!$H$41</definedName>
    <definedName name="MemberFirstDataUseItem_2" localSheetId="0" hidden="1">IBPFormattingSheet!$H$44</definedName>
    <definedName name="MemberFirstDataUseLocal" localSheetId="0" hidden="1">IBPFormattingSheet!$H$33</definedName>
    <definedName name="MemberFirstHeaderCalculated" localSheetId="0" hidden="1">IBPFormattingSheet!$J$27</definedName>
    <definedName name="MemberFirstHeaderChanged" localSheetId="0" hidden="1">IBPFormattingSheet!$J$36</definedName>
    <definedName name="MemberFirstHeaderCustom" localSheetId="0" hidden="1">IBPFormattingSheet!#REF!</definedName>
    <definedName name="MemberFirstHeaderInputable" localSheetId="0" hidden="1">IBPFormattingSheet!$J$30</definedName>
    <definedName name="MemberFirstHeaderItem_1" localSheetId="0" hidden="1">IBPFormattingSheet!$J$41</definedName>
    <definedName name="MemberFirstHeaderItem_2" localSheetId="0" hidden="1">IBPFormattingSheet!$J$44</definedName>
    <definedName name="MemberFirstHeaderLocal" localSheetId="0" hidden="1">IBPFormattingSheet!$J$33</definedName>
    <definedName name="MemberFirstHeaderUseCalculated" localSheetId="0" hidden="1">IBPFormattingSheet!$L$27</definedName>
    <definedName name="MemberFirstHeaderUseChanged" localSheetId="0" hidden="1">IBPFormattingSheet!$L$36</definedName>
    <definedName name="MemberFirstHeaderUseCustom" localSheetId="0" hidden="1">IBPFormattingSheet!#REF!</definedName>
    <definedName name="MemberFirstHeaderUseInputable" localSheetId="0" hidden="1">IBPFormattingSheet!$L$30</definedName>
    <definedName name="MemberFirstHeaderUseItem_1" localSheetId="0" hidden="1">IBPFormattingSheet!$L$41</definedName>
    <definedName name="MemberFirstHeaderUseItem_2" localSheetId="0" hidden="1">IBPFormattingSheet!$L$44</definedName>
    <definedName name="MemberFirstHeaderUseLocal" localSheetId="0" hidden="1">IBPFormattingSheet!$L$33</definedName>
    <definedName name="MemberSecondBlock" localSheetId="0" hidden="1">IBPFormattingSheet!$B$48:$B$86</definedName>
    <definedName name="MemberSecondDataCalculated" localSheetId="0" hidden="1">IBPFormattingSheet!$F$51</definedName>
    <definedName name="MemberSecondDataChanged" localSheetId="0" hidden="1">IBPFormattingSheet!$F$60</definedName>
    <definedName name="MemberSecondDataCustom" localSheetId="0" hidden="1">IBPFormattingSheet!#REF!</definedName>
    <definedName name="MemberSecondDataInputable" localSheetId="0" hidden="1">IBPFormattingSheet!$F$54</definedName>
    <definedName name="MemberSecondDataItem_1" localSheetId="0" hidden="1">IBPFormattingSheet!$F$65</definedName>
    <definedName name="MemberSecondDataItem_2" localSheetId="0" hidden="1">IBPFormattingSheet!$F$68</definedName>
    <definedName name="MemberSecondDataItem_3" localSheetId="0" hidden="1">IBPFormattingSheet!$F$71</definedName>
    <definedName name="MemberSecondDataItem_4" localSheetId="0" hidden="1">IBPFormattingSheet!$F$74</definedName>
    <definedName name="MemberSecondDataItem_5" localSheetId="0" hidden="1">IBPFormattingSheet!$F$77</definedName>
    <definedName name="MemberSecondDataItem_6" localSheetId="0" hidden="1">IBPFormattingSheet!$F$80</definedName>
    <definedName name="MemberSecondDataItem_7" localSheetId="0" hidden="1">IBPFormattingSheet!$F$83</definedName>
    <definedName name="MemberSecondDataLocal" localSheetId="0" hidden="1">IBPFormattingSheet!$F$57</definedName>
    <definedName name="MemberSecondDataUseCalculated" localSheetId="0" hidden="1">IBPFormattingSheet!$H$51</definedName>
    <definedName name="MemberSecondDataUseChanged" localSheetId="0" hidden="1">IBPFormattingSheet!$H$60</definedName>
    <definedName name="MemberSecondDataUseCustom" localSheetId="0" hidden="1">IBPFormattingSheet!#REF!</definedName>
    <definedName name="MemberSecondDataUseInputable" localSheetId="0" hidden="1">IBPFormattingSheet!$H$54</definedName>
    <definedName name="MemberSecondDataUseItem_1" localSheetId="0" hidden="1">IBPFormattingSheet!$H$65</definedName>
    <definedName name="MemberSecondDataUseItem_2" localSheetId="0" hidden="1">IBPFormattingSheet!$H$68</definedName>
    <definedName name="MemberSecondDataUseItem_3" localSheetId="0" hidden="1">IBPFormattingSheet!$H$71</definedName>
    <definedName name="MemberSecondDataUseItem_4" localSheetId="0" hidden="1">IBPFormattingSheet!$H$74</definedName>
    <definedName name="MemberSecondDataUseItem_5" localSheetId="0" hidden="1">IBPFormattingSheet!$H$77</definedName>
    <definedName name="MemberSecondDataUseItem_6" localSheetId="0" hidden="1">IBPFormattingSheet!$H$80</definedName>
    <definedName name="MemberSecondDataUseItem_7" localSheetId="0" hidden="1">IBPFormattingSheet!$H$83</definedName>
    <definedName name="MemberSecondDataUseLocal" localSheetId="0" hidden="1">IBPFormattingSheet!$H$57</definedName>
    <definedName name="MemberSecondHeaderCalculated" localSheetId="0" hidden="1">IBPFormattingSheet!$J$51</definedName>
    <definedName name="MemberSecondHeaderChanged" localSheetId="0" hidden="1">IBPFormattingSheet!$J$60</definedName>
    <definedName name="MemberSecondHeaderCustom" localSheetId="0" hidden="1">IBPFormattingSheet!#REF!</definedName>
    <definedName name="MemberSecondHeaderInputable" localSheetId="0" hidden="1">IBPFormattingSheet!$J$54</definedName>
    <definedName name="MemberSecondHeaderItem_1" localSheetId="0" hidden="1">IBPFormattingSheet!$J$65</definedName>
    <definedName name="MemberSecondHeaderItem_2" localSheetId="0" hidden="1">IBPFormattingSheet!$J$68</definedName>
    <definedName name="MemberSecondHeaderItem_3" localSheetId="0" hidden="1">IBPFormattingSheet!$J$71</definedName>
    <definedName name="MemberSecondHeaderItem_4" localSheetId="0" hidden="1">IBPFormattingSheet!$J$74</definedName>
    <definedName name="MemberSecondHeaderItem_5" localSheetId="0" hidden="1">IBPFormattingSheet!$J$77</definedName>
    <definedName name="MemberSecondHeaderItem_6" localSheetId="0" hidden="1">IBPFormattingSheet!$J$80</definedName>
    <definedName name="MemberSecondHeaderItem_7" localSheetId="0" hidden="1">IBPFormattingSheet!$J$83</definedName>
    <definedName name="MemberSecondHeaderLocal" localSheetId="0" hidden="1">IBPFormattingSheet!$J$57</definedName>
    <definedName name="MemberSecondHeaderUseCalculated" localSheetId="0" hidden="1">IBPFormattingSheet!$L$51</definedName>
    <definedName name="MemberSecondHeaderUseChanged" localSheetId="0" hidden="1">IBPFormattingSheet!$L$60</definedName>
    <definedName name="MemberSecondHeaderUseCustom" localSheetId="0" hidden="1">IBPFormattingSheet!#REF!</definedName>
    <definedName name="MemberSecondHeaderUseInputable" localSheetId="0" hidden="1">IBPFormattingSheet!$L$54</definedName>
    <definedName name="MemberSecondHeaderUseItem_1" localSheetId="0" hidden="1">IBPFormattingSheet!$L$65</definedName>
    <definedName name="MemberSecondHeaderUseItem_2" localSheetId="0" hidden="1">IBPFormattingSheet!$L$68</definedName>
    <definedName name="MemberSecondHeaderUseItem_3" localSheetId="0" hidden="1">IBPFormattingSheet!$L$71</definedName>
    <definedName name="MemberSecondHeaderUseItem_4" localSheetId="0" hidden="1">IBPFormattingSheet!$L$74</definedName>
    <definedName name="MemberSecondHeaderUseItem_5" localSheetId="0" hidden="1">IBPFormattingSheet!$L$77</definedName>
    <definedName name="MemberSecondHeaderUseItem_6" localSheetId="0" hidden="1">IBPFormattingSheet!$L$80</definedName>
    <definedName name="MemberSecondHeaderUseItem_7" localSheetId="0" hidden="1">IBPFormattingSheet!$L$83</definedName>
    <definedName name="MemberSecondHeaderUseLocal" localSheetId="0" hidden="1">IBPFormattingSheet!$L$57</definedName>
    <definedName name="OddDataFirst" localSheetId="0" hidden="1">IBPFormattingSheet!$F$94</definedName>
    <definedName name="OddDataSecond" localSheetId="0" hidden="1">IBPFormattingSheet!$F$102</definedName>
    <definedName name="OddDataUseFirst" localSheetId="0" hidden="1">IBPFormattingSheet!$H$94</definedName>
    <definedName name="OddDataUseSecond" localSheetId="0" hidden="1">IBPFormattingSheet!$H$102</definedName>
    <definedName name="OddEvenEndBlock" localSheetId="0" hidden="1">IBPFormattingSheet!$B$107</definedName>
    <definedName name="OddEvenFirstBlock" localSheetId="0" hidden="1">IBPFormattingSheet!$B$91:$B$98</definedName>
    <definedName name="OddEvenSecondBlock" localSheetId="0" hidden="1">IBPFormattingSheet!$B$99:$B$106</definedName>
    <definedName name="OddHeaderFirst" localSheetId="0" hidden="1">IBPFormattingSheet!$J$94</definedName>
    <definedName name="OddHeaderSecond" localSheetId="0" hidden="1">IBPFormattingSheet!$J$102</definedName>
    <definedName name="OddHeaderUseFirst" localSheetId="0" hidden="1">IBPFormattingSheet!$L$94</definedName>
    <definedName name="OddHeaderUseSecond" localSheetId="0" hidden="1">IBPFormattingSheet!$L$102</definedName>
    <definedName name="PageHeaderDefaultHeader" localSheetId="0" hidden="1">IBPFormattingSheet!#REF!</definedName>
    <definedName name="PageHeaderDefaultHeaderUse" localSheetId="0" hidden="1">IBPFormattingSheet!#REF!</definedName>
    <definedName name="RemoveLevelFirst" localSheetId="0" hidden="1">IBPFormattingSheet!#REF!</definedName>
    <definedName name="RemoveLevelSecond" localSheetId="0" hidden="1">IBPFormattingSheet!#REF!</definedName>
    <definedName name="SOP_Connection_Name" localSheetId="0">"IBP SCM SAP4PW"</definedName>
    <definedName name="SOP_Connection_Name">"System ID"</definedName>
    <definedName name="SOP_CurrencyToID" localSheetId="1">"EUR"</definedName>
    <definedName name="SOP_CURRTOID" localSheetId="1">"EUR"</definedName>
    <definedName name="SOP_Favorite_Name" localSheetId="0">" "</definedName>
    <definedName name="SOP_Favorite_Name">"Change ABC Code"</definedName>
    <definedName name="SOP_Filter" localSheetId="0">{" "}</definedName>
    <definedName name="SOP_Filter" localSheetId="1">{" "}</definedName>
    <definedName name="SOP_Filter">{" "}</definedName>
    <definedName name="SOP_Filter_Criteria_Count" localSheetId="1">0</definedName>
    <definedName name="SOP_Filter_Name" localSheetId="1">"(None)"</definedName>
    <definedName name="SOP_Heading1" localSheetId="1">"Key Figure"</definedName>
    <definedName name="SOP_Heading10" localSheetId="1">" "</definedName>
    <definedName name="SOP_Heading11" localSheetId="1">" "</definedName>
    <definedName name="SOP_Heading12" localSheetId="1">" "</definedName>
    <definedName name="SOP_Heading13" localSheetId="1">" "</definedName>
    <definedName name="SOP_Heading14" localSheetId="1">" "</definedName>
    <definedName name="SOP_Heading15" localSheetId="1">" "</definedName>
    <definedName name="SOP_Heading2" localSheetId="1">"ABC Code"</definedName>
    <definedName name="SOP_Heading3" localSheetId="1">"Location ID"</definedName>
    <definedName name="SOP_Heading4" localSheetId="1">"Product ID"</definedName>
    <definedName name="SOP_Heading5" localSheetId="1">" "</definedName>
    <definedName name="SOP_Heading6" localSheetId="1">" "</definedName>
    <definedName name="SOP_Heading7" localSheetId="1">" "</definedName>
    <definedName name="SOP_Heading8" localSheetId="1">" "</definedName>
    <definedName name="SOP_Heading9" localSheetId="1">" "</definedName>
    <definedName name="SOP_Planning_Area" localSheetId="0">"SAP4PW"</definedName>
    <definedName name="SOP_Planning_Area">"SAP6"</definedName>
    <definedName name="SOP_Planning_Scope" localSheetId="0">" "</definedName>
    <definedName name="SOP_Planning_Scope">"No selection: The system will plan the entire data set. | TW17a 2022 - TW22a 2024 | Baseline | Base Version"</definedName>
    <definedName name="SOP_Refresh_Timestamp" localSheetId="0">43129.8290046296</definedName>
    <definedName name="SOP_Refresh_Timestamp">44677.3800810185</definedName>
    <definedName name="SOP_TargetCurrency" localSheetId="1">"EUR"</definedName>
    <definedName name="SOP_TargetUoM" localSheetId="1">"PC"</definedName>
    <definedName name="SOP_Template_Name" localSheetId="0">" "</definedName>
    <definedName name="SOP_Template_Name">"template name"</definedName>
    <definedName name="SOP_UOMToID" localSheetId="1">"PC"</definedName>
    <definedName name="SOP_Value_Based_Filter" localSheetId="1">{" "}</definedName>
    <definedName name="SOP_Value_Based_Filter_Name" localSheetId="1">"(None)"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4" i="5" l="1"/>
  <c r="H4" i="5"/>
  <c r="I4" i="5"/>
  <c r="A4" i="5"/>
  <c r="B4" i="5"/>
  <c r="C4" i="5"/>
  <c r="D4" i="5"/>
  <c r="E4" i="5"/>
  <c r="F4" i="5"/>
  <c r="G4" i="5"/>
  <c r="K2" i="5"/>
  <c r="K1" i="5"/>
  <c r="J11" i="5"/>
  <c r="H59" i="5"/>
  <c r="J42" i="5"/>
  <c r="Q4" i="5"/>
  <c r="J6" i="5"/>
  <c r="J23" i="5"/>
  <c r="J34" i="5"/>
  <c r="J39" i="5"/>
  <c r="J45" i="5"/>
  <c r="J52" i="5"/>
  <c r="J24" i="5"/>
  <c r="H29" i="5"/>
  <c r="J27" i="5"/>
  <c r="J32" i="5"/>
  <c r="J81" i="5"/>
  <c r="N4" i="5"/>
  <c r="I47" i="5"/>
  <c r="J30" i="5"/>
  <c r="V4" i="5"/>
  <c r="J14" i="5"/>
  <c r="J19" i="5"/>
  <c r="J5" i="5"/>
  <c r="R4" i="5"/>
  <c r="J79" i="5"/>
  <c r="H113" i="5"/>
  <c r="I77" i="5"/>
  <c r="J113" i="5"/>
  <c r="J31" i="5"/>
  <c r="J86" i="5"/>
  <c r="J44" i="5"/>
  <c r="J93" i="5"/>
  <c r="H5" i="5"/>
  <c r="J49" i="5"/>
  <c r="S4" i="5"/>
  <c r="J105" i="5"/>
  <c r="I89" i="5"/>
  <c r="J80" i="5"/>
  <c r="I53" i="5"/>
  <c r="J16" i="5"/>
  <c r="J46" i="5"/>
  <c r="J18" i="5"/>
  <c r="J26" i="5"/>
  <c r="J98" i="5"/>
  <c r="I71" i="5"/>
  <c r="J76" i="5"/>
  <c r="J74" i="5"/>
  <c r="J122" i="5"/>
  <c r="J94" i="5"/>
  <c r="H89" i="5"/>
  <c r="H53" i="5"/>
  <c r="J20" i="5"/>
  <c r="J123" i="5"/>
  <c r="J97" i="5"/>
  <c r="J90" i="5"/>
  <c r="J73" i="5"/>
  <c r="I5" i="5"/>
  <c r="G101" i="5"/>
  <c r="J106" i="5"/>
  <c r="J92" i="5"/>
  <c r="I65" i="5"/>
  <c r="J72" i="5"/>
  <c r="I23" i="5"/>
  <c r="J51" i="5"/>
  <c r="I41" i="5"/>
  <c r="J25" i="5"/>
  <c r="U4" i="5"/>
  <c r="J60" i="5"/>
  <c r="T4" i="5"/>
  <c r="J38" i="5"/>
  <c r="J21" i="5"/>
  <c r="J78" i="5"/>
  <c r="I11" i="5"/>
  <c r="J56" i="5"/>
  <c r="J100" i="5"/>
  <c r="J22" i="5"/>
  <c r="H71" i="5"/>
  <c r="J61" i="5"/>
  <c r="J84" i="5"/>
  <c r="M4" i="5"/>
  <c r="J29" i="5"/>
  <c r="H35" i="5"/>
  <c r="J115" i="5"/>
  <c r="J40" i="5"/>
  <c r="J62" i="5"/>
  <c r="I113" i="5"/>
  <c r="J48" i="5"/>
  <c r="G29" i="5"/>
  <c r="J116" i="5"/>
  <c r="J8" i="5"/>
  <c r="G53" i="5"/>
  <c r="J119" i="5"/>
  <c r="J53" i="5"/>
  <c r="I17" i="5"/>
  <c r="J112" i="5"/>
  <c r="I119" i="5"/>
  <c r="J70" i="5"/>
  <c r="J68" i="5"/>
  <c r="J88" i="5"/>
  <c r="J71" i="5"/>
  <c r="J58" i="5"/>
  <c r="H17" i="5"/>
  <c r="J108" i="5"/>
  <c r="J114" i="5"/>
  <c r="J36" i="5"/>
  <c r="L4" i="5"/>
  <c r="G5" i="5"/>
  <c r="J124" i="5"/>
  <c r="J37" i="5"/>
  <c r="P4" i="5"/>
  <c r="J77" i="5"/>
  <c r="H77" i="5"/>
  <c r="J102" i="5"/>
  <c r="J75" i="5"/>
  <c r="J47" i="5"/>
  <c r="J54" i="5"/>
  <c r="J17" i="5"/>
  <c r="J101" i="5"/>
  <c r="J66" i="5"/>
  <c r="J64" i="5"/>
  <c r="J28" i="5"/>
  <c r="J33" i="5"/>
  <c r="I35" i="5"/>
  <c r="J9" i="5"/>
  <c r="J15" i="5"/>
  <c r="H119" i="5"/>
  <c r="J41" i="5"/>
  <c r="J117" i="5"/>
  <c r="J63" i="5"/>
  <c r="J35" i="5"/>
  <c r="J43" i="5"/>
  <c r="J99" i="5"/>
  <c r="J12" i="5"/>
  <c r="H23" i="5"/>
  <c r="J87" i="5"/>
  <c r="J65" i="5"/>
  <c r="H47" i="5"/>
  <c r="K4" i="5"/>
  <c r="J59" i="5"/>
  <c r="J57" i="5"/>
  <c r="H101" i="5"/>
  <c r="J67" i="5"/>
  <c r="J107" i="5"/>
  <c r="J103" i="5"/>
  <c r="J104" i="5"/>
  <c r="H41" i="5"/>
  <c r="J121" i="5"/>
  <c r="H95" i="5"/>
  <c r="I101" i="5"/>
  <c r="H65" i="5"/>
  <c r="I107" i="5"/>
  <c r="J10" i="5"/>
  <c r="I29" i="5"/>
  <c r="J13" i="5"/>
  <c r="O4" i="5"/>
  <c r="J82" i="5"/>
  <c r="H11" i="5"/>
  <c r="J85" i="5"/>
  <c r="J91" i="5"/>
  <c r="J120" i="5"/>
  <c r="I59" i="5"/>
  <c r="J109" i="5"/>
  <c r="H83" i="5"/>
  <c r="J89" i="5"/>
  <c r="J95" i="5"/>
  <c r="J7" i="5"/>
  <c r="J69" i="5"/>
  <c r="I83" i="5"/>
  <c r="J96" i="5"/>
  <c r="J111" i="5"/>
  <c r="G77" i="5"/>
  <c r="J118" i="5"/>
  <c r="J55" i="5"/>
  <c r="J50" i="5"/>
  <c r="J110" i="5"/>
  <c r="H107" i="5"/>
  <c r="J83" i="5"/>
  <c r="I95" i="5"/>
  <c r="Q1"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Votteler, Julia</author>
  </authors>
  <commentList>
    <comment ref="D41" authorId="0" shapeId="0" xr:uid="{F641F540-67E1-4B2D-A9FF-EF178FFFBE91}">
      <text>
        <r>
          <rPr>
            <b/>
            <sz val="9"/>
            <color indexed="81"/>
            <rFont val="Tahoma"/>
            <family val="2"/>
          </rPr>
          <t>TotalMember</t>
        </r>
      </text>
    </comment>
    <comment ref="D44" authorId="0" shapeId="0" xr:uid="{8AE909D8-61B2-4B3E-9263-A94849FF04C7}">
      <text>
        <r>
          <rPr>
            <b/>
            <sz val="9"/>
            <color indexed="81"/>
            <rFont val="Tahoma"/>
            <family val="2"/>
          </rPr>
          <t>Property#KEY_FIGURES#FIXING#Equals#Y</t>
        </r>
      </text>
    </comment>
    <comment ref="D65" authorId="0" shapeId="0" xr:uid="{28C36855-C6F8-4FA7-ABDD-5C388C2D343D}">
      <text>
        <r>
          <rPr>
            <b/>
            <sz val="9"/>
            <color indexed="81"/>
            <rFont val="Tahoma"/>
            <family val="2"/>
          </rPr>
          <t>Property#PERIODID#TIMELEVEL#Equals#TOTAL</t>
        </r>
      </text>
    </comment>
    <comment ref="D68" authorId="0" shapeId="0" xr:uid="{9859FF03-7EE3-4782-9DD0-4F892C193DC9}">
      <text>
        <r>
          <rPr>
            <b/>
            <sz val="9"/>
            <color indexed="81"/>
            <rFont val="Tahoma"/>
            <family val="2"/>
          </rPr>
          <t>Property#PERIODID#TIMELEVEL#Equals#PERIODID0</t>
        </r>
      </text>
    </comment>
    <comment ref="D71" authorId="0" shapeId="0" xr:uid="{A5DEC12A-64B5-4E08-8712-EDDEDC368D77}">
      <text>
        <r>
          <rPr>
            <b/>
            <sz val="9"/>
            <color indexed="81"/>
            <rFont val="Tahoma"/>
            <family val="2"/>
          </rPr>
          <t>Property#PERIODID#TIMELEVEL#Equals#PERIODID1</t>
        </r>
      </text>
    </comment>
    <comment ref="D74" authorId="0" shapeId="0" xr:uid="{728EDAA3-E976-4316-B680-8C915510501C}">
      <text>
        <r>
          <rPr>
            <b/>
            <sz val="9"/>
            <color indexed="81"/>
            <rFont val="Tahoma"/>
            <family val="2"/>
          </rPr>
          <t>Property#PERIODID#TIMELEVEL#Equals#PERIODID2</t>
        </r>
      </text>
    </comment>
    <comment ref="D77" authorId="0" shapeId="0" xr:uid="{8864DB44-AD2E-4A90-B41C-2C055D8EB1BB}">
      <text>
        <r>
          <rPr>
            <b/>
            <sz val="9"/>
            <color indexed="81"/>
            <rFont val="Tahoma"/>
            <family val="2"/>
          </rPr>
          <t>Property#PERIODID#TIMELEVEL#Equals#PERIODID3</t>
        </r>
      </text>
    </comment>
    <comment ref="D80" authorId="0" shapeId="0" xr:uid="{0CD6B31B-C141-41B3-986B-A593BED6D569}">
      <text>
        <r>
          <rPr>
            <b/>
            <sz val="9"/>
            <color indexed="81"/>
            <rFont val="Tahoma"/>
            <family val="2"/>
          </rPr>
          <t>Property#PERIODID#TIMELEVEL#Equals#PERIODID4</t>
        </r>
      </text>
    </comment>
    <comment ref="D83" authorId="0" shapeId="0" xr:uid="{CD8108A2-D4D6-4136-A419-1E66F049B2B0}">
      <text>
        <r>
          <rPr>
            <b/>
            <sz val="9"/>
            <color indexed="81"/>
            <rFont val="Tahoma"/>
            <family val="2"/>
          </rPr>
          <t>Property#PERIODID#TIMELEVEL#Equals#PERIODID5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Votteler, Julia</author>
  </authors>
  <commentList>
    <comment ref="L5" authorId="0" shapeId="0" xr:uid="{35C1F968-554E-4981-B2AB-D192582E5713}">
      <text>
        <r>
          <rPr>
            <sz val="9"/>
            <color indexed="81"/>
            <rFont val="Tahoma"/>
            <family val="2"/>
          </rPr>
          <t>1503 is fixed</t>
        </r>
      </text>
    </comment>
    <comment ref="S5" authorId="0" shapeId="0" xr:uid="{F4D40DCB-2594-493F-BCAD-9CD5D94BD8EB}">
      <text>
        <r>
          <rPr>
            <sz val="9"/>
            <color indexed="81"/>
            <rFont val="Tahoma"/>
            <family val="2"/>
          </rPr>
          <t>100 is fixed</t>
        </r>
      </text>
    </comment>
    <comment ref="T5" authorId="0" shapeId="0" xr:uid="{3266F35B-D5BC-4E0E-904D-2301C22E7F9A}">
      <text>
        <r>
          <rPr>
            <sz val="9"/>
            <color indexed="81"/>
            <rFont val="Tahoma"/>
            <family val="2"/>
          </rPr>
          <t>100 is fixed</t>
        </r>
      </text>
    </comment>
    <comment ref="U5" authorId="0" shapeId="0" xr:uid="{77424B50-3097-45C8-997E-FF57702A9DD0}">
      <text>
        <r>
          <rPr>
            <sz val="9"/>
            <color indexed="81"/>
            <rFont val="Tahoma"/>
            <family val="2"/>
          </rPr>
          <t>100 is fixed</t>
        </r>
      </text>
    </comment>
  </commentList>
</comments>
</file>

<file path=xl/sharedStrings.xml><?xml version="1.0" encoding="utf-8"?>
<sst xmlns="http://schemas.openxmlformats.org/spreadsheetml/2006/main" count="135" uniqueCount="39">
  <si>
    <t>Note: The format settings in lower sections overrides the ones in upper section if there are conflicts.</t>
  </si>
  <si>
    <t>Data</t>
  </si>
  <si>
    <t>Use</t>
  </si>
  <si>
    <t>Header</t>
  </si>
  <si>
    <t>Row</t>
  </si>
  <si>
    <t>Default Format</t>
  </si>
  <si>
    <t>All</t>
  </si>
  <si>
    <t>Label</t>
  </si>
  <si>
    <t>Column</t>
  </si>
  <si>
    <t>Dimension Member/Property Formatting</t>
  </si>
  <si>
    <t>Local Member Default Format</t>
  </si>
  <si>
    <t>Changed Member Default Format</t>
  </si>
  <si>
    <t>Formatting on Specific Member/Property:</t>
  </si>
  <si>
    <t>Row and Column Banding</t>
  </si>
  <si>
    <t>Odd Formatting</t>
  </si>
  <si>
    <t>Even Formatting</t>
  </si>
  <si>
    <t>Help</t>
  </si>
  <si>
    <t>Formatting and "Use" Column:</t>
  </si>
  <si>
    <t>Priority to Row or Column</t>
  </si>
  <si>
    <t>None</t>
  </si>
  <si>
    <t>Pattern</t>
  </si>
  <si>
    <t>Version_1_1</t>
  </si>
  <si>
    <t>Default Formatting</t>
  </si>
  <si>
    <t>Default Format for Non-Editable Cells</t>
  </si>
  <si>
    <t>Default Format for Editable Cells</t>
  </si>
  <si>
    <t>With these options you can specify which of the defined formats for rows or columns will be applied first, in case of conflicts. When you click "Priority to Row", the "Column" section is displayed first in the formatting section, the "Row" section is displayed in second position, and the precedence rules apply.</t>
  </si>
  <si>
    <t>Total Member</t>
  </si>
  <si>
    <t>FontBold</t>
  </si>
  <si>
    <t>IBP Formatting Sheet</t>
  </si>
  <si>
    <t xml:space="preserve">In the "10000" and "Label” cells, define the format you want by using the standard Microsoft Office Excel cell formatting functions. Right-click on the cell and define the format settings in the dialog._x000D_
By default, all the format settings are applied and "All" is displayed in the "Use" column._x000D_
_x000D_
You can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</si>
  <si>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 xml:space="preserve">KEY_FIGURES.Fixing Enabled = Y </t>
  </si>
  <si>
    <t>Font</t>
  </si>
  <si>
    <t xml:space="preserve">PERIODID.Time Level = TOTAL </t>
  </si>
  <si>
    <t xml:space="preserve">PERIODID.Time Level = PERIODID0 </t>
  </si>
  <si>
    <t xml:space="preserve">PERIODID.Time Level = PERIODID1 </t>
  </si>
  <si>
    <t xml:space="preserve">PERIODID.Time Level = PERIODID2 </t>
  </si>
  <si>
    <t xml:space="preserve">PERIODID.Time Level = PERIODID3 </t>
  </si>
  <si>
    <t xml:space="preserve">PERIODID.Time Level = PERIODID4 </t>
  </si>
  <si>
    <t xml:space="preserve">PERIODID.Time Level = PERIODID5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</si>
</sst>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xd83d_\_xdd13_#,##0"/>
    <numFmt numFmtId="165" formatCode="\_xd83d_\_xdd12_#,##0"/>
  </numFmts>
  <fonts count="28"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b/>
      <sz val="11"/>
      <color theme="1"/>
      <name val="Calibri"/>
      <family val="2"/>
    </font>
    <font>
      <sz val="11"/>
      <color theme="1"/>
      <name val="Calibri"/>
      <family val="2"/>
    </font>
    <font>
      <sz val="8"/>
      <color rgb="FF000000"/>
      <name val="Tahoma"/>
      <family val="2"/>
    </font>
    <font>
      <sz val="11"/>
      <color rgb="FF000000"/>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sz val="11"/>
      <color rgb="FF000000"/>
      <name val="Calibri"/>
      <family val="2"/>
      <scheme val="minor"/>
    </font>
    <font>
      <b/>
      <sz val="9"/>
      <color indexed="81"/>
      <name val="Tahoma"/>
      <family val="2"/>
    </font>
    <font>
      <b/>
      <sz val="11"/>
      <color theme="1"/>
      <name val="Calibri"/>
      <family val="2"/>
      <scheme val="minor"/>
    </font>
    <font>
      <b/>
      <sz val="11"/>
      <color theme="1" tint="0.34998626667073579"/>
      <name val="Calibri"/>
      <family val="2"/>
      <scheme val="minor"/>
    </font>
    <font>
      <sz val="10"/>
      <color theme="1"/>
      <name val="Segoe UI Symbol"/>
      <family val="2"/>
    </font>
    <font>
      <sz val="10"/>
      <color theme="1" tint="0.34998626667073579"/>
      <name val="Segoe UI Symbol"/>
      <family val="2"/>
    </font>
  </fonts>
  <fills count="18">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FFFFFF"/>
        <bgColor indexed="64"/>
      </patternFill>
    </fill>
    <fill>
      <patternFill patternType="solid">
        <fgColor rgb="FFC5D9F1"/>
        <bgColor indexed="64"/>
      </patternFill>
    </fill>
    <fill>
      <patternFill patternType="solid">
        <fgColor rgb="FF96BAE6"/>
        <bgColor indexed="64"/>
      </patternFill>
    </fill>
    <fill>
      <patternFill patternType="solid">
        <fgColor rgb="FF71A2DD"/>
        <bgColor indexed="64"/>
      </patternFill>
    </fill>
    <fill>
      <patternFill patternType="solid">
        <fgColor rgb="FF4F8CD5"/>
        <bgColor indexed="64"/>
      </patternFill>
    </fill>
    <fill>
      <patternFill patternType="solid">
        <fgColor rgb="FF3178CD"/>
        <bgColor indexed="64"/>
      </patternFill>
    </fill>
    <fill>
      <patternFill patternType="solid">
        <fgColor rgb="FF2965AD"/>
        <bgColor indexed="64"/>
      </patternFill>
    </fill>
  </fills>
  <borders count="34">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auto="1"/>
      </bottom>
      <diagonal/>
    </border>
    <border>
      <left style="thin">
        <color indexed="64"/>
      </left>
      <right style="thin">
        <color indexed="64"/>
      </right>
      <top/>
      <bottom style="medium">
        <color auto="1"/>
      </bottom>
      <diagonal/>
    </border>
    <border>
      <left/>
      <right/>
      <top/>
      <bottom style="medium">
        <color auto="1"/>
      </bottom>
      <diagonal/>
    </border>
    <border>
      <left/>
      <right style="thin">
        <color indexed="64"/>
      </right>
      <top/>
      <bottom style="medium">
        <color auto="1"/>
      </bottom>
      <diagonal/>
    </border>
    <border>
      <left/>
      <right style="medium">
        <color indexed="64"/>
      </right>
      <top/>
      <bottom style="medium">
        <color auto="1"/>
      </bottom>
      <diagonal/>
    </border>
  </borders>
  <cellStyleXfs count="2">
    <xf numFmtId="0" fontId="0" fillId="0" borderId="0"/>
    <xf numFmtId="0" fontId="14" fillId="7" borderId="0" applyNumberFormat="0" applyBorder="0" applyAlignment="0" applyProtection="0"/>
  </cellStyleXfs>
  <cellXfs count="106">
    <xf numFmtId="0" fontId="0" fillId="0" borderId="0" xfId="0"/>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3" xfId="0" applyFont="1" applyFill="1" applyBorder="1" applyAlignment="1">
      <alignment horizontal="center" vertical="center"/>
    </xf>
    <xf numFmtId="0" fontId="1" fillId="0" borderId="9" xfId="0" applyFont="1" applyBorder="1" applyAlignment="1">
      <alignment horizontal="center"/>
    </xf>
    <xf numFmtId="0" fontId="1" fillId="0" borderId="10" xfId="0" applyFont="1" applyBorder="1" applyAlignment="1">
      <alignment horizontal="center"/>
    </xf>
    <xf numFmtId="0" fontId="1" fillId="1" borderId="1"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19" xfId="0" applyFont="1" applyBorder="1" applyAlignment="1">
      <alignment horizontal="center"/>
    </xf>
    <xf numFmtId="0" fontId="2" fillId="4" borderId="21" xfId="0" applyFont="1" applyFill="1" applyBorder="1" applyAlignment="1">
      <alignment horizontal="center" vertical="center"/>
    </xf>
    <xf numFmtId="0" fontId="1" fillId="0" borderId="19" xfId="0" applyFont="1" applyBorder="1" applyAlignment="1" applyProtection="1">
      <alignment horizontal="left" vertical="center"/>
      <protection locked="0"/>
    </xf>
    <xf numFmtId="0" fontId="1" fillId="0" borderId="23" xfId="0" applyFont="1" applyBorder="1" applyAlignment="1">
      <alignment horizontal="center"/>
    </xf>
    <xf numFmtId="0" fontId="1" fillId="0" borderId="25" xfId="0" applyFont="1" applyBorder="1" applyAlignment="1">
      <alignment horizontal="center"/>
    </xf>
    <xf numFmtId="0" fontId="5" fillId="2" borderId="3" xfId="0" applyFont="1" applyFill="1" applyBorder="1" applyAlignment="1">
      <alignment horizontal="center" vertical="center"/>
    </xf>
    <xf numFmtId="0" fontId="7" fillId="0" borderId="11" xfId="0" applyFont="1" applyBorder="1" applyAlignment="1">
      <alignment horizontal="left" vertical="center"/>
    </xf>
    <xf numFmtId="0" fontId="8" fillId="0" borderId="12" xfId="0" applyFont="1" applyBorder="1"/>
    <xf numFmtId="0" fontId="7" fillId="0" borderId="12" xfId="0" applyFont="1" applyBorder="1" applyAlignment="1">
      <alignment horizontal="left" vertical="center"/>
    </xf>
    <xf numFmtId="0" fontId="8" fillId="0" borderId="8" xfId="0" applyFont="1" applyBorder="1"/>
    <xf numFmtId="0" fontId="12" fillId="0" borderId="0" xfId="0" applyFont="1" applyFill="1" applyBorder="1" applyAlignment="1" applyProtection="1">
      <alignment horizontal="left" vertical="center"/>
      <protection locked="0"/>
    </xf>
    <xf numFmtId="0" fontId="14" fillId="9" borderId="0" xfId="0" applyFont="1" applyFill="1" applyBorder="1"/>
    <xf numFmtId="0" fontId="0" fillId="10" borderId="0" xfId="0" applyFill="1"/>
    <xf numFmtId="3" fontId="13" fillId="0" borderId="0" xfId="0" applyNumberFormat="1" applyFont="1" applyFill="1" applyBorder="1" applyAlignment="1" applyProtection="1">
      <alignment horizontal="right" vertical="center"/>
      <protection locked="0"/>
    </xf>
    <xf numFmtId="0" fontId="4" fillId="0" borderId="9" xfId="0" applyFont="1" applyBorder="1" applyAlignment="1">
      <alignment horizontal="left" vertical="center"/>
    </xf>
    <xf numFmtId="0" fontId="11" fillId="10" borderId="0" xfId="0" applyFont="1" applyFill="1" applyBorder="1" applyAlignment="1" applyProtection="1">
      <alignment horizontal="right" vertical="center"/>
      <protection locked="0"/>
    </xf>
    <xf numFmtId="0" fontId="17" fillId="0" borderId="0" xfId="0" applyFont="1" applyAlignment="1">
      <alignment horizontal="center"/>
    </xf>
    <xf numFmtId="0" fontId="1" fillId="0" borderId="7" xfId="0" applyFont="1" applyBorder="1" applyAlignment="1" applyProtection="1">
      <alignment horizontal="left" vertical="center"/>
      <protection locked="0"/>
    </xf>
    <xf numFmtId="0" fontId="1" fillId="0" borderId="31" xfId="0" applyFont="1" applyBorder="1" applyAlignment="1">
      <alignment horizontal="center"/>
    </xf>
    <xf numFmtId="0" fontId="1" fillId="1" borderId="31" xfId="0" applyFont="1" applyFill="1" applyBorder="1" applyAlignment="1">
      <alignment horizontal="center"/>
    </xf>
    <xf numFmtId="0" fontId="1" fillId="0" borderId="32" xfId="0" applyFont="1" applyBorder="1" applyAlignment="1">
      <alignment horizontal="center"/>
    </xf>
    <xf numFmtId="0" fontId="1" fillId="0" borderId="33" xfId="0" applyFont="1" applyBorder="1" applyAlignment="1">
      <alignment horizontal="center"/>
    </xf>
    <xf numFmtId="0" fontId="14" fillId="9" borderId="0" xfId="0" applyFont="1" applyFill="1" applyBorder="1" applyAlignment="1" applyProtection="1">
      <alignment horizontal="right" vertical="center"/>
    </xf>
    <xf numFmtId="0" fontId="11" fillId="9" borderId="0" xfId="0" applyFont="1" applyFill="1" applyBorder="1" applyAlignment="1" applyProtection="1">
      <alignment horizontal="left" vertical="center"/>
    </xf>
    <xf numFmtId="0" fontId="14" fillId="9" borderId="0" xfId="0" applyFont="1" applyFill="1" applyProtection="1"/>
    <xf numFmtId="0" fontId="14" fillId="9" borderId="0" xfId="0" applyFont="1" applyFill="1" applyBorder="1" applyProtection="1"/>
    <xf numFmtId="0" fontId="14" fillId="9" borderId="0" xfId="1" applyFont="1" applyFill="1" applyBorder="1" applyAlignment="1" applyProtection="1"/>
    <xf numFmtId="0" fontId="0" fillId="0" borderId="0" xfId="0" applyProtection="1"/>
    <xf numFmtId="0" fontId="11" fillId="10" borderId="0" xfId="0" applyFont="1" applyFill="1" applyProtection="1"/>
    <xf numFmtId="0" fontId="21" fillId="9" borderId="0" xfId="0" quotePrefix="1" applyFont="1" applyFill="1" applyBorder="1" applyAlignment="1" applyProtection="1">
      <alignment horizontal="left" vertical="top" wrapText="1" indent="5"/>
    </xf>
    <xf numFmtId="0" fontId="20" fillId="9" borderId="0" xfId="0" applyFont="1" applyFill="1" applyBorder="1" applyAlignment="1" applyProtection="1">
      <alignment horizontal="left" vertical="top"/>
    </xf>
    <xf numFmtId="3" fontId="22" fillId="11" borderId="0" xfId="0" applyNumberFormat="1" applyFont="1" applyFill="1" applyBorder="1" applyAlignment="1" applyProtection="1">
      <alignment horizontal="right" vertical="center"/>
      <protection locked="0"/>
    </xf>
    <xf numFmtId="164" fontId="22" fillId="11" borderId="0" xfId="0" applyNumberFormat="1" applyFont="1" applyFill="1" applyBorder="1" applyAlignment="1" applyProtection="1">
      <alignment horizontal="right" vertical="center"/>
      <protection locked="0"/>
    </xf>
    <xf numFmtId="165" fontId="22" fillId="11" borderId="0" xfId="0" applyNumberFormat="1" applyFont="1" applyFill="1" applyBorder="1" applyAlignment="1" applyProtection="1">
      <alignment horizontal="right" vertical="center"/>
      <protection locked="0"/>
    </xf>
    <xf numFmtId="0" fontId="1" fillId="0" borderId="12"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1" fillId="0" borderId="30" xfId="0" applyFont="1" applyBorder="1" applyAlignment="1">
      <alignment horizontal="center"/>
    </xf>
    <xf numFmtId="0" fontId="8" fillId="0" borderId="12" xfId="0" applyFont="1" applyBorder="1" applyAlignment="1" applyProtection="1">
      <alignment horizontal="left" vertical="top" wrapText="1"/>
      <protection locked="0"/>
    </xf>
    <xf numFmtId="0" fontId="3" fillId="0" borderId="0" xfId="0" applyFont="1" applyAlignment="1" applyProtection="1">
      <alignment horizontal="center" vertical="center"/>
      <protection locked="0"/>
    </xf>
    <xf numFmtId="0" fontId="5" fillId="3" borderId="13"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1" fillId="0" borderId="16"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6" fillId="5" borderId="24" xfId="0" applyFont="1" applyFill="1" applyBorder="1" applyAlignment="1" applyProtection="1">
      <alignment horizontal="center" vertical="center"/>
      <protection hidden="1"/>
    </xf>
    <xf numFmtId="0" fontId="6" fillId="5" borderId="20" xfId="0" applyFont="1" applyFill="1" applyBorder="1" applyAlignment="1" applyProtection="1">
      <alignment horizontal="center" vertical="center"/>
      <protection hidden="1"/>
    </xf>
    <xf numFmtId="0" fontId="2"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2" fillId="4" borderId="5" xfId="0" applyFont="1" applyFill="1" applyBorder="1" applyAlignment="1">
      <alignment horizontal="center" vertical="center"/>
    </xf>
    <xf numFmtId="0" fontId="1" fillId="0" borderId="11" xfId="0" applyFont="1" applyBorder="1" applyAlignment="1">
      <alignment horizontal="center"/>
    </xf>
    <xf numFmtId="0" fontId="1" fillId="0" borderId="12" xfId="0" applyFont="1" applyBorder="1" applyAlignment="1">
      <alignment horizontal="center"/>
    </xf>
    <xf numFmtId="0" fontId="6" fillId="5" borderId="29" xfId="0" applyFont="1" applyFill="1" applyBorder="1" applyAlignment="1" applyProtection="1">
      <alignment horizontal="center" vertical="center"/>
      <protection hidden="1"/>
    </xf>
    <xf numFmtId="0" fontId="1" fillId="0" borderId="30" xfId="0" applyFont="1" applyBorder="1" applyAlignment="1">
      <alignment horizontal="center"/>
    </xf>
    <xf numFmtId="0" fontId="5" fillId="3" borderId="26" xfId="0" applyFont="1" applyFill="1" applyBorder="1" applyAlignment="1">
      <alignment horizontal="center" vertical="center"/>
    </xf>
    <xf numFmtId="0" fontId="5" fillId="3" borderId="23" xfId="0" applyFont="1" applyFill="1" applyBorder="1" applyAlignment="1">
      <alignment horizontal="center" vertical="center"/>
    </xf>
    <xf numFmtId="0" fontId="5" fillId="3" borderId="25" xfId="0" applyFont="1" applyFill="1" applyBorder="1" applyAlignment="1">
      <alignment horizontal="center" vertical="center"/>
    </xf>
    <xf numFmtId="0" fontId="1" fillId="0" borderId="27"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1" fillId="0" borderId="8" xfId="0" applyFont="1" applyBorder="1" applyAlignment="1">
      <alignment horizontal="center"/>
    </xf>
    <xf numFmtId="0" fontId="6" fillId="5" borderId="18" xfId="0" applyFont="1" applyFill="1" applyBorder="1" applyAlignment="1" applyProtection="1">
      <alignment horizontal="center" vertical="center"/>
      <protection hidden="1"/>
    </xf>
    <xf numFmtId="0" fontId="6" fillId="5" borderId="28" xfId="0" applyFont="1" applyFill="1" applyBorder="1" applyAlignment="1" applyProtection="1">
      <alignment horizontal="center" vertical="center"/>
      <protection hidden="1"/>
    </xf>
    <xf numFmtId="0" fontId="18" fillId="9" borderId="0" xfId="0" quotePrefix="1" applyFont="1" applyFill="1" applyBorder="1" applyAlignment="1" applyProtection="1">
      <alignment horizontal="left" vertical="top" indent="5"/>
    </xf>
    <xf numFmtId="0" fontId="19" fillId="9" borderId="0" xfId="0" applyFont="1" applyFill="1" applyBorder="1" applyAlignment="1" applyProtection="1">
      <alignment horizontal="left" vertical="center"/>
    </xf>
    <xf numFmtId="0" fontId="20" fillId="9" borderId="0" xfId="0" applyFont="1" applyFill="1" applyBorder="1" applyAlignment="1" applyProtection="1">
      <alignment horizontal="right" vertical="top" wrapText="1"/>
    </xf>
    <xf numFmtId="0" fontId="21" fillId="9" borderId="0" xfId="0" quotePrefix="1" applyFont="1" applyFill="1" applyBorder="1" applyAlignment="1" applyProtection="1">
      <alignment horizontal="left" vertical="top" wrapText="1" indent="5"/>
    </xf>
    <xf numFmtId="0" fontId="20" fillId="9" borderId="0" xfId="0" applyFont="1" applyFill="1" applyBorder="1" applyAlignment="1" applyProtection="1">
      <alignment horizontal="left" vertical="top"/>
    </xf>
    <xf numFmtId="0" fontId="0" fillId="0" borderId="0" xfId="0" applyAlignment="1">
      <alignment horizontal="center"/>
    </xf>
    <xf numFmtId="0" fontId="0" fillId="0" borderId="23" xfId="0" applyBorder="1" applyAlignment="1">
      <alignment horizontal="center"/>
    </xf>
    <xf numFmtId="0" fontId="1" fillId="1" borderId="0" xfId="0" applyFont="1" applyFill="1" applyAlignment="1">
      <alignment horizontal="center"/>
    </xf>
    <xf numFmtId="0" fontId="0" fillId="1" borderId="0" xfId="0" applyFill="1" applyAlignment="1">
      <alignment horizontal="center"/>
    </xf>
    <xf numFmtId="0" fontId="4" fillId="0" borderId="0" xfId="0" applyFont="1" applyAlignment="1">
      <alignment horizontal="left" vertical="center"/>
    </xf>
    <xf numFmtId="3" fontId="13" fillId="0" borderId="0" xfId="0" applyNumberFormat="1" applyFont="1" applyAlignment="1" applyProtection="1">
      <alignment horizontal="right" vertical="center"/>
      <protection locked="0"/>
    </xf>
    <xf numFmtId="0" fontId="11" fillId="10" borderId="0" xfId="0" applyFont="1" applyFill="1" applyAlignment="1" applyProtection="1">
      <alignment horizontal="left" vertical="center"/>
      <protection locked="0"/>
    </xf>
    <xf numFmtId="0" fontId="0" fillId="1" borderId="31" xfId="0" applyFill="1" applyBorder="1" applyAlignment="1">
      <alignment horizontal="center"/>
    </xf>
    <xf numFmtId="0" fontId="12" fillId="0" borderId="0" xfId="0" applyFont="1" applyAlignment="1" applyProtection="1">
      <alignment horizontal="left" vertical="center"/>
      <protection locked="0"/>
    </xf>
    <xf numFmtId="0" fontId="0" fillId="0" borderId="0" xfId="0" applyAlignment="1" applyProtection="1">
      <alignment horizontal="left" vertical="center"/>
      <protection locked="0"/>
    </xf>
    <xf numFmtId="0" fontId="0" fillId="1" borderId="1" xfId="0" applyFill="1" applyBorder="1" applyAlignment="1">
      <alignment horizontal="center"/>
    </xf>
    <xf numFmtId="3" fontId="13" fillId="8" borderId="0" xfId="0" applyNumberFormat="1" applyFont="1" applyFill="1" applyAlignment="1" applyProtection="1">
      <alignment horizontal="right" vertical="center"/>
      <protection locked="0"/>
    </xf>
    <xf numFmtId="3" fontId="13" fillId="6" borderId="0" xfId="0" applyNumberFormat="1" applyFont="1" applyFill="1" applyAlignment="1" applyProtection="1">
      <alignment horizontal="right" vertical="center"/>
      <protection locked="0"/>
    </xf>
    <xf numFmtId="0" fontId="15" fillId="0" borderId="0" xfId="0" quotePrefix="1" applyFont="1" applyAlignment="1">
      <alignment horizontal="left" vertical="center"/>
    </xf>
    <xf numFmtId="3" fontId="25" fillId="8" borderId="0" xfId="0" applyNumberFormat="1" applyFont="1" applyFill="1" applyAlignment="1" applyProtection="1">
      <alignment horizontal="right" vertical="center"/>
      <protection locked="0"/>
    </xf>
    <xf numFmtId="0" fontId="24" fillId="0" borderId="0" xfId="0" applyFont="1" applyAlignment="1" applyProtection="1">
      <alignment horizontal="left" vertical="center"/>
      <protection locked="0"/>
    </xf>
    <xf numFmtId="0" fontId="26" fillId="0" borderId="0" xfId="0" quotePrefix="1" applyFont="1" applyAlignment="1">
      <alignment horizontal="left" vertical="center"/>
    </xf>
    <xf numFmtId="3" fontId="27" fillId="0" borderId="0" xfId="0" quotePrefix="1" applyNumberFormat="1" applyFont="1" applyAlignment="1" applyProtection="1">
      <alignment horizontal="right" vertical="center"/>
      <protection locked="0"/>
    </xf>
    <xf numFmtId="0" fontId="0" fillId="0" borderId="31" xfId="0" applyBorder="1" applyAlignment="1">
      <alignment horizontal="center"/>
    </xf>
    <xf numFmtId="3" fontId="25" fillId="0" borderId="0" xfId="0" applyNumberFormat="1" applyFont="1" applyAlignment="1" applyProtection="1">
      <alignment horizontal="right" vertical="center"/>
      <protection locked="0"/>
    </xf>
    <xf numFmtId="0" fontId="0" fillId="12" borderId="0" xfId="0" applyFill="1" applyAlignment="1" applyProtection="1">
      <alignment horizontal="left" vertical="center"/>
      <protection locked="0"/>
    </xf>
    <xf numFmtId="0" fontId="0" fillId="13" borderId="0" xfId="0" applyFill="1" applyAlignment="1" applyProtection="1">
      <alignment horizontal="left" vertical="center"/>
      <protection locked="0"/>
    </xf>
    <xf numFmtId="0" fontId="0" fillId="14" borderId="0" xfId="0" applyFill="1" applyAlignment="1" applyProtection="1">
      <alignment horizontal="left" vertical="center"/>
      <protection locked="0"/>
    </xf>
    <xf numFmtId="0" fontId="0" fillId="15" borderId="0" xfId="0" applyFill="1" applyAlignment="1" applyProtection="1">
      <alignment horizontal="left" vertical="center"/>
      <protection locked="0"/>
    </xf>
    <xf numFmtId="0" fontId="0" fillId="16" borderId="0" xfId="0" applyFill="1" applyAlignment="1" applyProtection="1">
      <alignment horizontal="left" vertical="center"/>
      <protection locked="0"/>
    </xf>
    <xf numFmtId="0" fontId="0" fillId="17" borderId="0" xfId="0" applyFill="1" applyAlignment="1" applyProtection="1">
      <alignment horizontal="left" vertical="center"/>
      <protection locked="0"/>
    </xf>
    <xf numFmtId="0" fontId="13" fillId="0" borderId="0" xfId="0" applyFont="1" applyAlignment="1" applyProtection="1">
      <alignment horizontal="right" vertical="center"/>
      <protection locked="0"/>
    </xf>
  </cellXfs>
  <cellStyles count="2">
    <cellStyle name="Accent6" xfId="1" builtinId="49"/>
    <cellStyle name="Normal" xfId="0" builtinId="0"/>
  </cellStyles>
  <dxfs count="0"/>
  <tableStyles count="0" defaultTableStyle="TableStyleMedium2" defaultPivotStyle="PivotStyleLight16"/>
  <colors>
    <mruColors>
      <color rgb="FF003283"/>
      <color rgb="FF970A82"/>
      <color rgb="FFFF9124"/>
      <color rgb="FF21A3F1"/>
      <color rgb="FF79B51A"/>
      <color rgb="FF008FD3"/>
      <color rgb="FF464646"/>
      <color rgb="FFF0AB00"/>
      <color rgb="FFE35500"/>
      <color rgb="FFB7B7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firstButton="1" fmlaLink="#REF!"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Radio" firstButton="1" lockText="1" noThreeD="1"/>
</file>

<file path=xl/ctrlProps/ctrlProp26.xml><?xml version="1.0" encoding="utf-8"?>
<formControlPr xmlns="http://schemas.microsoft.com/office/spreadsheetml/2009/9/main" objectType="Radio"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3.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image" Target="../media/image17.emf"/><Relationship Id="rId18" Type="http://schemas.openxmlformats.org/officeDocument/2006/relationships/image" Target="../media/image22.emf"/><Relationship Id="rId3" Type="http://schemas.openxmlformats.org/officeDocument/2006/relationships/image" Target="../media/image10.emf"/><Relationship Id="rId7" Type="http://schemas.openxmlformats.org/officeDocument/2006/relationships/image" Target="../media/image6.emf"/><Relationship Id="rId12" Type="http://schemas.openxmlformats.org/officeDocument/2006/relationships/image" Target="../media/image16.emf"/><Relationship Id="rId17" Type="http://schemas.openxmlformats.org/officeDocument/2006/relationships/image" Target="../media/image21.emf"/><Relationship Id="rId2" Type="http://schemas.openxmlformats.org/officeDocument/2006/relationships/image" Target="../media/image11.emf"/><Relationship Id="rId16" Type="http://schemas.openxmlformats.org/officeDocument/2006/relationships/image" Target="../media/image20.emf"/><Relationship Id="rId1" Type="http://schemas.openxmlformats.org/officeDocument/2006/relationships/image" Target="../media/image12.emf"/><Relationship Id="rId6" Type="http://schemas.openxmlformats.org/officeDocument/2006/relationships/image" Target="../media/image7.emf"/><Relationship Id="rId11" Type="http://schemas.openxmlformats.org/officeDocument/2006/relationships/image" Target="../media/image15.emf"/><Relationship Id="rId5" Type="http://schemas.openxmlformats.org/officeDocument/2006/relationships/image" Target="../media/image8.emf"/><Relationship Id="rId15" Type="http://schemas.openxmlformats.org/officeDocument/2006/relationships/image" Target="../media/image19.emf"/><Relationship Id="rId10" Type="http://schemas.openxmlformats.org/officeDocument/2006/relationships/image" Target="../media/image14.emf"/><Relationship Id="rId4" Type="http://schemas.openxmlformats.org/officeDocument/2006/relationships/image" Target="../media/image9.emf"/><Relationship Id="rId9" Type="http://schemas.openxmlformats.org/officeDocument/2006/relationships/image" Target="../media/image13.emf"/><Relationship Id="rId14"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70757</xdr:rowOff>
        </xdr:from>
        <xdr:to>
          <xdr:col>7</xdr:col>
          <xdr:colOff>1605643</xdr:colOff>
          <xdr:row>4</xdr:row>
          <xdr:rowOff>342900</xdr:rowOff>
        </xdr:to>
        <xdr:sp macro="" textlink="">
          <xdr:nvSpPr>
            <xdr:cNvPr id="6145" name="cbApplyLevelFormatting" hidden="1">
              <a:extLst>
                <a:ext uri="{63B3BB69-23CF-44E3-9099-C40C66FF867C}">
                  <a14:compatExt spid="_x0000_s6145"/>
                </a:ext>
                <a:ext uri="{FF2B5EF4-FFF2-40B4-BE49-F238E27FC236}">
                  <a16:creationId xmlns:a16="http://schemas.microsoft.com/office/drawing/2014/main" id="{3751E3D5-3971-4021-9021-EB6877B124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2803071</xdr:colOff>
          <xdr:row>6</xdr:row>
          <xdr:rowOff>0</xdr:rowOff>
        </xdr:to>
        <xdr:sp macro="" textlink="">
          <xdr:nvSpPr>
            <xdr:cNvPr id="6146" name="Group Box 2" hidden="1">
              <a:extLst>
                <a:ext uri="{63B3BB69-23CF-44E3-9099-C40C66FF867C}">
                  <a14:compatExt spid="_x0000_s6146"/>
                </a:ext>
                <a:ext uri="{FF2B5EF4-FFF2-40B4-BE49-F238E27FC236}">
                  <a16:creationId xmlns:a16="http://schemas.microsoft.com/office/drawing/2014/main" id="{B2A44A78-BDEB-47D9-B322-C30267D53EF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489857</xdr:colOff>
          <xdr:row>5</xdr:row>
          <xdr:rowOff>59871</xdr:rowOff>
        </xdr:from>
        <xdr:to>
          <xdr:col>3</xdr:col>
          <xdr:colOff>2623457</xdr:colOff>
          <xdr:row>5</xdr:row>
          <xdr:rowOff>272143</xdr:rowOff>
        </xdr:to>
        <xdr:sp macro="" textlink="">
          <xdr:nvSpPr>
            <xdr:cNvPr id="6147" name="obLevelRowFirst" hidden="1">
              <a:extLst>
                <a:ext uri="{63B3BB69-23CF-44E3-9099-C40C66FF867C}">
                  <a14:compatExt spid="_x0000_s6147"/>
                </a:ext>
                <a:ext uri="{FF2B5EF4-FFF2-40B4-BE49-F238E27FC236}">
                  <a16:creationId xmlns:a16="http://schemas.microsoft.com/office/drawing/2014/main" id="{B065F103-DC6B-43B4-B624-6EA4BA7FDCF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5</xdr:row>
          <xdr:rowOff>59871</xdr:rowOff>
        </xdr:from>
        <xdr:to>
          <xdr:col>3</xdr:col>
          <xdr:colOff>457200</xdr:colOff>
          <xdr:row>5</xdr:row>
          <xdr:rowOff>272143</xdr:rowOff>
        </xdr:to>
        <xdr:sp macro="" textlink="">
          <xdr:nvSpPr>
            <xdr:cNvPr id="6148" name="obLevelColumnFirst" hidden="1">
              <a:extLst>
                <a:ext uri="{63B3BB69-23CF-44E3-9099-C40C66FF867C}">
                  <a14:compatExt spid="_x0000_s6148"/>
                </a:ext>
                <a:ext uri="{FF2B5EF4-FFF2-40B4-BE49-F238E27FC236}">
                  <a16:creationId xmlns:a16="http://schemas.microsoft.com/office/drawing/2014/main" id="{1AEF036D-C985-4A2A-9765-346DD98C4C7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2748643</xdr:colOff>
          <xdr:row>5</xdr:row>
          <xdr:rowOff>0</xdr:rowOff>
        </xdr:from>
        <xdr:to>
          <xdr:col>8</xdr:col>
          <xdr:colOff>190500</xdr:colOff>
          <xdr:row>6</xdr:row>
          <xdr:rowOff>0</xdr:rowOff>
        </xdr:to>
        <xdr:sp macro="" textlink="">
          <xdr:nvSpPr>
            <xdr:cNvPr id="6149" name="Group Box 5" hidden="1">
              <a:extLst>
                <a:ext uri="{63B3BB69-23CF-44E3-9099-C40C66FF867C}">
                  <a14:compatExt spid="_x0000_s6149"/>
                </a:ext>
                <a:ext uri="{FF2B5EF4-FFF2-40B4-BE49-F238E27FC236}">
                  <a16:creationId xmlns:a16="http://schemas.microsoft.com/office/drawing/2014/main" id="{78B0766C-1C9B-4F8F-823E-9C99EBCDA50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12</xdr:row>
          <xdr:rowOff>0</xdr:rowOff>
        </xdr:from>
        <xdr:to>
          <xdr:col>12</xdr:col>
          <xdr:colOff>5443</xdr:colOff>
          <xdr:row>14</xdr:row>
          <xdr:rowOff>0</xdr:rowOff>
        </xdr:to>
        <xdr:sp macro="" textlink="">
          <xdr:nvSpPr>
            <xdr:cNvPr id="6150" name="Group Box 6" hidden="1">
              <a:extLst>
                <a:ext uri="{63B3BB69-23CF-44E3-9099-C40C66FF867C}">
                  <a14:compatExt spid="_x0000_s6150"/>
                </a:ext>
                <a:ext uri="{FF2B5EF4-FFF2-40B4-BE49-F238E27FC236}">
                  <a16:creationId xmlns:a16="http://schemas.microsoft.com/office/drawing/2014/main" id="{2567C836-C5BB-42FE-B230-A910978E2B6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14</xdr:row>
          <xdr:rowOff>195943</xdr:rowOff>
        </xdr:from>
        <xdr:to>
          <xdr:col>2</xdr:col>
          <xdr:colOff>1028700</xdr:colOff>
          <xdr:row>17</xdr:row>
          <xdr:rowOff>38100</xdr:rowOff>
        </xdr:to>
        <xdr:sp macro="" textlink="">
          <xdr:nvSpPr>
            <xdr:cNvPr id="6151" name="cbUseDefaultLevelFirst" hidden="1">
              <a:extLst>
                <a:ext uri="{63B3BB69-23CF-44E3-9099-C40C66FF867C}">
                  <a14:compatExt spid="_x0000_s6151"/>
                </a:ext>
                <a:ext uri="{FF2B5EF4-FFF2-40B4-BE49-F238E27FC236}">
                  <a16:creationId xmlns:a16="http://schemas.microsoft.com/office/drawing/2014/main" id="{9AC27E8B-3D62-4532-9998-862B2078809E}"/>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212271</xdr:colOff>
          <xdr:row>6</xdr:row>
          <xdr:rowOff>0</xdr:rowOff>
        </xdr:from>
        <xdr:to>
          <xdr:col>12</xdr:col>
          <xdr:colOff>5443</xdr:colOff>
          <xdr:row>8</xdr:row>
          <xdr:rowOff>0</xdr:rowOff>
        </xdr:to>
        <xdr:sp macro="" textlink="">
          <xdr:nvSpPr>
            <xdr:cNvPr id="6152" name="Group Box 8" hidden="1">
              <a:extLst>
                <a:ext uri="{63B3BB69-23CF-44E3-9099-C40C66FF867C}">
                  <a14:compatExt spid="_x0000_s6152"/>
                </a:ext>
                <a:ext uri="{FF2B5EF4-FFF2-40B4-BE49-F238E27FC236}">
                  <a16:creationId xmlns:a16="http://schemas.microsoft.com/office/drawing/2014/main" id="{493B2FA4-1DDC-495F-A819-2D3D16A76A4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9</xdr:row>
          <xdr:rowOff>0</xdr:rowOff>
        </xdr:from>
        <xdr:to>
          <xdr:col>2</xdr:col>
          <xdr:colOff>1028700</xdr:colOff>
          <xdr:row>11</xdr:row>
          <xdr:rowOff>38100</xdr:rowOff>
        </xdr:to>
        <xdr:sp macro="" textlink="">
          <xdr:nvSpPr>
            <xdr:cNvPr id="6153" name="cbUseDefaultLevelSecond" hidden="1">
              <a:extLst>
                <a:ext uri="{63B3BB69-23CF-44E3-9099-C40C66FF867C}">
                  <a14:compatExt spid="_x0000_s6153"/>
                </a:ext>
                <a:ext uri="{FF2B5EF4-FFF2-40B4-BE49-F238E27FC236}">
                  <a16:creationId xmlns:a16="http://schemas.microsoft.com/office/drawing/2014/main" id="{382543C6-5770-400C-8578-8CC650B41A9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478971</xdr:colOff>
          <xdr:row>21</xdr:row>
          <xdr:rowOff>70757</xdr:rowOff>
        </xdr:from>
        <xdr:to>
          <xdr:col>9</xdr:col>
          <xdr:colOff>604157</xdr:colOff>
          <xdr:row>21</xdr:row>
          <xdr:rowOff>342900</xdr:rowOff>
        </xdr:to>
        <xdr:sp macro="" textlink="">
          <xdr:nvSpPr>
            <xdr:cNvPr id="6154" name="cbApplyMemberFormatting" hidden="1">
              <a:extLst>
                <a:ext uri="{63B3BB69-23CF-44E3-9099-C40C66FF867C}">
                  <a14:compatExt spid="_x0000_s6154"/>
                </a:ext>
                <a:ext uri="{FF2B5EF4-FFF2-40B4-BE49-F238E27FC236}">
                  <a16:creationId xmlns:a16="http://schemas.microsoft.com/office/drawing/2014/main" id="{F556AD08-AB90-437B-AD93-1058E6AF70D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11</xdr:col>
          <xdr:colOff>1295400</xdr:colOff>
          <xdr:row>23</xdr:row>
          <xdr:rowOff>0</xdr:rowOff>
        </xdr:to>
        <xdr:sp macro="" textlink="">
          <xdr:nvSpPr>
            <xdr:cNvPr id="6155" name="Group Box 11" hidden="1">
              <a:extLst>
                <a:ext uri="{63B3BB69-23CF-44E3-9099-C40C66FF867C}">
                  <a14:compatExt spid="_x0000_s6155"/>
                </a:ext>
                <a:ext uri="{FF2B5EF4-FFF2-40B4-BE49-F238E27FC236}">
                  <a16:creationId xmlns:a16="http://schemas.microsoft.com/office/drawing/2014/main" id="{1EB3A6CA-50E0-40ED-AFBB-29968F9216A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489857</xdr:colOff>
          <xdr:row>22</xdr:row>
          <xdr:rowOff>59871</xdr:rowOff>
        </xdr:from>
        <xdr:to>
          <xdr:col>3</xdr:col>
          <xdr:colOff>2623457</xdr:colOff>
          <xdr:row>22</xdr:row>
          <xdr:rowOff>272143</xdr:rowOff>
        </xdr:to>
        <xdr:sp macro="" textlink="">
          <xdr:nvSpPr>
            <xdr:cNvPr id="6156" name="obMemberRowFirst" hidden="1">
              <a:extLst>
                <a:ext uri="{63B3BB69-23CF-44E3-9099-C40C66FF867C}">
                  <a14:compatExt spid="_x0000_s6156"/>
                </a:ext>
                <a:ext uri="{FF2B5EF4-FFF2-40B4-BE49-F238E27FC236}">
                  <a16:creationId xmlns:a16="http://schemas.microsoft.com/office/drawing/2014/main" id="{C722E1EE-A976-4568-B2FD-803E16BA3C9E}"/>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22</xdr:row>
          <xdr:rowOff>59871</xdr:rowOff>
        </xdr:from>
        <xdr:to>
          <xdr:col>3</xdr:col>
          <xdr:colOff>457200</xdr:colOff>
          <xdr:row>22</xdr:row>
          <xdr:rowOff>272143</xdr:rowOff>
        </xdr:to>
        <xdr:sp macro="" textlink="">
          <xdr:nvSpPr>
            <xdr:cNvPr id="6157" name="obMemberColumnFirst" hidden="1">
              <a:extLst>
                <a:ext uri="{63B3BB69-23CF-44E3-9099-C40C66FF867C}">
                  <a14:compatExt spid="_x0000_s6157"/>
                </a:ext>
                <a:ext uri="{FF2B5EF4-FFF2-40B4-BE49-F238E27FC236}">
                  <a16:creationId xmlns:a16="http://schemas.microsoft.com/office/drawing/2014/main" id="{7DBA8D33-E924-4B1F-BC90-0A577D23987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25</xdr:row>
          <xdr:rowOff>0</xdr:rowOff>
        </xdr:from>
        <xdr:to>
          <xdr:col>2</xdr:col>
          <xdr:colOff>1028700</xdr:colOff>
          <xdr:row>28</xdr:row>
          <xdr:rowOff>0</xdr:rowOff>
        </xdr:to>
        <xdr:sp macro="" textlink="">
          <xdr:nvSpPr>
            <xdr:cNvPr id="6158" name="cbApplyCalculatedMemberFirst" hidden="1">
              <a:extLst>
                <a:ext uri="{63B3BB69-23CF-44E3-9099-C40C66FF867C}">
                  <a14:compatExt spid="_x0000_s6158"/>
                </a:ext>
                <a:ext uri="{FF2B5EF4-FFF2-40B4-BE49-F238E27FC236}">
                  <a16:creationId xmlns:a16="http://schemas.microsoft.com/office/drawing/2014/main" id="{F4BFBA24-7D74-4FF5-9690-7D8E3FFE062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28</xdr:row>
          <xdr:rowOff>0</xdr:rowOff>
        </xdr:from>
        <xdr:to>
          <xdr:col>2</xdr:col>
          <xdr:colOff>1028700</xdr:colOff>
          <xdr:row>30</xdr:row>
          <xdr:rowOff>38100</xdr:rowOff>
        </xdr:to>
        <xdr:sp macro="" textlink="">
          <xdr:nvSpPr>
            <xdr:cNvPr id="6159" name="cbApplyImputableMemberFirst" hidden="1">
              <a:extLst>
                <a:ext uri="{63B3BB69-23CF-44E3-9099-C40C66FF867C}">
                  <a14:compatExt spid="_x0000_s6159"/>
                </a:ext>
                <a:ext uri="{FF2B5EF4-FFF2-40B4-BE49-F238E27FC236}">
                  <a16:creationId xmlns:a16="http://schemas.microsoft.com/office/drawing/2014/main" id="{71A625DF-2F24-4FF3-B67E-A005D283FB4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31</xdr:row>
          <xdr:rowOff>0</xdr:rowOff>
        </xdr:from>
        <xdr:to>
          <xdr:col>2</xdr:col>
          <xdr:colOff>1028700</xdr:colOff>
          <xdr:row>33</xdr:row>
          <xdr:rowOff>38100</xdr:rowOff>
        </xdr:to>
        <xdr:sp macro="" textlink="">
          <xdr:nvSpPr>
            <xdr:cNvPr id="6160" name="cbApplyLocalMemberFirst" hidden="1">
              <a:extLst>
                <a:ext uri="{63B3BB69-23CF-44E3-9099-C40C66FF867C}">
                  <a14:compatExt spid="_x0000_s6160"/>
                </a:ext>
                <a:ext uri="{FF2B5EF4-FFF2-40B4-BE49-F238E27FC236}">
                  <a16:creationId xmlns:a16="http://schemas.microsoft.com/office/drawing/2014/main" id="{07C82B3E-5981-4AC2-BDD3-75D86FFC18C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34</xdr:row>
          <xdr:rowOff>0</xdr:rowOff>
        </xdr:from>
        <xdr:to>
          <xdr:col>2</xdr:col>
          <xdr:colOff>1028700</xdr:colOff>
          <xdr:row>36</xdr:row>
          <xdr:rowOff>38100</xdr:rowOff>
        </xdr:to>
        <xdr:sp macro="" textlink="">
          <xdr:nvSpPr>
            <xdr:cNvPr id="6161" name="cbApplyChangedMemberFirst" hidden="1">
              <a:extLst>
                <a:ext uri="{63B3BB69-23CF-44E3-9099-C40C66FF867C}">
                  <a14:compatExt spid="_x0000_s6161"/>
                </a:ext>
                <a:ext uri="{FF2B5EF4-FFF2-40B4-BE49-F238E27FC236}">
                  <a16:creationId xmlns:a16="http://schemas.microsoft.com/office/drawing/2014/main" id="{8B1EFB60-4D60-4E6B-906E-B76640AED48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37</xdr:row>
          <xdr:rowOff>43543</xdr:rowOff>
        </xdr:from>
        <xdr:to>
          <xdr:col>2</xdr:col>
          <xdr:colOff>1028700</xdr:colOff>
          <xdr:row>39</xdr:row>
          <xdr:rowOff>0</xdr:rowOff>
        </xdr:to>
        <xdr:sp macro="" textlink="">
          <xdr:nvSpPr>
            <xdr:cNvPr id="6162" name="cbApplySpecificMemberFirst" hidden="1">
              <a:extLst>
                <a:ext uri="{63B3BB69-23CF-44E3-9099-C40C66FF867C}">
                  <a14:compatExt spid="_x0000_s6162"/>
                </a:ext>
                <a:ext uri="{FF2B5EF4-FFF2-40B4-BE49-F238E27FC236}">
                  <a16:creationId xmlns:a16="http://schemas.microsoft.com/office/drawing/2014/main" id="{ED20FFBE-C59A-4FB0-9F12-4849A802BBA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45</xdr:row>
          <xdr:rowOff>21771</xdr:rowOff>
        </xdr:from>
        <xdr:to>
          <xdr:col>3</xdr:col>
          <xdr:colOff>4288971</xdr:colOff>
          <xdr:row>45</xdr:row>
          <xdr:rowOff>266700</xdr:rowOff>
        </xdr:to>
        <xdr:sp macro="" textlink="">
          <xdr:nvSpPr>
            <xdr:cNvPr id="6163" name="AddMemberFirst" hidden="1">
              <a:extLst>
                <a:ext uri="{63B3BB69-23CF-44E3-9099-C40C66FF867C}">
                  <a14:compatExt spid="_x0000_s6163"/>
                </a:ext>
                <a:ext uri="{FF2B5EF4-FFF2-40B4-BE49-F238E27FC236}">
                  <a16:creationId xmlns:a16="http://schemas.microsoft.com/office/drawing/2014/main" id="{ABCA8AA0-5803-4DFA-917B-E845EF6C2FBB}"/>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49</xdr:row>
          <xdr:rowOff>0</xdr:rowOff>
        </xdr:from>
        <xdr:to>
          <xdr:col>2</xdr:col>
          <xdr:colOff>1028700</xdr:colOff>
          <xdr:row>52</xdr:row>
          <xdr:rowOff>0</xdr:rowOff>
        </xdr:to>
        <xdr:sp macro="" textlink="">
          <xdr:nvSpPr>
            <xdr:cNvPr id="6164" name="cbApplyCalculatedMemberSecond" hidden="1">
              <a:extLst>
                <a:ext uri="{63B3BB69-23CF-44E3-9099-C40C66FF867C}">
                  <a14:compatExt spid="_x0000_s6164"/>
                </a:ext>
                <a:ext uri="{FF2B5EF4-FFF2-40B4-BE49-F238E27FC236}">
                  <a16:creationId xmlns:a16="http://schemas.microsoft.com/office/drawing/2014/main" id="{311C372B-8491-42A1-B276-5F5EC0E9001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52</xdr:row>
          <xdr:rowOff>0</xdr:rowOff>
        </xdr:from>
        <xdr:to>
          <xdr:col>2</xdr:col>
          <xdr:colOff>1028700</xdr:colOff>
          <xdr:row>54</xdr:row>
          <xdr:rowOff>38100</xdr:rowOff>
        </xdr:to>
        <xdr:sp macro="" textlink="">
          <xdr:nvSpPr>
            <xdr:cNvPr id="6165" name="cbApplyImputableMemberSecond" hidden="1">
              <a:extLst>
                <a:ext uri="{63B3BB69-23CF-44E3-9099-C40C66FF867C}">
                  <a14:compatExt spid="_x0000_s6165"/>
                </a:ext>
                <a:ext uri="{FF2B5EF4-FFF2-40B4-BE49-F238E27FC236}">
                  <a16:creationId xmlns:a16="http://schemas.microsoft.com/office/drawing/2014/main" id="{8E31DB72-8098-4A0A-AADE-DBF6E18A14FE}"/>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55</xdr:row>
          <xdr:rowOff>0</xdr:rowOff>
        </xdr:from>
        <xdr:to>
          <xdr:col>2</xdr:col>
          <xdr:colOff>1028700</xdr:colOff>
          <xdr:row>57</xdr:row>
          <xdr:rowOff>38100</xdr:rowOff>
        </xdr:to>
        <xdr:sp macro="" textlink="">
          <xdr:nvSpPr>
            <xdr:cNvPr id="6166" name="cbApplyLocalMemberSecond" hidden="1">
              <a:extLst>
                <a:ext uri="{63B3BB69-23CF-44E3-9099-C40C66FF867C}">
                  <a14:compatExt spid="_x0000_s6166"/>
                </a:ext>
                <a:ext uri="{FF2B5EF4-FFF2-40B4-BE49-F238E27FC236}">
                  <a16:creationId xmlns:a16="http://schemas.microsoft.com/office/drawing/2014/main" id="{602E7836-74D8-44D3-A518-95A71ABF7C2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58</xdr:row>
          <xdr:rowOff>0</xdr:rowOff>
        </xdr:from>
        <xdr:to>
          <xdr:col>2</xdr:col>
          <xdr:colOff>1028700</xdr:colOff>
          <xdr:row>60</xdr:row>
          <xdr:rowOff>38100</xdr:rowOff>
        </xdr:to>
        <xdr:sp macro="" textlink="">
          <xdr:nvSpPr>
            <xdr:cNvPr id="6167" name="cbApplyChangedMemberSecond" hidden="1">
              <a:extLst>
                <a:ext uri="{63B3BB69-23CF-44E3-9099-C40C66FF867C}">
                  <a14:compatExt spid="_x0000_s6167"/>
                </a:ext>
                <a:ext uri="{FF2B5EF4-FFF2-40B4-BE49-F238E27FC236}">
                  <a16:creationId xmlns:a16="http://schemas.microsoft.com/office/drawing/2014/main" id="{3B4F138C-F658-45D0-8B5D-294B5CB5933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61</xdr:row>
          <xdr:rowOff>43543</xdr:rowOff>
        </xdr:from>
        <xdr:to>
          <xdr:col>2</xdr:col>
          <xdr:colOff>1028700</xdr:colOff>
          <xdr:row>63</xdr:row>
          <xdr:rowOff>0</xdr:rowOff>
        </xdr:to>
        <xdr:sp macro="" textlink="">
          <xdr:nvSpPr>
            <xdr:cNvPr id="6168" name="cbApplySpecificMemberSecond" hidden="1">
              <a:extLst>
                <a:ext uri="{63B3BB69-23CF-44E3-9099-C40C66FF867C}">
                  <a14:compatExt spid="_x0000_s6168"/>
                </a:ext>
                <a:ext uri="{FF2B5EF4-FFF2-40B4-BE49-F238E27FC236}">
                  <a16:creationId xmlns:a16="http://schemas.microsoft.com/office/drawing/2014/main" id="{DEEEDD6A-944C-4ED7-A609-162313103B7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59871</xdr:colOff>
          <xdr:row>84</xdr:row>
          <xdr:rowOff>21771</xdr:rowOff>
        </xdr:from>
        <xdr:to>
          <xdr:col>3</xdr:col>
          <xdr:colOff>4288971</xdr:colOff>
          <xdr:row>84</xdr:row>
          <xdr:rowOff>266700</xdr:rowOff>
        </xdr:to>
        <xdr:sp macro="" textlink="">
          <xdr:nvSpPr>
            <xdr:cNvPr id="6169" name="AddMemberSecond" hidden="1">
              <a:extLst>
                <a:ext uri="{63B3BB69-23CF-44E3-9099-C40C66FF867C}">
                  <a14:compatExt spid="_x0000_s6169"/>
                </a:ext>
                <a:ext uri="{FF2B5EF4-FFF2-40B4-BE49-F238E27FC236}">
                  <a16:creationId xmlns:a16="http://schemas.microsoft.com/office/drawing/2014/main" id="{0EEF472E-4A34-46A9-B92B-3C3B5BABCD6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88</xdr:row>
          <xdr:rowOff>70757</xdr:rowOff>
        </xdr:from>
        <xdr:to>
          <xdr:col>7</xdr:col>
          <xdr:colOff>1796143</xdr:colOff>
          <xdr:row>88</xdr:row>
          <xdr:rowOff>342900</xdr:rowOff>
        </xdr:to>
        <xdr:sp macro="" textlink="">
          <xdr:nvSpPr>
            <xdr:cNvPr id="6170" name="cbApplyOddEvenFormatting" hidden="1">
              <a:extLst>
                <a:ext uri="{63B3BB69-23CF-44E3-9099-C40C66FF867C}">
                  <a14:compatExt spid="_x0000_s6170"/>
                </a:ext>
                <a:ext uri="{FF2B5EF4-FFF2-40B4-BE49-F238E27FC236}">
                  <a16:creationId xmlns:a16="http://schemas.microsoft.com/office/drawing/2014/main" id="{31DD932E-896D-4C5E-B17E-938AEE8A80B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89</xdr:row>
          <xdr:rowOff>0</xdr:rowOff>
        </xdr:from>
        <xdr:to>
          <xdr:col>11</xdr:col>
          <xdr:colOff>1295400</xdr:colOff>
          <xdr:row>90</xdr:row>
          <xdr:rowOff>0</xdr:rowOff>
        </xdr:to>
        <xdr:sp macro="" textlink="">
          <xdr:nvSpPr>
            <xdr:cNvPr id="6171" name="Group Box 27" hidden="1">
              <a:extLst>
                <a:ext uri="{63B3BB69-23CF-44E3-9099-C40C66FF867C}">
                  <a14:compatExt spid="_x0000_s6171"/>
                </a:ext>
                <a:ext uri="{FF2B5EF4-FFF2-40B4-BE49-F238E27FC236}">
                  <a16:creationId xmlns:a16="http://schemas.microsoft.com/office/drawing/2014/main" id="{4266DB2C-4717-41EF-9969-96489009C8F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36576" tIns="27432" rIns="0" bIns="0" anchor="t" upright="1"/>
            <a:lstStyle/>
            <a:p>
              <a:pPr algn="l" rtl="0">
                <a:defRPr sz="1000"/>
              </a:pPr>
              <a:r>
                <a:rPr lang="de-DE"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489857</xdr:colOff>
          <xdr:row>89</xdr:row>
          <xdr:rowOff>70757</xdr:rowOff>
        </xdr:from>
        <xdr:to>
          <xdr:col>3</xdr:col>
          <xdr:colOff>2623457</xdr:colOff>
          <xdr:row>89</xdr:row>
          <xdr:rowOff>272143</xdr:rowOff>
        </xdr:to>
        <xdr:sp macro="" textlink="">
          <xdr:nvSpPr>
            <xdr:cNvPr id="6172" name="obOddEvenRowFirst" hidden="1">
              <a:extLst>
                <a:ext uri="{63B3BB69-23CF-44E3-9099-C40C66FF867C}">
                  <a14:compatExt spid="_x0000_s6172"/>
                </a:ext>
                <a:ext uri="{FF2B5EF4-FFF2-40B4-BE49-F238E27FC236}">
                  <a16:creationId xmlns:a16="http://schemas.microsoft.com/office/drawing/2014/main" id="{BE3319E8-FE99-43B0-B749-317F4EDDE3CD}"/>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212271</xdr:colOff>
          <xdr:row>89</xdr:row>
          <xdr:rowOff>70757</xdr:rowOff>
        </xdr:from>
        <xdr:to>
          <xdr:col>3</xdr:col>
          <xdr:colOff>457200</xdr:colOff>
          <xdr:row>89</xdr:row>
          <xdr:rowOff>272143</xdr:rowOff>
        </xdr:to>
        <xdr:sp macro="" textlink="">
          <xdr:nvSpPr>
            <xdr:cNvPr id="6173" name="obOddEvenColumnFirst" hidden="1">
              <a:extLst>
                <a:ext uri="{63B3BB69-23CF-44E3-9099-C40C66FF867C}">
                  <a14:compatExt spid="_x0000_s6173"/>
                </a:ext>
                <a:ext uri="{FF2B5EF4-FFF2-40B4-BE49-F238E27FC236}">
                  <a16:creationId xmlns:a16="http://schemas.microsoft.com/office/drawing/2014/main" id="{98D52CA2-0A23-48F6-BFA2-683E4D3298B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92</xdr:row>
          <xdr:rowOff>0</xdr:rowOff>
        </xdr:from>
        <xdr:to>
          <xdr:col>2</xdr:col>
          <xdr:colOff>1028700</xdr:colOff>
          <xdr:row>94</xdr:row>
          <xdr:rowOff>38100</xdr:rowOff>
        </xdr:to>
        <xdr:sp macro="" textlink="">
          <xdr:nvSpPr>
            <xdr:cNvPr id="6174" name="cbUseOddFirst" hidden="1">
              <a:extLst>
                <a:ext uri="{63B3BB69-23CF-44E3-9099-C40C66FF867C}">
                  <a14:compatExt spid="_x0000_s6174"/>
                </a:ext>
                <a:ext uri="{FF2B5EF4-FFF2-40B4-BE49-F238E27FC236}">
                  <a16:creationId xmlns:a16="http://schemas.microsoft.com/office/drawing/2014/main" id="{42EFBAE2-181F-4D24-96D6-0687A6E3951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95</xdr:row>
          <xdr:rowOff>0</xdr:rowOff>
        </xdr:from>
        <xdr:to>
          <xdr:col>2</xdr:col>
          <xdr:colOff>1028700</xdr:colOff>
          <xdr:row>97</xdr:row>
          <xdr:rowOff>38100</xdr:rowOff>
        </xdr:to>
        <xdr:sp macro="" textlink="">
          <xdr:nvSpPr>
            <xdr:cNvPr id="6175" name="cbUseEvenFirst" hidden="1">
              <a:extLst>
                <a:ext uri="{63B3BB69-23CF-44E3-9099-C40C66FF867C}">
                  <a14:compatExt spid="_x0000_s6175"/>
                </a:ext>
                <a:ext uri="{FF2B5EF4-FFF2-40B4-BE49-F238E27FC236}">
                  <a16:creationId xmlns:a16="http://schemas.microsoft.com/office/drawing/2014/main" id="{BFE187B1-18B7-43FC-A930-6199899C409B}"/>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100</xdr:row>
          <xdr:rowOff>0</xdr:rowOff>
        </xdr:from>
        <xdr:to>
          <xdr:col>2</xdr:col>
          <xdr:colOff>1028700</xdr:colOff>
          <xdr:row>102</xdr:row>
          <xdr:rowOff>38100</xdr:rowOff>
        </xdr:to>
        <xdr:sp macro="" textlink="">
          <xdr:nvSpPr>
            <xdr:cNvPr id="6176" name="cbUseOddSecond" hidden="1">
              <a:extLst>
                <a:ext uri="{63B3BB69-23CF-44E3-9099-C40C66FF867C}">
                  <a14:compatExt spid="_x0000_s6176"/>
                </a:ext>
                <a:ext uri="{FF2B5EF4-FFF2-40B4-BE49-F238E27FC236}">
                  <a16:creationId xmlns:a16="http://schemas.microsoft.com/office/drawing/2014/main" id="{E9FC438F-1C4F-462B-94E3-EDA6A812909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119743</xdr:colOff>
          <xdr:row>102</xdr:row>
          <xdr:rowOff>43543</xdr:rowOff>
        </xdr:from>
        <xdr:to>
          <xdr:col>2</xdr:col>
          <xdr:colOff>1028700</xdr:colOff>
          <xdr:row>105</xdr:row>
          <xdr:rowOff>38100</xdr:rowOff>
        </xdr:to>
        <xdr:sp macro="" textlink="">
          <xdr:nvSpPr>
            <xdr:cNvPr id="6177" name="cbUseEvenSecond" hidden="1">
              <a:extLst>
                <a:ext uri="{63B3BB69-23CF-44E3-9099-C40C66FF867C}">
                  <a14:compatExt spid="_x0000_s6177"/>
                </a:ext>
                <a:ext uri="{FF2B5EF4-FFF2-40B4-BE49-F238E27FC236}">
                  <a16:creationId xmlns:a16="http://schemas.microsoft.com/office/drawing/2014/main" id="{CE4DF417-11C2-41BD-8791-1EF93E92B99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36576" tIns="27432" rIns="0" bIns="27432"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63</xdr:row>
          <xdr:rowOff>43543</xdr:rowOff>
        </xdr:from>
        <xdr:to>
          <xdr:col>12</xdr:col>
          <xdr:colOff>691243</xdr:colOff>
          <xdr:row>64</xdr:row>
          <xdr:rowOff>190500</xdr:rowOff>
        </xdr:to>
        <xdr:sp macro="" textlink="">
          <xdr:nvSpPr>
            <xdr:cNvPr id="6178" name="AddedMember2_1" hidden="1">
              <a:extLst>
                <a:ext uri="{63B3BB69-23CF-44E3-9099-C40C66FF867C}">
                  <a14:compatExt spid="_x0000_s6178"/>
                </a:ext>
                <a:ext uri="{FF2B5EF4-FFF2-40B4-BE49-F238E27FC236}">
                  <a16:creationId xmlns:a16="http://schemas.microsoft.com/office/drawing/2014/main" id="{5B941E7F-2298-45BD-9DA8-3F033AC9FF2D}"/>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63</xdr:row>
          <xdr:rowOff>43543</xdr:rowOff>
        </xdr:from>
        <xdr:to>
          <xdr:col>13</xdr:col>
          <xdr:colOff>691243</xdr:colOff>
          <xdr:row>64</xdr:row>
          <xdr:rowOff>190500</xdr:rowOff>
        </xdr:to>
        <xdr:sp macro="" textlink="">
          <xdr:nvSpPr>
            <xdr:cNvPr id="6179" name="ChangeMember2_1" hidden="1">
              <a:extLst>
                <a:ext uri="{63B3BB69-23CF-44E3-9099-C40C66FF867C}">
                  <a14:compatExt spid="_x0000_s6179"/>
                </a:ext>
                <a:ext uri="{FF2B5EF4-FFF2-40B4-BE49-F238E27FC236}">
                  <a16:creationId xmlns:a16="http://schemas.microsoft.com/office/drawing/2014/main" id="{30585B68-13CC-4EFE-ABB1-BEB96AADD8E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63</xdr:row>
          <xdr:rowOff>43543</xdr:rowOff>
        </xdr:from>
        <xdr:to>
          <xdr:col>14</xdr:col>
          <xdr:colOff>691243</xdr:colOff>
          <xdr:row>64</xdr:row>
          <xdr:rowOff>190500</xdr:rowOff>
        </xdr:to>
        <xdr:sp macro="" textlink="">
          <xdr:nvSpPr>
            <xdr:cNvPr id="6180" name="UpMember2_1" hidden="1">
              <a:extLst>
                <a:ext uri="{63B3BB69-23CF-44E3-9099-C40C66FF867C}">
                  <a14:compatExt spid="_x0000_s6180"/>
                </a:ext>
                <a:ext uri="{FF2B5EF4-FFF2-40B4-BE49-F238E27FC236}">
                  <a16:creationId xmlns:a16="http://schemas.microsoft.com/office/drawing/2014/main" id="{16733CC3-94EC-4814-9B21-5E7F8EB1D41D}"/>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707571</xdr:colOff>
          <xdr:row>63</xdr:row>
          <xdr:rowOff>43543</xdr:rowOff>
        </xdr:from>
        <xdr:to>
          <xdr:col>15</xdr:col>
          <xdr:colOff>691243</xdr:colOff>
          <xdr:row>64</xdr:row>
          <xdr:rowOff>190500</xdr:rowOff>
        </xdr:to>
        <xdr:sp macro="" textlink="">
          <xdr:nvSpPr>
            <xdr:cNvPr id="6181" name="DownMember2_1" hidden="1">
              <a:extLst>
                <a:ext uri="{63B3BB69-23CF-44E3-9099-C40C66FF867C}">
                  <a14:compatExt spid="_x0000_s6181"/>
                </a:ext>
                <a:ext uri="{FF2B5EF4-FFF2-40B4-BE49-F238E27FC236}">
                  <a16:creationId xmlns:a16="http://schemas.microsoft.com/office/drawing/2014/main" id="{4A152975-A83A-4DBF-9235-5A9A2AB536D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67</xdr:row>
          <xdr:rowOff>0</xdr:rowOff>
        </xdr:from>
        <xdr:to>
          <xdr:col>12</xdr:col>
          <xdr:colOff>707571</xdr:colOff>
          <xdr:row>68</xdr:row>
          <xdr:rowOff>0</xdr:rowOff>
        </xdr:to>
        <xdr:sp macro="" textlink="">
          <xdr:nvSpPr>
            <xdr:cNvPr id="6182" name="AddedMember2_2" hidden="1">
              <a:extLst>
                <a:ext uri="{63B3BB69-23CF-44E3-9099-C40C66FF867C}">
                  <a14:compatExt spid="_x0000_s6182"/>
                </a:ext>
                <a:ext uri="{FF2B5EF4-FFF2-40B4-BE49-F238E27FC236}">
                  <a16:creationId xmlns:a16="http://schemas.microsoft.com/office/drawing/2014/main" id="{DFEC2E5F-A931-430A-96C4-01CB0678D1CC}"/>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67</xdr:row>
          <xdr:rowOff>0</xdr:rowOff>
        </xdr:from>
        <xdr:to>
          <xdr:col>13</xdr:col>
          <xdr:colOff>707571</xdr:colOff>
          <xdr:row>68</xdr:row>
          <xdr:rowOff>0</xdr:rowOff>
        </xdr:to>
        <xdr:sp macro="" textlink="">
          <xdr:nvSpPr>
            <xdr:cNvPr id="6183" name="ChangeMember2_2" hidden="1">
              <a:extLst>
                <a:ext uri="{63B3BB69-23CF-44E3-9099-C40C66FF867C}">
                  <a14:compatExt spid="_x0000_s6183"/>
                </a:ext>
                <a:ext uri="{FF2B5EF4-FFF2-40B4-BE49-F238E27FC236}">
                  <a16:creationId xmlns:a16="http://schemas.microsoft.com/office/drawing/2014/main" id="{292A4811-FB46-4B5A-B849-EB60A1A857B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67</xdr:row>
          <xdr:rowOff>0</xdr:rowOff>
        </xdr:from>
        <xdr:to>
          <xdr:col>14</xdr:col>
          <xdr:colOff>707571</xdr:colOff>
          <xdr:row>68</xdr:row>
          <xdr:rowOff>0</xdr:rowOff>
        </xdr:to>
        <xdr:sp macro="" textlink="">
          <xdr:nvSpPr>
            <xdr:cNvPr id="6184" name="UpMember2_2" hidden="1">
              <a:extLst>
                <a:ext uri="{63B3BB69-23CF-44E3-9099-C40C66FF867C}">
                  <a14:compatExt spid="_x0000_s6184"/>
                </a:ext>
                <a:ext uri="{FF2B5EF4-FFF2-40B4-BE49-F238E27FC236}">
                  <a16:creationId xmlns:a16="http://schemas.microsoft.com/office/drawing/2014/main" id="{EBDBBC45-D314-4B77-8057-AA09E135A62A}"/>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67</xdr:row>
          <xdr:rowOff>0</xdr:rowOff>
        </xdr:from>
        <xdr:to>
          <xdr:col>16</xdr:col>
          <xdr:colOff>0</xdr:colOff>
          <xdr:row>68</xdr:row>
          <xdr:rowOff>0</xdr:rowOff>
        </xdr:to>
        <xdr:sp macro="" textlink="">
          <xdr:nvSpPr>
            <xdr:cNvPr id="6185" name="DownMember2_2" hidden="1">
              <a:extLst>
                <a:ext uri="{63B3BB69-23CF-44E3-9099-C40C66FF867C}">
                  <a14:compatExt spid="_x0000_s6185"/>
                </a:ext>
                <a:ext uri="{FF2B5EF4-FFF2-40B4-BE49-F238E27FC236}">
                  <a16:creationId xmlns:a16="http://schemas.microsoft.com/office/drawing/2014/main" id="{B9E087FA-3362-4BB2-8D8B-761B4373530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69</xdr:row>
          <xdr:rowOff>59871</xdr:rowOff>
        </xdr:from>
        <xdr:to>
          <xdr:col>12</xdr:col>
          <xdr:colOff>707571</xdr:colOff>
          <xdr:row>71</xdr:row>
          <xdr:rowOff>0</xdr:rowOff>
        </xdr:to>
        <xdr:sp macro="" textlink="">
          <xdr:nvSpPr>
            <xdr:cNvPr id="6186" name="AddedMember2_3" hidden="1">
              <a:extLst>
                <a:ext uri="{63B3BB69-23CF-44E3-9099-C40C66FF867C}">
                  <a14:compatExt spid="_x0000_s6186"/>
                </a:ext>
                <a:ext uri="{FF2B5EF4-FFF2-40B4-BE49-F238E27FC236}">
                  <a16:creationId xmlns:a16="http://schemas.microsoft.com/office/drawing/2014/main" id="{F5AC2818-38DB-4BEA-986A-6ED50834716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69</xdr:row>
          <xdr:rowOff>59871</xdr:rowOff>
        </xdr:from>
        <xdr:to>
          <xdr:col>13</xdr:col>
          <xdr:colOff>707571</xdr:colOff>
          <xdr:row>71</xdr:row>
          <xdr:rowOff>0</xdr:rowOff>
        </xdr:to>
        <xdr:sp macro="" textlink="">
          <xdr:nvSpPr>
            <xdr:cNvPr id="6187" name="ChangeMember2_3" hidden="1">
              <a:extLst>
                <a:ext uri="{63B3BB69-23CF-44E3-9099-C40C66FF867C}">
                  <a14:compatExt spid="_x0000_s6187"/>
                </a:ext>
                <a:ext uri="{FF2B5EF4-FFF2-40B4-BE49-F238E27FC236}">
                  <a16:creationId xmlns:a16="http://schemas.microsoft.com/office/drawing/2014/main" id="{748A7E34-387D-4C71-922A-5F90D9D0904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69</xdr:row>
          <xdr:rowOff>59871</xdr:rowOff>
        </xdr:from>
        <xdr:to>
          <xdr:col>14</xdr:col>
          <xdr:colOff>707571</xdr:colOff>
          <xdr:row>71</xdr:row>
          <xdr:rowOff>0</xdr:rowOff>
        </xdr:to>
        <xdr:sp macro="" textlink="">
          <xdr:nvSpPr>
            <xdr:cNvPr id="6188" name="UpMember2_3" hidden="1">
              <a:extLst>
                <a:ext uri="{63B3BB69-23CF-44E3-9099-C40C66FF867C}">
                  <a14:compatExt spid="_x0000_s6188"/>
                </a:ext>
                <a:ext uri="{FF2B5EF4-FFF2-40B4-BE49-F238E27FC236}">
                  <a16:creationId xmlns:a16="http://schemas.microsoft.com/office/drawing/2014/main" id="{DFF76C8C-7F96-4CCC-96E5-3FF7B07DF4F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69</xdr:row>
          <xdr:rowOff>59871</xdr:rowOff>
        </xdr:from>
        <xdr:to>
          <xdr:col>16</xdr:col>
          <xdr:colOff>0</xdr:colOff>
          <xdr:row>71</xdr:row>
          <xdr:rowOff>0</xdr:rowOff>
        </xdr:to>
        <xdr:sp macro="" textlink="">
          <xdr:nvSpPr>
            <xdr:cNvPr id="6189" name="DownMember2_3" hidden="1">
              <a:extLst>
                <a:ext uri="{63B3BB69-23CF-44E3-9099-C40C66FF867C}">
                  <a14:compatExt spid="_x0000_s6189"/>
                </a:ext>
                <a:ext uri="{FF2B5EF4-FFF2-40B4-BE49-F238E27FC236}">
                  <a16:creationId xmlns:a16="http://schemas.microsoft.com/office/drawing/2014/main" id="{56E3966A-DC11-4D37-85AE-901A48ABD3FA}"/>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72</xdr:row>
          <xdr:rowOff>59871</xdr:rowOff>
        </xdr:from>
        <xdr:to>
          <xdr:col>12</xdr:col>
          <xdr:colOff>707571</xdr:colOff>
          <xdr:row>74</xdr:row>
          <xdr:rowOff>32657</xdr:rowOff>
        </xdr:to>
        <xdr:sp macro="" textlink="">
          <xdr:nvSpPr>
            <xdr:cNvPr id="6190" name="AddedMember2_4" hidden="1">
              <a:extLst>
                <a:ext uri="{63B3BB69-23CF-44E3-9099-C40C66FF867C}">
                  <a14:compatExt spid="_x0000_s6190"/>
                </a:ext>
                <a:ext uri="{FF2B5EF4-FFF2-40B4-BE49-F238E27FC236}">
                  <a16:creationId xmlns:a16="http://schemas.microsoft.com/office/drawing/2014/main" id="{ACAE1A54-F086-470F-8A2F-43878DC61C1E}"/>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72</xdr:row>
          <xdr:rowOff>59871</xdr:rowOff>
        </xdr:from>
        <xdr:to>
          <xdr:col>13</xdr:col>
          <xdr:colOff>707571</xdr:colOff>
          <xdr:row>74</xdr:row>
          <xdr:rowOff>32657</xdr:rowOff>
        </xdr:to>
        <xdr:sp macro="" textlink="">
          <xdr:nvSpPr>
            <xdr:cNvPr id="6191" name="ChangeMember2_4" hidden="1">
              <a:extLst>
                <a:ext uri="{63B3BB69-23CF-44E3-9099-C40C66FF867C}">
                  <a14:compatExt spid="_x0000_s6191"/>
                </a:ext>
                <a:ext uri="{FF2B5EF4-FFF2-40B4-BE49-F238E27FC236}">
                  <a16:creationId xmlns:a16="http://schemas.microsoft.com/office/drawing/2014/main" id="{6701EA76-6A36-459B-A54D-CC8F17ED5F9E}"/>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72</xdr:row>
          <xdr:rowOff>59871</xdr:rowOff>
        </xdr:from>
        <xdr:to>
          <xdr:col>14</xdr:col>
          <xdr:colOff>707571</xdr:colOff>
          <xdr:row>74</xdr:row>
          <xdr:rowOff>32657</xdr:rowOff>
        </xdr:to>
        <xdr:sp macro="" textlink="">
          <xdr:nvSpPr>
            <xdr:cNvPr id="6192" name="UpMember2_4" hidden="1">
              <a:extLst>
                <a:ext uri="{63B3BB69-23CF-44E3-9099-C40C66FF867C}">
                  <a14:compatExt spid="_x0000_s6192"/>
                </a:ext>
                <a:ext uri="{FF2B5EF4-FFF2-40B4-BE49-F238E27FC236}">
                  <a16:creationId xmlns:a16="http://schemas.microsoft.com/office/drawing/2014/main" id="{755A06B0-7B8A-41C7-A8A5-449605ADC676}"/>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72</xdr:row>
          <xdr:rowOff>59871</xdr:rowOff>
        </xdr:from>
        <xdr:to>
          <xdr:col>16</xdr:col>
          <xdr:colOff>0</xdr:colOff>
          <xdr:row>74</xdr:row>
          <xdr:rowOff>32657</xdr:rowOff>
        </xdr:to>
        <xdr:sp macro="" textlink="">
          <xdr:nvSpPr>
            <xdr:cNvPr id="6193" name="DownMember2_4" hidden="1">
              <a:extLst>
                <a:ext uri="{63B3BB69-23CF-44E3-9099-C40C66FF867C}">
                  <a14:compatExt spid="_x0000_s6193"/>
                </a:ext>
                <a:ext uri="{FF2B5EF4-FFF2-40B4-BE49-F238E27FC236}">
                  <a16:creationId xmlns:a16="http://schemas.microsoft.com/office/drawing/2014/main" id="{66507328-A719-4575-AC02-5AFE4D76BF6E}"/>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76</xdr:row>
          <xdr:rowOff>0</xdr:rowOff>
        </xdr:from>
        <xdr:to>
          <xdr:col>12</xdr:col>
          <xdr:colOff>707571</xdr:colOff>
          <xdr:row>77</xdr:row>
          <xdr:rowOff>32657</xdr:rowOff>
        </xdr:to>
        <xdr:sp macro="" textlink="">
          <xdr:nvSpPr>
            <xdr:cNvPr id="6194" name="AddedMember2_5" hidden="1">
              <a:extLst>
                <a:ext uri="{63B3BB69-23CF-44E3-9099-C40C66FF867C}">
                  <a14:compatExt spid="_x0000_s6194"/>
                </a:ext>
                <a:ext uri="{FF2B5EF4-FFF2-40B4-BE49-F238E27FC236}">
                  <a16:creationId xmlns:a16="http://schemas.microsoft.com/office/drawing/2014/main" id="{1BE854DD-0F96-480F-9CF4-A622EF2CD848}"/>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76</xdr:row>
          <xdr:rowOff>0</xdr:rowOff>
        </xdr:from>
        <xdr:to>
          <xdr:col>13</xdr:col>
          <xdr:colOff>707571</xdr:colOff>
          <xdr:row>77</xdr:row>
          <xdr:rowOff>32657</xdr:rowOff>
        </xdr:to>
        <xdr:sp macro="" textlink="">
          <xdr:nvSpPr>
            <xdr:cNvPr id="6195" name="ChangeMember2_5" hidden="1">
              <a:extLst>
                <a:ext uri="{63B3BB69-23CF-44E3-9099-C40C66FF867C}">
                  <a14:compatExt spid="_x0000_s6195"/>
                </a:ext>
                <a:ext uri="{FF2B5EF4-FFF2-40B4-BE49-F238E27FC236}">
                  <a16:creationId xmlns:a16="http://schemas.microsoft.com/office/drawing/2014/main" id="{F407CD4C-67CB-4CC4-AD15-D7C25783F5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76</xdr:row>
          <xdr:rowOff>0</xdr:rowOff>
        </xdr:from>
        <xdr:to>
          <xdr:col>14</xdr:col>
          <xdr:colOff>707571</xdr:colOff>
          <xdr:row>77</xdr:row>
          <xdr:rowOff>32657</xdr:rowOff>
        </xdr:to>
        <xdr:sp macro="" textlink="">
          <xdr:nvSpPr>
            <xdr:cNvPr id="6196" name="UpMember2_5" hidden="1">
              <a:extLst>
                <a:ext uri="{63B3BB69-23CF-44E3-9099-C40C66FF867C}">
                  <a14:compatExt spid="_x0000_s6196"/>
                </a:ext>
                <a:ext uri="{FF2B5EF4-FFF2-40B4-BE49-F238E27FC236}">
                  <a16:creationId xmlns:a16="http://schemas.microsoft.com/office/drawing/2014/main" id="{4381DE17-7C41-4FC2-9BF2-B00E052376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76</xdr:row>
          <xdr:rowOff>0</xdr:rowOff>
        </xdr:from>
        <xdr:to>
          <xdr:col>16</xdr:col>
          <xdr:colOff>0</xdr:colOff>
          <xdr:row>77</xdr:row>
          <xdr:rowOff>32657</xdr:rowOff>
        </xdr:to>
        <xdr:sp macro="" textlink="">
          <xdr:nvSpPr>
            <xdr:cNvPr id="6197" name="DownMember2_5" hidden="1">
              <a:extLst>
                <a:ext uri="{63B3BB69-23CF-44E3-9099-C40C66FF867C}">
                  <a14:compatExt spid="_x0000_s6197"/>
                </a:ext>
                <a:ext uri="{FF2B5EF4-FFF2-40B4-BE49-F238E27FC236}">
                  <a16:creationId xmlns:a16="http://schemas.microsoft.com/office/drawing/2014/main" id="{6F037B90-012A-4D37-B512-9AF4FB5625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79</xdr:row>
          <xdr:rowOff>0</xdr:rowOff>
        </xdr:from>
        <xdr:to>
          <xdr:col>12</xdr:col>
          <xdr:colOff>707571</xdr:colOff>
          <xdr:row>80</xdr:row>
          <xdr:rowOff>32657</xdr:rowOff>
        </xdr:to>
        <xdr:sp macro="" textlink="">
          <xdr:nvSpPr>
            <xdr:cNvPr id="6198" name="AddedMember2_6" hidden="1">
              <a:extLst>
                <a:ext uri="{63B3BB69-23CF-44E3-9099-C40C66FF867C}">
                  <a14:compatExt spid="_x0000_s6198"/>
                </a:ext>
                <a:ext uri="{FF2B5EF4-FFF2-40B4-BE49-F238E27FC236}">
                  <a16:creationId xmlns:a16="http://schemas.microsoft.com/office/drawing/2014/main" id="{49D39E5B-88B7-4926-9D1E-A6FBE7771C3E}"/>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79</xdr:row>
          <xdr:rowOff>0</xdr:rowOff>
        </xdr:from>
        <xdr:to>
          <xdr:col>13</xdr:col>
          <xdr:colOff>707571</xdr:colOff>
          <xdr:row>80</xdr:row>
          <xdr:rowOff>32657</xdr:rowOff>
        </xdr:to>
        <xdr:sp macro="" textlink="">
          <xdr:nvSpPr>
            <xdr:cNvPr id="6199" name="ChangeMember2_6" hidden="1">
              <a:extLst>
                <a:ext uri="{63B3BB69-23CF-44E3-9099-C40C66FF867C}">
                  <a14:compatExt spid="_x0000_s6199"/>
                </a:ext>
                <a:ext uri="{FF2B5EF4-FFF2-40B4-BE49-F238E27FC236}">
                  <a16:creationId xmlns:a16="http://schemas.microsoft.com/office/drawing/2014/main" id="{226B40F2-9C9B-4A4C-9516-2095D8A476EC}"/>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79</xdr:row>
          <xdr:rowOff>0</xdr:rowOff>
        </xdr:from>
        <xdr:to>
          <xdr:col>14</xdr:col>
          <xdr:colOff>707571</xdr:colOff>
          <xdr:row>80</xdr:row>
          <xdr:rowOff>32657</xdr:rowOff>
        </xdr:to>
        <xdr:sp macro="" textlink="">
          <xdr:nvSpPr>
            <xdr:cNvPr id="6200" name="UpMember2_6" hidden="1">
              <a:extLst>
                <a:ext uri="{63B3BB69-23CF-44E3-9099-C40C66FF867C}">
                  <a14:compatExt spid="_x0000_s6200"/>
                </a:ext>
                <a:ext uri="{FF2B5EF4-FFF2-40B4-BE49-F238E27FC236}">
                  <a16:creationId xmlns:a16="http://schemas.microsoft.com/office/drawing/2014/main" id="{B88F580F-C710-4C6E-9FF1-25EFE6AF6EB6}"/>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79</xdr:row>
          <xdr:rowOff>0</xdr:rowOff>
        </xdr:from>
        <xdr:to>
          <xdr:col>16</xdr:col>
          <xdr:colOff>0</xdr:colOff>
          <xdr:row>80</xdr:row>
          <xdr:rowOff>32657</xdr:rowOff>
        </xdr:to>
        <xdr:sp macro="" textlink="">
          <xdr:nvSpPr>
            <xdr:cNvPr id="6201" name="DownMember2_6" hidden="1">
              <a:extLst>
                <a:ext uri="{63B3BB69-23CF-44E3-9099-C40C66FF867C}">
                  <a14:compatExt spid="_x0000_s6201"/>
                </a:ext>
                <a:ext uri="{FF2B5EF4-FFF2-40B4-BE49-F238E27FC236}">
                  <a16:creationId xmlns:a16="http://schemas.microsoft.com/office/drawing/2014/main" id="{D3D55882-390D-4BCA-8B99-85DEFFD8CF4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82</xdr:row>
          <xdr:rowOff>0</xdr:rowOff>
        </xdr:from>
        <xdr:to>
          <xdr:col>12</xdr:col>
          <xdr:colOff>707571</xdr:colOff>
          <xdr:row>83</xdr:row>
          <xdr:rowOff>0</xdr:rowOff>
        </xdr:to>
        <xdr:sp macro="" textlink="">
          <xdr:nvSpPr>
            <xdr:cNvPr id="6202" name="AddedMember2_7" hidden="1">
              <a:extLst>
                <a:ext uri="{63B3BB69-23CF-44E3-9099-C40C66FF867C}">
                  <a14:compatExt spid="_x0000_s6202"/>
                </a:ext>
                <a:ext uri="{FF2B5EF4-FFF2-40B4-BE49-F238E27FC236}">
                  <a16:creationId xmlns:a16="http://schemas.microsoft.com/office/drawing/2014/main" id="{5AC7BDF7-D99F-4446-BFDF-EB02E71EA1EB}"/>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82</xdr:row>
          <xdr:rowOff>0</xdr:rowOff>
        </xdr:from>
        <xdr:to>
          <xdr:col>13</xdr:col>
          <xdr:colOff>707571</xdr:colOff>
          <xdr:row>83</xdr:row>
          <xdr:rowOff>0</xdr:rowOff>
        </xdr:to>
        <xdr:sp macro="" textlink="">
          <xdr:nvSpPr>
            <xdr:cNvPr id="6203" name="ChangeMember2_7" hidden="1">
              <a:extLst>
                <a:ext uri="{63B3BB69-23CF-44E3-9099-C40C66FF867C}">
                  <a14:compatExt spid="_x0000_s6203"/>
                </a:ext>
                <a:ext uri="{FF2B5EF4-FFF2-40B4-BE49-F238E27FC236}">
                  <a16:creationId xmlns:a16="http://schemas.microsoft.com/office/drawing/2014/main" id="{1017C627-C0E3-4B03-964D-DAE9F3C4F89D}"/>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82</xdr:row>
          <xdr:rowOff>0</xdr:rowOff>
        </xdr:from>
        <xdr:to>
          <xdr:col>14</xdr:col>
          <xdr:colOff>707571</xdr:colOff>
          <xdr:row>83</xdr:row>
          <xdr:rowOff>0</xdr:rowOff>
        </xdr:to>
        <xdr:sp macro="" textlink="">
          <xdr:nvSpPr>
            <xdr:cNvPr id="6204" name="UpMember2_7" hidden="1">
              <a:extLst>
                <a:ext uri="{63B3BB69-23CF-44E3-9099-C40C66FF867C}">
                  <a14:compatExt spid="_x0000_s6204"/>
                </a:ext>
                <a:ext uri="{FF2B5EF4-FFF2-40B4-BE49-F238E27FC236}">
                  <a16:creationId xmlns:a16="http://schemas.microsoft.com/office/drawing/2014/main" id="{507F5DDA-7276-44D4-9E60-2F56CAE463F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82</xdr:row>
          <xdr:rowOff>0</xdr:rowOff>
        </xdr:from>
        <xdr:to>
          <xdr:col>16</xdr:col>
          <xdr:colOff>0</xdr:colOff>
          <xdr:row>83</xdr:row>
          <xdr:rowOff>0</xdr:rowOff>
        </xdr:to>
        <xdr:sp macro="" textlink="">
          <xdr:nvSpPr>
            <xdr:cNvPr id="6205" name="DownMember2_7" hidden="1">
              <a:extLst>
                <a:ext uri="{63B3BB69-23CF-44E3-9099-C40C66FF867C}">
                  <a14:compatExt spid="_x0000_s6205"/>
                </a:ext>
                <a:ext uri="{FF2B5EF4-FFF2-40B4-BE49-F238E27FC236}">
                  <a16:creationId xmlns:a16="http://schemas.microsoft.com/office/drawing/2014/main" id="{440E7346-763A-49ED-A512-E445235281C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39</xdr:row>
          <xdr:rowOff>59871</xdr:rowOff>
        </xdr:from>
        <xdr:to>
          <xdr:col>12</xdr:col>
          <xdr:colOff>707571</xdr:colOff>
          <xdr:row>41</xdr:row>
          <xdr:rowOff>0</xdr:rowOff>
        </xdr:to>
        <xdr:sp macro="" textlink="">
          <xdr:nvSpPr>
            <xdr:cNvPr id="6206" name="AddedMember1_1" hidden="1">
              <a:extLst>
                <a:ext uri="{63B3BB69-23CF-44E3-9099-C40C66FF867C}">
                  <a14:compatExt spid="_x0000_s6206"/>
                </a:ext>
                <a:ext uri="{FF2B5EF4-FFF2-40B4-BE49-F238E27FC236}">
                  <a16:creationId xmlns:a16="http://schemas.microsoft.com/office/drawing/2014/main" id="{13EC3267-7C02-4424-A778-8930D9CAF42F}"/>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39</xdr:row>
          <xdr:rowOff>59871</xdr:rowOff>
        </xdr:from>
        <xdr:to>
          <xdr:col>13</xdr:col>
          <xdr:colOff>707571</xdr:colOff>
          <xdr:row>41</xdr:row>
          <xdr:rowOff>0</xdr:rowOff>
        </xdr:to>
        <xdr:sp macro="" textlink="">
          <xdr:nvSpPr>
            <xdr:cNvPr id="6207" name="ChangeMember1_1" hidden="1">
              <a:extLst>
                <a:ext uri="{63B3BB69-23CF-44E3-9099-C40C66FF867C}">
                  <a14:compatExt spid="_x0000_s6207"/>
                </a:ext>
                <a:ext uri="{FF2B5EF4-FFF2-40B4-BE49-F238E27FC236}">
                  <a16:creationId xmlns:a16="http://schemas.microsoft.com/office/drawing/2014/main" id="{53E823C5-4E62-452B-9893-D84C53BE638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39</xdr:row>
          <xdr:rowOff>59871</xdr:rowOff>
        </xdr:from>
        <xdr:to>
          <xdr:col>14</xdr:col>
          <xdr:colOff>707571</xdr:colOff>
          <xdr:row>41</xdr:row>
          <xdr:rowOff>0</xdr:rowOff>
        </xdr:to>
        <xdr:sp macro="" textlink="">
          <xdr:nvSpPr>
            <xdr:cNvPr id="6208" name="UpMember1_1" hidden="1">
              <a:extLst>
                <a:ext uri="{63B3BB69-23CF-44E3-9099-C40C66FF867C}">
                  <a14:compatExt spid="_x0000_s6208"/>
                </a:ext>
                <a:ext uri="{FF2B5EF4-FFF2-40B4-BE49-F238E27FC236}">
                  <a16:creationId xmlns:a16="http://schemas.microsoft.com/office/drawing/2014/main" id="{A352D448-0B66-4BC1-BE6B-32FBB5C985F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39</xdr:row>
          <xdr:rowOff>59871</xdr:rowOff>
        </xdr:from>
        <xdr:to>
          <xdr:col>16</xdr:col>
          <xdr:colOff>0</xdr:colOff>
          <xdr:row>41</xdr:row>
          <xdr:rowOff>0</xdr:rowOff>
        </xdr:to>
        <xdr:sp macro="" textlink="">
          <xdr:nvSpPr>
            <xdr:cNvPr id="6209" name="DownMember1_1" hidden="1">
              <a:extLst>
                <a:ext uri="{63B3BB69-23CF-44E3-9099-C40C66FF867C}">
                  <a14:compatExt spid="_x0000_s6209"/>
                </a:ext>
                <a:ext uri="{FF2B5EF4-FFF2-40B4-BE49-F238E27FC236}">
                  <a16:creationId xmlns:a16="http://schemas.microsoft.com/office/drawing/2014/main" id="{2F243427-AA6C-4998-93F4-AC680A83E898}"/>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43</xdr:row>
          <xdr:rowOff>0</xdr:rowOff>
        </xdr:from>
        <xdr:to>
          <xdr:col>12</xdr:col>
          <xdr:colOff>707571</xdr:colOff>
          <xdr:row>44</xdr:row>
          <xdr:rowOff>32657</xdr:rowOff>
        </xdr:to>
        <xdr:sp macro="" textlink="">
          <xdr:nvSpPr>
            <xdr:cNvPr id="6210" name="AddedMember1_2" hidden="1">
              <a:extLst>
                <a:ext uri="{63B3BB69-23CF-44E3-9099-C40C66FF867C}">
                  <a14:compatExt spid="_x0000_s6210"/>
                </a:ext>
                <a:ext uri="{FF2B5EF4-FFF2-40B4-BE49-F238E27FC236}">
                  <a16:creationId xmlns:a16="http://schemas.microsoft.com/office/drawing/2014/main" id="{6FACE066-78F6-42CC-97DE-508AFAC2DAC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43</xdr:row>
          <xdr:rowOff>0</xdr:rowOff>
        </xdr:from>
        <xdr:to>
          <xdr:col>13</xdr:col>
          <xdr:colOff>707571</xdr:colOff>
          <xdr:row>44</xdr:row>
          <xdr:rowOff>32657</xdr:rowOff>
        </xdr:to>
        <xdr:sp macro="" textlink="">
          <xdr:nvSpPr>
            <xdr:cNvPr id="6211" name="ChangeMember1_2" hidden="1">
              <a:extLst>
                <a:ext uri="{63B3BB69-23CF-44E3-9099-C40C66FF867C}">
                  <a14:compatExt spid="_x0000_s6211"/>
                </a:ext>
                <a:ext uri="{FF2B5EF4-FFF2-40B4-BE49-F238E27FC236}">
                  <a16:creationId xmlns:a16="http://schemas.microsoft.com/office/drawing/2014/main" id="{1C465F16-5336-415E-B246-C2CEB91B8A3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0</xdr:rowOff>
        </xdr:from>
        <xdr:to>
          <xdr:col>14</xdr:col>
          <xdr:colOff>707571</xdr:colOff>
          <xdr:row>44</xdr:row>
          <xdr:rowOff>32657</xdr:rowOff>
        </xdr:to>
        <xdr:sp macro="" textlink="">
          <xdr:nvSpPr>
            <xdr:cNvPr id="6212" name="UpMember1_2" hidden="1">
              <a:extLst>
                <a:ext uri="{63B3BB69-23CF-44E3-9099-C40C66FF867C}">
                  <a14:compatExt spid="_x0000_s6212"/>
                </a:ext>
                <a:ext uri="{FF2B5EF4-FFF2-40B4-BE49-F238E27FC236}">
                  <a16:creationId xmlns:a16="http://schemas.microsoft.com/office/drawing/2014/main" id="{B914BEE5-3803-47AF-8463-844C3DE934AB}"/>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43</xdr:row>
          <xdr:rowOff>0</xdr:rowOff>
        </xdr:from>
        <xdr:to>
          <xdr:col>16</xdr:col>
          <xdr:colOff>0</xdr:colOff>
          <xdr:row>44</xdr:row>
          <xdr:rowOff>32657</xdr:rowOff>
        </xdr:to>
        <xdr:sp macro="" textlink="">
          <xdr:nvSpPr>
            <xdr:cNvPr id="6213" name="DownMember1_2" hidden="1">
              <a:extLst>
                <a:ext uri="{63B3BB69-23CF-44E3-9099-C40C66FF867C}">
                  <a14:compatExt spid="_x0000_s6213"/>
                </a:ext>
                <a:ext uri="{FF2B5EF4-FFF2-40B4-BE49-F238E27FC236}">
                  <a16:creationId xmlns:a16="http://schemas.microsoft.com/office/drawing/2014/main" id="{268CAA33-5B0A-4FCD-A966-708763AE1E4E}"/>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19051</xdr:rowOff>
    </xdr:from>
    <xdr:to>
      <xdr:col>4</xdr:col>
      <xdr:colOff>74507</xdr:colOff>
      <xdr:row>0</xdr:row>
      <xdr:rowOff>209551</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0" y="19051"/>
          <a:ext cx="466393"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1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152400</xdr:rowOff>
        </xdr:from>
        <xdr:to>
          <xdr:col>0</xdr:col>
          <xdr:colOff>43543</xdr:colOff>
          <xdr:row>2</xdr:row>
          <xdr:rowOff>157843</xdr:rowOff>
        </xdr:to>
        <xdr:sp macro="" textlink="">
          <xdr:nvSpPr>
            <xdr:cNvPr id="3115" name="TextBox1" hidden="1">
              <a:extLst>
                <a:ext uri="{63B3BB69-23CF-44E3-9099-C40C66FF867C}">
                  <a14:compatExt spid="_x0000_s3115"/>
                </a:ext>
                <a:ext uri="{FF2B5EF4-FFF2-40B4-BE49-F238E27FC236}">
                  <a16:creationId xmlns:a16="http://schemas.microsoft.com/office/drawing/2014/main" id="{00000000-0008-0000-0100-00002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887186</xdr:colOff>
          <xdr:row>2</xdr:row>
          <xdr:rowOff>152400</xdr:rowOff>
        </xdr:from>
        <xdr:to>
          <xdr:col>8</xdr:col>
          <xdr:colOff>0</xdr:colOff>
          <xdr:row>2</xdr:row>
          <xdr:rowOff>157843</xdr:rowOff>
        </xdr:to>
        <xdr:sp macro="" textlink="">
          <xdr:nvSpPr>
            <xdr:cNvPr id="3119" name="TextBox2" hidden="1">
              <a:extLst>
                <a:ext uri="{63B3BB69-23CF-44E3-9099-C40C66FF867C}">
                  <a14:compatExt spid="_x0000_s3119"/>
                </a:ext>
                <a:ext uri="{FF2B5EF4-FFF2-40B4-BE49-F238E27FC236}">
                  <a16:creationId xmlns:a16="http://schemas.microsoft.com/office/drawing/2014/main" id="{00000000-0008-0000-0100-00002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5</xdr:col>
          <xdr:colOff>97971</xdr:colOff>
          <xdr:row>0</xdr:row>
          <xdr:rowOff>0</xdr:rowOff>
        </xdr:to>
        <xdr:sp macro="" textlink="">
          <xdr:nvSpPr>
            <xdr:cNvPr id="3130" name="AnalyzerDynReport000tb1" hidden="1">
              <a:extLst>
                <a:ext uri="{63B3BB69-23CF-44E3-9099-C40C66FF867C}">
                  <a14:compatExt spid="_x0000_s3130"/>
                </a:ext>
                <a:ext uri="{FF2B5EF4-FFF2-40B4-BE49-F238E27FC236}">
                  <a16:creationId xmlns:a16="http://schemas.microsoft.com/office/drawing/2014/main" id="{00000000-0008-0000-0100-00003A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5</xdr:col>
          <xdr:colOff>97971</xdr:colOff>
          <xdr:row>0</xdr:row>
          <xdr:rowOff>0</xdr:rowOff>
        </xdr:to>
        <xdr:sp macro="" textlink="">
          <xdr:nvSpPr>
            <xdr:cNvPr id="3131" name="ConnectionDescriptorsInfotb1" hidden="1">
              <a:extLst>
                <a:ext uri="{63B3BB69-23CF-44E3-9099-C40C66FF867C}">
                  <a14:compatExt spid="_x0000_s3131"/>
                </a:ext>
                <a:ext uri="{FF2B5EF4-FFF2-40B4-BE49-F238E27FC236}">
                  <a16:creationId xmlns:a16="http://schemas.microsoft.com/office/drawing/2014/main" id="{00000000-0008-0000-0100-00003B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5</xdr:col>
          <xdr:colOff>97971</xdr:colOff>
          <xdr:row>0</xdr:row>
          <xdr:rowOff>0</xdr:rowOff>
        </xdr:to>
        <xdr:sp macro="" textlink="">
          <xdr:nvSpPr>
            <xdr:cNvPr id="3132" name="MultipleReportManagerInfotb1" hidden="1">
              <a:extLst>
                <a:ext uri="{63B3BB69-23CF-44E3-9099-C40C66FF867C}">
                  <a14:compatExt spid="_x0000_s3132"/>
                </a:ext>
                <a:ext uri="{FF2B5EF4-FFF2-40B4-BE49-F238E27FC236}">
                  <a16:creationId xmlns:a16="http://schemas.microsoft.com/office/drawing/2014/main" id="{00000000-0008-0000-0100-00003C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5</xdr:col>
          <xdr:colOff>97971</xdr:colOff>
          <xdr:row>0</xdr:row>
          <xdr:rowOff>0</xdr:rowOff>
        </xdr:to>
        <xdr:sp macro="" textlink="">
          <xdr:nvSpPr>
            <xdr:cNvPr id="3133" name="ReportSubmitManagerControltb1" hidden="1">
              <a:extLst>
                <a:ext uri="{63B3BB69-23CF-44E3-9099-C40C66FF867C}">
                  <a14:compatExt spid="_x0000_s3133"/>
                </a:ext>
                <a:ext uri="{FF2B5EF4-FFF2-40B4-BE49-F238E27FC236}">
                  <a16:creationId xmlns:a16="http://schemas.microsoft.com/office/drawing/2014/main" id="{00000000-0008-0000-0100-00003D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5</xdr:col>
          <xdr:colOff>97971</xdr:colOff>
          <xdr:row>0</xdr:row>
          <xdr:rowOff>0</xdr:rowOff>
        </xdr:to>
        <xdr:sp macro="" textlink="">
          <xdr:nvSpPr>
            <xdr:cNvPr id="3134" name="ReportSubmitControl_1tb1" hidden="1">
              <a:extLst>
                <a:ext uri="{63B3BB69-23CF-44E3-9099-C40C66FF867C}">
                  <a14:compatExt spid="_x0000_s3134"/>
                </a:ext>
                <a:ext uri="{FF2B5EF4-FFF2-40B4-BE49-F238E27FC236}">
                  <a16:creationId xmlns:a16="http://schemas.microsoft.com/office/drawing/2014/main" id="{00000000-0008-0000-0100-00003E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xdr:row>
          <xdr:rowOff>0</xdr:rowOff>
        </xdr:from>
        <xdr:to>
          <xdr:col>11</xdr:col>
          <xdr:colOff>310243</xdr:colOff>
          <xdr:row>4</xdr:row>
          <xdr:rowOff>5443</xdr:rowOff>
        </xdr:to>
        <xdr:sp macro="" textlink="">
          <xdr:nvSpPr>
            <xdr:cNvPr id="3135" name="ConnectionDescriptorsInfoHCtb1" hidden="1">
              <a:extLst>
                <a:ext uri="{63B3BB69-23CF-44E3-9099-C40C66FF867C}">
                  <a14:compatExt spid="_x0000_s3135"/>
                </a:ext>
                <a:ext uri="{FF2B5EF4-FFF2-40B4-BE49-F238E27FC236}">
                  <a16:creationId xmlns:a16="http://schemas.microsoft.com/office/drawing/2014/main" id="{00000000-0008-0000-0100-00003F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xdr:row>
          <xdr:rowOff>0</xdr:rowOff>
        </xdr:from>
        <xdr:to>
          <xdr:col>11</xdr:col>
          <xdr:colOff>310243</xdr:colOff>
          <xdr:row>4</xdr:row>
          <xdr:rowOff>5443</xdr:rowOff>
        </xdr:to>
        <xdr:sp macro="" textlink="">
          <xdr:nvSpPr>
            <xdr:cNvPr id="3136" name="ConnectionDescriptorsInfoDCtb1" hidden="1">
              <a:extLst>
                <a:ext uri="{63B3BB69-23CF-44E3-9099-C40C66FF867C}">
                  <a14:compatExt spid="_x0000_s3136"/>
                </a:ext>
                <a:ext uri="{FF2B5EF4-FFF2-40B4-BE49-F238E27FC236}">
                  <a16:creationId xmlns:a16="http://schemas.microsoft.com/office/drawing/2014/main" id="{00000000-0008-0000-0100-000040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xdr:row>
          <xdr:rowOff>0</xdr:rowOff>
        </xdr:from>
        <xdr:to>
          <xdr:col>11</xdr:col>
          <xdr:colOff>310243</xdr:colOff>
          <xdr:row>4</xdr:row>
          <xdr:rowOff>5443</xdr:rowOff>
        </xdr:to>
        <xdr:sp macro="" textlink="">
          <xdr:nvSpPr>
            <xdr:cNvPr id="3137" name="MultipleReportManagerInfoHCtb1" hidden="1">
              <a:extLst>
                <a:ext uri="{63B3BB69-23CF-44E3-9099-C40C66FF867C}">
                  <a14:compatExt spid="_x0000_s3137"/>
                </a:ext>
                <a:ext uri="{FF2B5EF4-FFF2-40B4-BE49-F238E27FC236}">
                  <a16:creationId xmlns:a16="http://schemas.microsoft.com/office/drawing/2014/main" id="{00000000-0008-0000-0100-000041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xdr:row>
          <xdr:rowOff>0</xdr:rowOff>
        </xdr:from>
        <xdr:to>
          <xdr:col>11</xdr:col>
          <xdr:colOff>310243</xdr:colOff>
          <xdr:row>4</xdr:row>
          <xdr:rowOff>5443</xdr:rowOff>
        </xdr:to>
        <xdr:sp macro="" textlink="">
          <xdr:nvSpPr>
            <xdr:cNvPr id="3138" name="MultipleReportManagerInfoDCtb1" hidden="1">
              <a:extLst>
                <a:ext uri="{63B3BB69-23CF-44E3-9099-C40C66FF867C}">
                  <a14:compatExt spid="_x0000_s3138"/>
                </a:ext>
                <a:ext uri="{FF2B5EF4-FFF2-40B4-BE49-F238E27FC236}">
                  <a16:creationId xmlns:a16="http://schemas.microsoft.com/office/drawing/2014/main" id="{00000000-0008-0000-0100-000042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xdr:row>
          <xdr:rowOff>0</xdr:rowOff>
        </xdr:from>
        <xdr:to>
          <xdr:col>11</xdr:col>
          <xdr:colOff>310243</xdr:colOff>
          <xdr:row>4</xdr:row>
          <xdr:rowOff>5443</xdr:rowOff>
        </xdr:to>
        <xdr:sp macro="" textlink="">
          <xdr:nvSpPr>
            <xdr:cNvPr id="3139" name="ReportSubmitManagerControlHCtb1" hidden="1">
              <a:extLst>
                <a:ext uri="{63B3BB69-23CF-44E3-9099-C40C66FF867C}">
                  <a14:compatExt spid="_x0000_s3139"/>
                </a:ext>
                <a:ext uri="{FF2B5EF4-FFF2-40B4-BE49-F238E27FC236}">
                  <a16:creationId xmlns:a16="http://schemas.microsoft.com/office/drawing/2014/main" id="{00000000-0008-0000-0100-000043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xdr:row>
          <xdr:rowOff>0</xdr:rowOff>
        </xdr:from>
        <xdr:to>
          <xdr:col>11</xdr:col>
          <xdr:colOff>310243</xdr:colOff>
          <xdr:row>4</xdr:row>
          <xdr:rowOff>5443</xdr:rowOff>
        </xdr:to>
        <xdr:sp macro="" textlink="">
          <xdr:nvSpPr>
            <xdr:cNvPr id="3140" name="ReportSubmitManagerControlDCtb1" hidden="1">
              <a:extLst>
                <a:ext uri="{63B3BB69-23CF-44E3-9099-C40C66FF867C}">
                  <a14:compatExt spid="_x0000_s3140"/>
                </a:ext>
                <a:ext uri="{FF2B5EF4-FFF2-40B4-BE49-F238E27FC236}">
                  <a16:creationId xmlns:a16="http://schemas.microsoft.com/office/drawing/2014/main" id="{00000000-0008-0000-0100-000044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xdr:row>
          <xdr:rowOff>0</xdr:rowOff>
        </xdr:from>
        <xdr:to>
          <xdr:col>11</xdr:col>
          <xdr:colOff>310243</xdr:colOff>
          <xdr:row>4</xdr:row>
          <xdr:rowOff>5443</xdr:rowOff>
        </xdr:to>
        <xdr:sp macro="" textlink="">
          <xdr:nvSpPr>
            <xdr:cNvPr id="3141" name="ReportSubmitControl_1HCtb1" hidden="1">
              <a:extLst>
                <a:ext uri="{63B3BB69-23CF-44E3-9099-C40C66FF867C}">
                  <a14:compatExt spid="_x0000_s3141"/>
                </a:ext>
                <a:ext uri="{FF2B5EF4-FFF2-40B4-BE49-F238E27FC236}">
                  <a16:creationId xmlns:a16="http://schemas.microsoft.com/office/drawing/2014/main" id="{00000000-0008-0000-0100-00004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xdr:row>
          <xdr:rowOff>0</xdr:rowOff>
        </xdr:from>
        <xdr:to>
          <xdr:col>11</xdr:col>
          <xdr:colOff>310243</xdr:colOff>
          <xdr:row>4</xdr:row>
          <xdr:rowOff>5443</xdr:rowOff>
        </xdr:to>
        <xdr:sp macro="" textlink="">
          <xdr:nvSpPr>
            <xdr:cNvPr id="3142" name="ReportSubmitControl_1DCtb1" hidden="1">
              <a:extLst>
                <a:ext uri="{63B3BB69-23CF-44E3-9099-C40C66FF867C}">
                  <a14:compatExt spid="_x0000_s3142"/>
                </a:ext>
                <a:ext uri="{FF2B5EF4-FFF2-40B4-BE49-F238E27FC236}">
                  <a16:creationId xmlns:a16="http://schemas.microsoft.com/office/drawing/2014/main" id="{00000000-0008-0000-0100-000046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xdr:row>
          <xdr:rowOff>0</xdr:rowOff>
        </xdr:from>
        <xdr:to>
          <xdr:col>11</xdr:col>
          <xdr:colOff>310243</xdr:colOff>
          <xdr:row>4</xdr:row>
          <xdr:rowOff>5443</xdr:rowOff>
        </xdr:to>
        <xdr:sp macro="" textlink="">
          <xdr:nvSpPr>
            <xdr:cNvPr id="3146" name="AnalyzerDynReportHC000tb1" hidden="1">
              <a:extLst>
                <a:ext uri="{63B3BB69-23CF-44E3-9099-C40C66FF867C}">
                  <a14:compatExt spid="_x0000_s3146"/>
                </a:ext>
                <a:ext uri="{FF2B5EF4-FFF2-40B4-BE49-F238E27FC236}">
                  <a16:creationId xmlns:a16="http://schemas.microsoft.com/office/drawing/2014/main" id="{00000000-0008-0000-0100-00004A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xdr:row>
          <xdr:rowOff>0</xdr:rowOff>
        </xdr:from>
        <xdr:to>
          <xdr:col>11</xdr:col>
          <xdr:colOff>310243</xdr:colOff>
          <xdr:row>4</xdr:row>
          <xdr:rowOff>5443</xdr:rowOff>
        </xdr:to>
        <xdr:sp macro="" textlink="">
          <xdr:nvSpPr>
            <xdr:cNvPr id="3147" name="AnalyzerDynReportDC000tb1" hidden="1">
              <a:extLst>
                <a:ext uri="{63B3BB69-23CF-44E3-9099-C40C66FF867C}">
                  <a14:compatExt spid="_x0000_s3147"/>
                </a:ext>
                <a:ext uri="{FF2B5EF4-FFF2-40B4-BE49-F238E27FC236}">
                  <a16:creationId xmlns:a16="http://schemas.microsoft.com/office/drawing/2014/main" id="{00000000-0008-0000-0100-00004B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16.xml"/><Relationship Id="rId21" Type="http://schemas.openxmlformats.org/officeDocument/2006/relationships/ctrlProp" Target="../ctrlProps/ctrlProp11.xml"/><Relationship Id="rId42" Type="http://schemas.openxmlformats.org/officeDocument/2006/relationships/ctrlProp" Target="../ctrlProps/ctrlProp32.xml"/><Relationship Id="rId47" Type="http://schemas.openxmlformats.org/officeDocument/2006/relationships/ctrlProp" Target="../ctrlProps/ctrlProp37.xml"/><Relationship Id="rId63" Type="http://schemas.openxmlformats.org/officeDocument/2006/relationships/ctrlProp" Target="../ctrlProps/ctrlProp53.xml"/><Relationship Id="rId68" Type="http://schemas.openxmlformats.org/officeDocument/2006/relationships/ctrlProp" Target="../ctrlProps/ctrlProp58.xml"/><Relationship Id="rId16" Type="http://schemas.openxmlformats.org/officeDocument/2006/relationships/ctrlProp" Target="../ctrlProps/ctrlProp6.xml"/><Relationship Id="rId11" Type="http://schemas.openxmlformats.org/officeDocument/2006/relationships/ctrlProp" Target="../ctrlProps/ctrlProp1.xml"/><Relationship Id="rId24" Type="http://schemas.openxmlformats.org/officeDocument/2006/relationships/ctrlProp" Target="../ctrlProps/ctrlProp14.xml"/><Relationship Id="rId32" Type="http://schemas.openxmlformats.org/officeDocument/2006/relationships/ctrlProp" Target="../ctrlProps/ctrlProp22.xml"/><Relationship Id="rId37" Type="http://schemas.openxmlformats.org/officeDocument/2006/relationships/ctrlProp" Target="../ctrlProps/ctrlProp27.xml"/><Relationship Id="rId40" Type="http://schemas.openxmlformats.org/officeDocument/2006/relationships/ctrlProp" Target="../ctrlProps/ctrlProp30.xml"/><Relationship Id="rId45" Type="http://schemas.openxmlformats.org/officeDocument/2006/relationships/ctrlProp" Target="../ctrlProps/ctrlProp35.xml"/><Relationship Id="rId53" Type="http://schemas.openxmlformats.org/officeDocument/2006/relationships/ctrlProp" Target="../ctrlProps/ctrlProp43.xml"/><Relationship Id="rId58" Type="http://schemas.openxmlformats.org/officeDocument/2006/relationships/ctrlProp" Target="../ctrlProps/ctrlProp48.xml"/><Relationship Id="rId66" Type="http://schemas.openxmlformats.org/officeDocument/2006/relationships/ctrlProp" Target="../ctrlProps/ctrlProp56.xml"/><Relationship Id="rId74" Type="http://schemas.openxmlformats.org/officeDocument/2006/relationships/ctrlProp" Target="../ctrlProps/ctrlProp64.xml"/><Relationship Id="rId5" Type="http://schemas.openxmlformats.org/officeDocument/2006/relationships/control" Target="../activeX/activeX1.xml"/><Relationship Id="rId61" Type="http://schemas.openxmlformats.org/officeDocument/2006/relationships/ctrlProp" Target="../ctrlProps/ctrlProp51.xml"/><Relationship Id="rId19" Type="http://schemas.openxmlformats.org/officeDocument/2006/relationships/ctrlProp" Target="../ctrlProps/ctrlProp9.xml"/><Relationship Id="rId14" Type="http://schemas.openxmlformats.org/officeDocument/2006/relationships/ctrlProp" Target="../ctrlProps/ctrlProp4.xml"/><Relationship Id="rId22" Type="http://schemas.openxmlformats.org/officeDocument/2006/relationships/ctrlProp" Target="../ctrlProps/ctrlProp12.xml"/><Relationship Id="rId27" Type="http://schemas.openxmlformats.org/officeDocument/2006/relationships/ctrlProp" Target="../ctrlProps/ctrlProp17.xml"/><Relationship Id="rId30" Type="http://schemas.openxmlformats.org/officeDocument/2006/relationships/ctrlProp" Target="../ctrlProps/ctrlProp20.xml"/><Relationship Id="rId35" Type="http://schemas.openxmlformats.org/officeDocument/2006/relationships/ctrlProp" Target="../ctrlProps/ctrlProp25.xml"/><Relationship Id="rId43" Type="http://schemas.openxmlformats.org/officeDocument/2006/relationships/ctrlProp" Target="../ctrlProps/ctrlProp33.xml"/><Relationship Id="rId48" Type="http://schemas.openxmlformats.org/officeDocument/2006/relationships/ctrlProp" Target="../ctrlProps/ctrlProp38.xml"/><Relationship Id="rId56" Type="http://schemas.openxmlformats.org/officeDocument/2006/relationships/ctrlProp" Target="../ctrlProps/ctrlProp46.xml"/><Relationship Id="rId64" Type="http://schemas.openxmlformats.org/officeDocument/2006/relationships/ctrlProp" Target="../ctrlProps/ctrlProp54.xml"/><Relationship Id="rId69" Type="http://schemas.openxmlformats.org/officeDocument/2006/relationships/ctrlProp" Target="../ctrlProps/ctrlProp59.xml"/><Relationship Id="rId77" Type="http://schemas.openxmlformats.org/officeDocument/2006/relationships/comments" Target="../comments1.xml"/><Relationship Id="rId8" Type="http://schemas.openxmlformats.org/officeDocument/2006/relationships/image" Target="../media/image2.emf"/><Relationship Id="rId51" Type="http://schemas.openxmlformats.org/officeDocument/2006/relationships/ctrlProp" Target="../ctrlProps/ctrlProp41.xml"/><Relationship Id="rId72" Type="http://schemas.openxmlformats.org/officeDocument/2006/relationships/ctrlProp" Target="../ctrlProps/ctrlProp62.xml"/><Relationship Id="rId3" Type="http://schemas.openxmlformats.org/officeDocument/2006/relationships/drawing" Target="../drawings/drawing1.xml"/><Relationship Id="rId12" Type="http://schemas.openxmlformats.org/officeDocument/2006/relationships/ctrlProp" Target="../ctrlProps/ctrlProp2.xml"/><Relationship Id="rId17" Type="http://schemas.openxmlformats.org/officeDocument/2006/relationships/ctrlProp" Target="../ctrlProps/ctrlProp7.xml"/><Relationship Id="rId25" Type="http://schemas.openxmlformats.org/officeDocument/2006/relationships/ctrlProp" Target="../ctrlProps/ctrlProp15.xml"/><Relationship Id="rId33" Type="http://schemas.openxmlformats.org/officeDocument/2006/relationships/ctrlProp" Target="../ctrlProps/ctrlProp23.xml"/><Relationship Id="rId38" Type="http://schemas.openxmlformats.org/officeDocument/2006/relationships/ctrlProp" Target="../ctrlProps/ctrlProp28.xml"/><Relationship Id="rId46" Type="http://schemas.openxmlformats.org/officeDocument/2006/relationships/ctrlProp" Target="../ctrlProps/ctrlProp36.xml"/><Relationship Id="rId59" Type="http://schemas.openxmlformats.org/officeDocument/2006/relationships/ctrlProp" Target="../ctrlProps/ctrlProp49.xml"/><Relationship Id="rId67" Type="http://schemas.openxmlformats.org/officeDocument/2006/relationships/ctrlProp" Target="../ctrlProps/ctrlProp57.xml"/><Relationship Id="rId20" Type="http://schemas.openxmlformats.org/officeDocument/2006/relationships/ctrlProp" Target="../ctrlProps/ctrlProp10.xml"/><Relationship Id="rId41" Type="http://schemas.openxmlformats.org/officeDocument/2006/relationships/ctrlProp" Target="../ctrlProps/ctrlProp31.xml"/><Relationship Id="rId54" Type="http://schemas.openxmlformats.org/officeDocument/2006/relationships/ctrlProp" Target="../ctrlProps/ctrlProp44.xml"/><Relationship Id="rId62" Type="http://schemas.openxmlformats.org/officeDocument/2006/relationships/ctrlProp" Target="../ctrlProps/ctrlProp52.xml"/><Relationship Id="rId70" Type="http://schemas.openxmlformats.org/officeDocument/2006/relationships/ctrlProp" Target="../ctrlProps/ctrlProp60.xml"/><Relationship Id="rId75" Type="http://schemas.openxmlformats.org/officeDocument/2006/relationships/ctrlProp" Target="../ctrlProps/ctrlProp65.xml"/><Relationship Id="rId1" Type="http://schemas.openxmlformats.org/officeDocument/2006/relationships/printerSettings" Target="../printerSettings/printerSettings1.bin"/><Relationship Id="rId6" Type="http://schemas.openxmlformats.org/officeDocument/2006/relationships/image" Target="../media/image1.emf"/><Relationship Id="rId15" Type="http://schemas.openxmlformats.org/officeDocument/2006/relationships/ctrlProp" Target="../ctrlProps/ctrlProp5.xml"/><Relationship Id="rId23" Type="http://schemas.openxmlformats.org/officeDocument/2006/relationships/ctrlProp" Target="../ctrlProps/ctrlProp13.xml"/><Relationship Id="rId28" Type="http://schemas.openxmlformats.org/officeDocument/2006/relationships/ctrlProp" Target="../ctrlProps/ctrlProp18.xml"/><Relationship Id="rId36" Type="http://schemas.openxmlformats.org/officeDocument/2006/relationships/ctrlProp" Target="../ctrlProps/ctrlProp26.xml"/><Relationship Id="rId49" Type="http://schemas.openxmlformats.org/officeDocument/2006/relationships/ctrlProp" Target="../ctrlProps/ctrlProp39.xml"/><Relationship Id="rId57" Type="http://schemas.openxmlformats.org/officeDocument/2006/relationships/ctrlProp" Target="../ctrlProps/ctrlProp47.xml"/><Relationship Id="rId10" Type="http://schemas.openxmlformats.org/officeDocument/2006/relationships/image" Target="../media/image3.emf"/><Relationship Id="rId31" Type="http://schemas.openxmlformats.org/officeDocument/2006/relationships/ctrlProp" Target="../ctrlProps/ctrlProp21.xml"/><Relationship Id="rId44" Type="http://schemas.openxmlformats.org/officeDocument/2006/relationships/ctrlProp" Target="../ctrlProps/ctrlProp34.xml"/><Relationship Id="rId52" Type="http://schemas.openxmlformats.org/officeDocument/2006/relationships/ctrlProp" Target="../ctrlProps/ctrlProp42.xml"/><Relationship Id="rId60" Type="http://schemas.openxmlformats.org/officeDocument/2006/relationships/ctrlProp" Target="../ctrlProps/ctrlProp50.xml"/><Relationship Id="rId65" Type="http://schemas.openxmlformats.org/officeDocument/2006/relationships/ctrlProp" Target="../ctrlProps/ctrlProp55.xml"/><Relationship Id="rId73" Type="http://schemas.openxmlformats.org/officeDocument/2006/relationships/ctrlProp" Target="../ctrlProps/ctrlProp63.xml"/><Relationship Id="rId4" Type="http://schemas.openxmlformats.org/officeDocument/2006/relationships/vmlDrawing" Target="../drawings/vmlDrawing1.vml"/><Relationship Id="rId9" Type="http://schemas.openxmlformats.org/officeDocument/2006/relationships/control" Target="../activeX/activeX3.xml"/><Relationship Id="rId13" Type="http://schemas.openxmlformats.org/officeDocument/2006/relationships/ctrlProp" Target="../ctrlProps/ctrlProp3.xml"/><Relationship Id="rId18" Type="http://schemas.openxmlformats.org/officeDocument/2006/relationships/ctrlProp" Target="../ctrlProps/ctrlProp8.xml"/><Relationship Id="rId39" Type="http://schemas.openxmlformats.org/officeDocument/2006/relationships/ctrlProp" Target="../ctrlProps/ctrlProp29.xml"/><Relationship Id="rId34" Type="http://schemas.openxmlformats.org/officeDocument/2006/relationships/ctrlProp" Target="../ctrlProps/ctrlProp24.xml"/><Relationship Id="rId50" Type="http://schemas.openxmlformats.org/officeDocument/2006/relationships/ctrlProp" Target="../ctrlProps/ctrlProp40.xml"/><Relationship Id="rId55" Type="http://schemas.openxmlformats.org/officeDocument/2006/relationships/ctrlProp" Target="../ctrlProps/ctrlProp45.xml"/><Relationship Id="rId76" Type="http://schemas.openxmlformats.org/officeDocument/2006/relationships/ctrlProp" Target="../ctrlProps/ctrlProp66.xml"/><Relationship Id="rId7" Type="http://schemas.openxmlformats.org/officeDocument/2006/relationships/control" Target="../activeX/activeX2.xml"/><Relationship Id="rId71" Type="http://schemas.openxmlformats.org/officeDocument/2006/relationships/ctrlProp" Target="../ctrlProps/ctrlProp61.xml"/><Relationship Id="rId2" Type="http://schemas.openxmlformats.org/officeDocument/2006/relationships/customProperty" Target="../customProperty1.bin"/><Relationship Id="rId29"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13" Type="http://schemas.openxmlformats.org/officeDocument/2006/relationships/image" Target="../media/image7.emf"/><Relationship Id="rId18" Type="http://schemas.openxmlformats.org/officeDocument/2006/relationships/control" Target="../activeX/activeX9.xml"/><Relationship Id="rId26" Type="http://schemas.openxmlformats.org/officeDocument/2006/relationships/control" Target="../activeX/activeX13.xml"/><Relationship Id="rId39" Type="http://schemas.openxmlformats.org/officeDocument/2006/relationships/image" Target="../media/image20.emf"/><Relationship Id="rId21" Type="http://schemas.openxmlformats.org/officeDocument/2006/relationships/image" Target="../media/image11.emf"/><Relationship Id="rId34" Type="http://schemas.openxmlformats.org/officeDocument/2006/relationships/control" Target="../activeX/activeX17.xml"/><Relationship Id="rId42" Type="http://schemas.openxmlformats.org/officeDocument/2006/relationships/control" Target="../activeX/activeX21.xml"/><Relationship Id="rId7" Type="http://schemas.openxmlformats.org/officeDocument/2006/relationships/image" Target="../media/image4.png"/><Relationship Id="rId2" Type="http://schemas.openxmlformats.org/officeDocument/2006/relationships/customProperty" Target="../customProperty2.bin"/><Relationship Id="rId16" Type="http://schemas.openxmlformats.org/officeDocument/2006/relationships/control" Target="../activeX/activeX8.xml"/><Relationship Id="rId20" Type="http://schemas.openxmlformats.org/officeDocument/2006/relationships/control" Target="../activeX/activeX10.xml"/><Relationship Id="rId29" Type="http://schemas.openxmlformats.org/officeDocument/2006/relationships/image" Target="../media/image15.emf"/><Relationship Id="rId41" Type="http://schemas.openxmlformats.org/officeDocument/2006/relationships/image" Target="../media/image21.emf"/><Relationship Id="rId1" Type="http://schemas.openxmlformats.org/officeDocument/2006/relationships/printerSettings" Target="../printerSettings/printerSettings2.bin"/><Relationship Id="rId6" Type="http://schemas.openxmlformats.org/officeDocument/2006/relationships/vmlDrawing" Target="../drawings/vmlDrawing2.vml"/><Relationship Id="rId11" Type="http://schemas.openxmlformats.org/officeDocument/2006/relationships/image" Target="../media/image6.emf"/><Relationship Id="rId24" Type="http://schemas.openxmlformats.org/officeDocument/2006/relationships/control" Target="../activeX/activeX12.xml"/><Relationship Id="rId32" Type="http://schemas.openxmlformats.org/officeDocument/2006/relationships/control" Target="../activeX/activeX16.xml"/><Relationship Id="rId37" Type="http://schemas.openxmlformats.org/officeDocument/2006/relationships/image" Target="../media/image19.emf"/><Relationship Id="rId40" Type="http://schemas.openxmlformats.org/officeDocument/2006/relationships/control" Target="../activeX/activeX20.xml"/><Relationship Id="rId5" Type="http://schemas.openxmlformats.org/officeDocument/2006/relationships/drawing" Target="../drawings/drawing2.xml"/><Relationship Id="rId15" Type="http://schemas.openxmlformats.org/officeDocument/2006/relationships/image" Target="../media/image8.emf"/><Relationship Id="rId23" Type="http://schemas.openxmlformats.org/officeDocument/2006/relationships/image" Target="../media/image12.emf"/><Relationship Id="rId28" Type="http://schemas.openxmlformats.org/officeDocument/2006/relationships/control" Target="../activeX/activeX14.xml"/><Relationship Id="rId36" Type="http://schemas.openxmlformats.org/officeDocument/2006/relationships/control" Target="../activeX/activeX18.xml"/><Relationship Id="rId10" Type="http://schemas.openxmlformats.org/officeDocument/2006/relationships/control" Target="../activeX/activeX5.xml"/><Relationship Id="rId19" Type="http://schemas.openxmlformats.org/officeDocument/2006/relationships/image" Target="../media/image10.emf"/><Relationship Id="rId31" Type="http://schemas.openxmlformats.org/officeDocument/2006/relationships/image" Target="../media/image16.emf"/><Relationship Id="rId44" Type="http://schemas.openxmlformats.org/officeDocument/2006/relationships/comments" Target="../comments2.xml"/><Relationship Id="rId4" Type="http://schemas.openxmlformats.org/officeDocument/2006/relationships/customProperty" Target="../customProperty4.bin"/><Relationship Id="rId9" Type="http://schemas.openxmlformats.org/officeDocument/2006/relationships/image" Target="../media/image5.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4.emf"/><Relationship Id="rId30" Type="http://schemas.openxmlformats.org/officeDocument/2006/relationships/control" Target="../activeX/activeX15.xml"/><Relationship Id="rId35" Type="http://schemas.openxmlformats.org/officeDocument/2006/relationships/image" Target="../media/image18.emf"/><Relationship Id="rId43" Type="http://schemas.openxmlformats.org/officeDocument/2006/relationships/image" Target="../media/image22.emf"/><Relationship Id="rId8" Type="http://schemas.openxmlformats.org/officeDocument/2006/relationships/control" Target="../activeX/activeX4.xml"/><Relationship Id="rId3" Type="http://schemas.openxmlformats.org/officeDocument/2006/relationships/customProperty" Target="../customProperty3.bin"/><Relationship Id="rId12" Type="http://schemas.openxmlformats.org/officeDocument/2006/relationships/control" Target="../activeX/activeX6.xml"/><Relationship Id="rId17" Type="http://schemas.openxmlformats.org/officeDocument/2006/relationships/image" Target="../media/image9.emf"/><Relationship Id="rId25" Type="http://schemas.openxmlformats.org/officeDocument/2006/relationships/image" Target="../media/image13.emf"/><Relationship Id="rId33" Type="http://schemas.openxmlformats.org/officeDocument/2006/relationships/image" Target="../media/image17.emf"/><Relationship Id="rId38"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06709-1F5D-437E-9354-B54AED44463F}">
  <sheetPr codeName="Sheet6"/>
  <dimension ref="A1:Q107"/>
  <sheetViews>
    <sheetView showGridLines="0" zoomScale="80" zoomScaleNormal="80" workbookViewId="0">
      <selection activeCell="H17" sqref="H17"/>
    </sheetView>
  </sheetViews>
  <sheetFormatPr defaultColWidth="9.07421875" defaultRowHeight="14.6" x14ac:dyDescent="0.4"/>
  <cols>
    <col min="1" max="1" width="1.69140625" style="1" customWidth="1"/>
    <col min="2" max="2" width="12.69140625" style="1" customWidth="1"/>
    <col min="3" max="3" width="15.69140625" style="1" customWidth="1"/>
    <col min="4" max="4" width="82.07421875" style="1" customWidth="1"/>
    <col min="5" max="5" width="3.3046875" style="1" customWidth="1"/>
    <col min="6" max="6" width="14.3046875" customWidth="1"/>
    <col min="7" max="7" width="3.3046875" style="1" customWidth="1"/>
    <col min="8" max="8" width="30.69140625" style="1" customWidth="1"/>
    <col min="9" max="9" width="3.3046875" style="1" customWidth="1"/>
    <col min="10" max="10" width="14.3046875" customWidth="1"/>
    <col min="11" max="11" width="3.3046875" style="1" customWidth="1"/>
    <col min="12" max="12" width="36.69140625" style="1" customWidth="1"/>
    <col min="13" max="16" width="10.69140625" style="1" customWidth="1"/>
    <col min="17" max="17" width="90.69140625" style="1" customWidth="1"/>
    <col min="18" max="16384" width="9.07421875" style="1"/>
  </cols>
  <sheetData>
    <row r="1" spans="1:17" ht="42" customHeight="1" x14ac:dyDescent="0.35">
      <c r="A1" s="2"/>
      <c r="B1" s="49" t="s">
        <v>28</v>
      </c>
      <c r="C1" s="49"/>
      <c r="D1" s="49"/>
      <c r="E1" s="49"/>
      <c r="F1" s="49"/>
      <c r="G1" s="49"/>
      <c r="H1" s="49"/>
      <c r="I1" s="49"/>
      <c r="J1" s="49"/>
      <c r="K1" s="49"/>
      <c r="L1" s="49"/>
    </row>
    <row r="2" spans="1:17" ht="15.75" customHeight="1" x14ac:dyDescent="0.4">
      <c r="A2" s="26" t="s">
        <v>21</v>
      </c>
      <c r="B2" s="2"/>
      <c r="C2" s="2"/>
      <c r="D2" s="2"/>
      <c r="E2" s="2"/>
      <c r="G2" s="2"/>
      <c r="H2" s="2"/>
      <c r="I2" s="2"/>
      <c r="J2" s="79"/>
      <c r="K2" s="2"/>
      <c r="L2" s="2"/>
    </row>
    <row r="3" spans="1:17" ht="15.75" customHeight="1" x14ac:dyDescent="0.4">
      <c r="A3" s="2"/>
      <c r="B3" s="3" t="s">
        <v>0</v>
      </c>
      <c r="C3" s="2"/>
      <c r="D3" s="2"/>
      <c r="E3" s="2"/>
      <c r="F3" s="79"/>
      <c r="G3" s="2"/>
      <c r="H3" s="2"/>
      <c r="I3" s="2"/>
      <c r="J3" s="79"/>
      <c r="K3" s="2"/>
      <c r="L3" s="2"/>
    </row>
    <row r="4" spans="1:17" ht="18" customHeight="1" thickBot="1" x14ac:dyDescent="0.45">
      <c r="A4" s="2"/>
      <c r="B4" s="2"/>
      <c r="C4" s="2"/>
      <c r="D4" s="2"/>
      <c r="E4" s="2"/>
      <c r="F4" s="79"/>
      <c r="G4" s="2"/>
      <c r="H4" s="2"/>
      <c r="I4" s="2"/>
      <c r="J4" s="79"/>
      <c r="K4" s="2"/>
      <c r="L4" s="2"/>
    </row>
    <row r="5" spans="1:17" ht="28.4" customHeight="1" x14ac:dyDescent="0.35">
      <c r="A5" s="2"/>
      <c r="B5" s="50" t="s">
        <v>22</v>
      </c>
      <c r="C5" s="51"/>
      <c r="D5" s="51"/>
      <c r="E5" s="51"/>
      <c r="F5" s="51"/>
      <c r="G5" s="51"/>
      <c r="H5" s="51"/>
      <c r="I5" s="51"/>
      <c r="J5" s="51"/>
      <c r="K5" s="51"/>
      <c r="L5" s="52"/>
      <c r="Q5" s="15" t="s">
        <v>16</v>
      </c>
    </row>
    <row r="6" spans="1:17" ht="28.4" customHeight="1" thickBot="1" x14ac:dyDescent="0.4">
      <c r="A6" s="2"/>
      <c r="B6" s="53"/>
      <c r="C6" s="54"/>
      <c r="D6" s="54"/>
      <c r="E6" s="54"/>
      <c r="F6" s="54"/>
      <c r="G6" s="54"/>
      <c r="H6" s="54"/>
      <c r="I6" s="54"/>
      <c r="J6" s="54"/>
      <c r="K6" s="54"/>
      <c r="L6" s="55"/>
      <c r="Q6" s="16" t="s">
        <v>17</v>
      </c>
    </row>
    <row r="7" spans="1:17" ht="21.9" customHeight="1" x14ac:dyDescent="0.4">
      <c r="A7" s="2"/>
      <c r="B7" s="56" t="s">
        <v>8</v>
      </c>
      <c r="C7" s="13"/>
      <c r="D7" s="13"/>
      <c r="E7" s="13"/>
      <c r="F7" s="80"/>
      <c r="G7" s="13"/>
      <c r="H7" s="13"/>
      <c r="I7" s="13"/>
      <c r="J7" s="80"/>
      <c r="K7" s="13"/>
      <c r="L7" s="14"/>
      <c r="Q7" s="48" t="s">
        <v>29</v>
      </c>
    </row>
    <row r="8" spans="1:17" ht="18" customHeight="1" x14ac:dyDescent="0.4">
      <c r="A8" s="2"/>
      <c r="B8" s="57"/>
      <c r="C8" s="2"/>
      <c r="D8" s="2"/>
      <c r="E8" s="2"/>
      <c r="F8" s="79"/>
      <c r="G8" s="2"/>
      <c r="H8" s="2"/>
      <c r="I8" s="2"/>
      <c r="J8" s="79"/>
      <c r="K8" s="2"/>
      <c r="L8" s="10"/>
      <c r="Q8" s="48"/>
    </row>
    <row r="9" spans="1:17" ht="17.149999999999999" customHeight="1" x14ac:dyDescent="0.35">
      <c r="A9" s="2"/>
      <c r="B9" s="57"/>
      <c r="C9" s="5"/>
      <c r="D9" s="6"/>
      <c r="E9" s="58" t="s">
        <v>1</v>
      </c>
      <c r="F9" s="59"/>
      <c r="G9" s="60"/>
      <c r="H9" s="4" t="s">
        <v>2</v>
      </c>
      <c r="I9" s="58" t="s">
        <v>3</v>
      </c>
      <c r="J9" s="59"/>
      <c r="K9" s="60"/>
      <c r="L9" s="11" t="s">
        <v>2</v>
      </c>
      <c r="Q9" s="48"/>
    </row>
    <row r="10" spans="1:17" ht="5.15" customHeight="1" x14ac:dyDescent="0.4">
      <c r="A10" s="2"/>
      <c r="B10" s="57"/>
      <c r="C10" s="61"/>
      <c r="D10" s="2"/>
      <c r="E10" s="81"/>
      <c r="F10" s="82"/>
      <c r="G10" s="81"/>
      <c r="H10" s="8"/>
      <c r="I10" s="81"/>
      <c r="J10" s="82"/>
      <c r="K10" s="81"/>
      <c r="L10" s="10"/>
      <c r="Q10" s="48"/>
    </row>
    <row r="11" spans="1:17" ht="15.9" customHeight="1" x14ac:dyDescent="0.35">
      <c r="A11" s="2"/>
      <c r="B11" s="57"/>
      <c r="C11" s="62"/>
      <c r="D11" s="83" t="s">
        <v>5</v>
      </c>
      <c r="E11" s="81"/>
      <c r="F11" s="84">
        <v>10000</v>
      </c>
      <c r="G11" s="81"/>
      <c r="H11" s="27" t="s">
        <v>19</v>
      </c>
      <c r="I11" s="81"/>
      <c r="J11" s="85" t="s">
        <v>7</v>
      </c>
      <c r="K11" s="81"/>
      <c r="L11" s="12" t="s">
        <v>6</v>
      </c>
      <c r="Q11" s="48"/>
    </row>
    <row r="12" spans="1:17" ht="5.15" customHeight="1" thickBot="1" x14ac:dyDescent="0.45">
      <c r="A12" s="2"/>
      <c r="B12" s="63"/>
      <c r="C12" s="64"/>
      <c r="D12" s="28"/>
      <c r="E12" s="29"/>
      <c r="F12" s="86"/>
      <c r="G12" s="29"/>
      <c r="H12" s="30"/>
      <c r="I12" s="29"/>
      <c r="J12" s="86"/>
      <c r="K12" s="29"/>
      <c r="L12" s="31"/>
      <c r="Q12" s="48"/>
    </row>
    <row r="13" spans="1:17" ht="21.9" customHeight="1" x14ac:dyDescent="0.4">
      <c r="A13" s="2"/>
      <c r="B13" s="57" t="s">
        <v>4</v>
      </c>
      <c r="C13" s="2"/>
      <c r="D13" s="2"/>
      <c r="E13" s="2"/>
      <c r="F13" s="79"/>
      <c r="G13" s="2"/>
      <c r="H13" s="2"/>
      <c r="I13" s="2"/>
      <c r="J13" s="79"/>
      <c r="K13" s="2"/>
      <c r="L13" s="10"/>
      <c r="Q13" s="48"/>
    </row>
    <row r="14" spans="1:17" ht="18" customHeight="1" x14ac:dyDescent="0.4">
      <c r="A14" s="2"/>
      <c r="B14" s="57"/>
      <c r="C14" s="2"/>
      <c r="D14" s="2"/>
      <c r="E14" s="2"/>
      <c r="F14" s="79"/>
      <c r="G14" s="2"/>
      <c r="H14" s="2"/>
      <c r="I14" s="2"/>
      <c r="J14" s="79"/>
      <c r="K14" s="2"/>
      <c r="L14" s="10"/>
      <c r="Q14" s="48"/>
    </row>
    <row r="15" spans="1:17" ht="17.149999999999999" customHeight="1" x14ac:dyDescent="0.35">
      <c r="A15" s="2"/>
      <c r="B15" s="57"/>
      <c r="C15" s="5"/>
      <c r="D15" s="6"/>
      <c r="E15" s="58" t="s">
        <v>1</v>
      </c>
      <c r="F15" s="59"/>
      <c r="G15" s="60"/>
      <c r="H15" s="4" t="s">
        <v>2</v>
      </c>
      <c r="I15" s="58" t="s">
        <v>3</v>
      </c>
      <c r="J15" s="59"/>
      <c r="K15" s="60"/>
      <c r="L15" s="11" t="s">
        <v>2</v>
      </c>
      <c r="Q15" s="48"/>
    </row>
    <row r="16" spans="1:17" ht="5.15" customHeight="1" x14ac:dyDescent="0.4">
      <c r="A16" s="2"/>
      <c r="B16" s="57"/>
      <c r="C16" s="61"/>
      <c r="D16" s="2"/>
      <c r="E16" s="81"/>
      <c r="F16" s="82"/>
      <c r="G16" s="81"/>
      <c r="H16" s="8"/>
      <c r="I16" s="81"/>
      <c r="J16" s="82"/>
      <c r="K16" s="81"/>
      <c r="L16" s="10"/>
      <c r="Q16" s="48"/>
    </row>
    <row r="17" spans="1:17" ht="15.9" customHeight="1" x14ac:dyDescent="0.35">
      <c r="A17" s="2"/>
      <c r="B17" s="57"/>
      <c r="C17" s="62"/>
      <c r="D17" s="83" t="s">
        <v>5</v>
      </c>
      <c r="E17" s="81"/>
      <c r="F17" s="84">
        <v>10000</v>
      </c>
      <c r="G17" s="81"/>
      <c r="H17" s="27" t="s">
        <v>6</v>
      </c>
      <c r="I17" s="81"/>
      <c r="J17" s="87" t="s">
        <v>7</v>
      </c>
      <c r="K17" s="81"/>
      <c r="L17" s="12" t="s">
        <v>6</v>
      </c>
      <c r="Q17" s="48"/>
    </row>
    <row r="18" spans="1:17" ht="5.15" customHeight="1" thickBot="1" x14ac:dyDescent="0.45">
      <c r="A18" s="2"/>
      <c r="B18" s="63"/>
      <c r="C18" s="64"/>
      <c r="D18" s="28"/>
      <c r="E18" s="29"/>
      <c r="F18" s="86"/>
      <c r="G18" s="29"/>
      <c r="H18" s="30"/>
      <c r="I18" s="29"/>
      <c r="J18" s="86"/>
      <c r="K18" s="29"/>
      <c r="L18" s="31"/>
      <c r="Q18" s="48"/>
    </row>
    <row r="19" spans="1:17" ht="9" customHeight="1" x14ac:dyDescent="0.4">
      <c r="A19" s="2"/>
      <c r="B19" s="2"/>
      <c r="C19" s="2"/>
      <c r="D19" s="2"/>
      <c r="E19" s="2"/>
      <c r="F19" s="79"/>
      <c r="G19" s="2"/>
      <c r="H19" s="2"/>
      <c r="I19" s="2"/>
      <c r="J19" s="79"/>
      <c r="K19" s="2"/>
      <c r="L19" s="2"/>
      <c r="Q19" s="48"/>
    </row>
    <row r="20" spans="1:17" ht="24.65" customHeight="1" x14ac:dyDescent="0.4">
      <c r="A20" s="2"/>
      <c r="B20" s="2"/>
      <c r="C20" s="2"/>
      <c r="D20" s="2"/>
      <c r="E20" s="2"/>
      <c r="F20" s="79"/>
      <c r="G20" s="2"/>
      <c r="H20" s="2"/>
      <c r="I20" s="2"/>
      <c r="J20" s="79"/>
      <c r="K20" s="2"/>
      <c r="L20" s="2"/>
      <c r="Q20" s="17"/>
    </row>
    <row r="21" spans="1:17" ht="15" customHeight="1" thickBot="1" x14ac:dyDescent="0.45">
      <c r="A21" s="2"/>
      <c r="B21" s="2"/>
      <c r="C21" s="2"/>
      <c r="D21" s="2"/>
      <c r="E21" s="2"/>
      <c r="F21" s="79"/>
      <c r="G21" s="2"/>
      <c r="H21" s="2"/>
      <c r="I21" s="2"/>
      <c r="J21" s="79"/>
      <c r="K21" s="2"/>
      <c r="L21" s="2"/>
      <c r="Q21" s="18" t="s">
        <v>18</v>
      </c>
    </row>
    <row r="22" spans="1:17" ht="28.4" customHeight="1" x14ac:dyDescent="0.35">
      <c r="A22" s="2"/>
      <c r="B22" s="65" t="s">
        <v>9</v>
      </c>
      <c r="C22" s="66"/>
      <c r="D22" s="66"/>
      <c r="E22" s="66"/>
      <c r="F22" s="66"/>
      <c r="G22" s="66"/>
      <c r="H22" s="66"/>
      <c r="I22" s="66"/>
      <c r="J22" s="66"/>
      <c r="K22" s="66"/>
      <c r="L22" s="67"/>
      <c r="Q22" s="48" t="s">
        <v>25</v>
      </c>
    </row>
    <row r="23" spans="1:17" ht="28.4" customHeight="1" x14ac:dyDescent="0.35">
      <c r="A23" s="2"/>
      <c r="B23" s="68"/>
      <c r="C23" s="69"/>
      <c r="D23" s="69"/>
      <c r="E23" s="69"/>
      <c r="F23" s="69"/>
      <c r="G23" s="69"/>
      <c r="H23" s="69"/>
      <c r="I23" s="69"/>
      <c r="J23" s="69"/>
      <c r="K23" s="69"/>
      <c r="L23" s="70"/>
      <c r="Q23" s="48"/>
    </row>
    <row r="24" spans="1:17" ht="18" customHeight="1" x14ac:dyDescent="0.4">
      <c r="A24" s="2"/>
      <c r="B24" s="72" t="s">
        <v>4</v>
      </c>
      <c r="C24" s="2"/>
      <c r="D24" s="2"/>
      <c r="E24" s="2"/>
      <c r="F24" s="79"/>
      <c r="G24" s="2"/>
      <c r="H24" s="2"/>
      <c r="I24" s="2"/>
      <c r="J24" s="79"/>
      <c r="K24" s="2"/>
      <c r="L24" s="10"/>
      <c r="Q24" s="48"/>
    </row>
    <row r="25" spans="1:17" ht="17.149999999999999" customHeight="1" x14ac:dyDescent="0.35">
      <c r="A25" s="2"/>
      <c r="B25" s="57"/>
      <c r="C25" s="5"/>
      <c r="D25" s="6"/>
      <c r="E25" s="58" t="s">
        <v>1</v>
      </c>
      <c r="F25" s="59"/>
      <c r="G25" s="60"/>
      <c r="H25" s="4" t="s">
        <v>2</v>
      </c>
      <c r="I25" s="58" t="s">
        <v>3</v>
      </c>
      <c r="J25" s="59"/>
      <c r="K25" s="60"/>
      <c r="L25" s="11" t="s">
        <v>2</v>
      </c>
      <c r="Q25" s="48"/>
    </row>
    <row r="26" spans="1:17" ht="5.15" customHeight="1" x14ac:dyDescent="0.4">
      <c r="A26" s="2"/>
      <c r="B26" s="57"/>
      <c r="C26" s="62"/>
      <c r="D26" s="2"/>
      <c r="E26" s="81"/>
      <c r="F26" s="82"/>
      <c r="G26" s="81"/>
      <c r="H26" s="9"/>
      <c r="I26" s="81"/>
      <c r="J26" s="82"/>
      <c r="K26" s="81"/>
      <c r="L26" s="10"/>
      <c r="Q26" s="48"/>
    </row>
    <row r="27" spans="1:17" ht="15.9" customHeight="1" x14ac:dyDescent="0.35">
      <c r="A27" s="2"/>
      <c r="B27" s="57"/>
      <c r="C27" s="62"/>
      <c r="D27" s="83" t="s">
        <v>23</v>
      </c>
      <c r="E27" s="81"/>
      <c r="F27" s="84">
        <v>10000</v>
      </c>
      <c r="G27" s="81"/>
      <c r="H27" s="27" t="s">
        <v>6</v>
      </c>
      <c r="I27" s="81"/>
      <c r="J27" s="88" t="s">
        <v>7</v>
      </c>
      <c r="K27" s="81"/>
      <c r="L27" s="12" t="s">
        <v>6</v>
      </c>
      <c r="Q27" s="48"/>
    </row>
    <row r="28" spans="1:17" ht="5.15" customHeight="1" x14ac:dyDescent="0.4">
      <c r="A28" s="2"/>
      <c r="B28" s="57"/>
      <c r="C28" s="71"/>
      <c r="D28" s="45"/>
      <c r="E28" s="7"/>
      <c r="F28" s="89"/>
      <c r="G28" s="7"/>
      <c r="H28" s="6"/>
      <c r="I28" s="7"/>
      <c r="J28" s="89"/>
      <c r="K28" s="7"/>
      <c r="L28" s="46"/>
      <c r="Q28" s="48"/>
    </row>
    <row r="29" spans="1:17" ht="5.15" customHeight="1" x14ac:dyDescent="0.4">
      <c r="A29" s="2"/>
      <c r="B29" s="57"/>
      <c r="C29" s="62"/>
      <c r="D29" s="2"/>
      <c r="E29" s="81"/>
      <c r="F29" s="82"/>
      <c r="G29" s="81"/>
      <c r="H29" s="9"/>
      <c r="I29" s="81"/>
      <c r="J29" s="82"/>
      <c r="K29" s="81"/>
      <c r="L29" s="10"/>
      <c r="Q29" s="48"/>
    </row>
    <row r="30" spans="1:17" ht="15.9" customHeight="1" x14ac:dyDescent="0.4">
      <c r="A30" s="2"/>
      <c r="B30" s="57"/>
      <c r="C30" s="62"/>
      <c r="D30" s="83" t="s">
        <v>24</v>
      </c>
      <c r="E30" s="81"/>
      <c r="F30" s="90">
        <v>10000</v>
      </c>
      <c r="G30" s="81"/>
      <c r="H30" s="27" t="s">
        <v>6</v>
      </c>
      <c r="I30" s="81"/>
      <c r="J30" s="88" t="s">
        <v>7</v>
      </c>
      <c r="K30" s="81"/>
      <c r="L30" s="12" t="s">
        <v>19</v>
      </c>
      <c r="Q30" s="19"/>
    </row>
    <row r="31" spans="1:17" ht="5.15" customHeight="1" x14ac:dyDescent="0.4">
      <c r="A31" s="2"/>
      <c r="B31" s="57"/>
      <c r="C31" s="71"/>
      <c r="D31" s="45"/>
      <c r="E31" s="7"/>
      <c r="F31" s="89"/>
      <c r="G31" s="7"/>
      <c r="H31" s="6"/>
      <c r="I31" s="7"/>
      <c r="J31" s="89"/>
      <c r="K31" s="7"/>
      <c r="L31" s="46"/>
    </row>
    <row r="32" spans="1:17" ht="5.15" customHeight="1" x14ac:dyDescent="0.4">
      <c r="A32" s="2"/>
      <c r="B32" s="57"/>
      <c r="C32" s="62"/>
      <c r="D32" s="2"/>
      <c r="E32" s="81"/>
      <c r="F32" s="82"/>
      <c r="G32" s="81"/>
      <c r="H32" s="9"/>
      <c r="I32" s="81"/>
      <c r="J32" s="82"/>
      <c r="K32" s="81"/>
      <c r="L32" s="10"/>
    </row>
    <row r="33" spans="1:12" ht="15.9" customHeight="1" x14ac:dyDescent="0.35">
      <c r="A33" s="2"/>
      <c r="B33" s="57"/>
      <c r="C33" s="62"/>
      <c r="D33" s="83" t="s">
        <v>10</v>
      </c>
      <c r="E33" s="81"/>
      <c r="F33" s="84">
        <v>10000</v>
      </c>
      <c r="G33" s="81"/>
      <c r="H33" s="27" t="s">
        <v>6</v>
      </c>
      <c r="I33" s="81"/>
      <c r="J33" s="88" t="s">
        <v>7</v>
      </c>
      <c r="K33" s="81"/>
      <c r="L33" s="12" t="s">
        <v>6</v>
      </c>
    </row>
    <row r="34" spans="1:12" ht="5.15" customHeight="1" x14ac:dyDescent="0.4">
      <c r="A34" s="2"/>
      <c r="B34" s="57"/>
      <c r="C34" s="71"/>
      <c r="D34" s="45"/>
      <c r="E34" s="7"/>
      <c r="F34" s="89"/>
      <c r="G34" s="7"/>
      <c r="H34" s="6"/>
      <c r="I34" s="7"/>
      <c r="J34" s="89"/>
      <c r="K34" s="7"/>
      <c r="L34" s="46"/>
    </row>
    <row r="35" spans="1:12" ht="5.15" customHeight="1" x14ac:dyDescent="0.4">
      <c r="A35" s="2"/>
      <c r="B35" s="57"/>
      <c r="C35" s="62"/>
      <c r="D35" s="2"/>
      <c r="E35" s="81"/>
      <c r="F35" s="82"/>
      <c r="G35" s="81"/>
      <c r="H35" s="9"/>
      <c r="I35" s="81"/>
      <c r="J35" s="82"/>
      <c r="K35" s="81"/>
      <c r="L35" s="10"/>
    </row>
    <row r="36" spans="1:12" ht="15.9" customHeight="1" x14ac:dyDescent="0.35">
      <c r="A36" s="2"/>
      <c r="B36" s="57"/>
      <c r="C36" s="62"/>
      <c r="D36" s="83" t="s">
        <v>11</v>
      </c>
      <c r="E36" s="81"/>
      <c r="F36" s="91">
        <v>10000</v>
      </c>
      <c r="G36" s="81"/>
      <c r="H36" s="27" t="s">
        <v>20</v>
      </c>
      <c r="I36" s="81"/>
      <c r="J36" s="88" t="s">
        <v>7</v>
      </c>
      <c r="K36" s="81"/>
      <c r="L36" s="12" t="s">
        <v>19</v>
      </c>
    </row>
    <row r="37" spans="1:12" ht="5.15" customHeight="1" x14ac:dyDescent="0.4">
      <c r="A37" s="2"/>
      <c r="B37" s="57"/>
      <c r="C37" s="71"/>
      <c r="D37" s="45"/>
      <c r="E37" s="7"/>
      <c r="F37" s="89"/>
      <c r="G37" s="7"/>
      <c r="H37" s="6"/>
      <c r="I37" s="7"/>
      <c r="J37" s="89"/>
      <c r="K37" s="7"/>
      <c r="L37" s="46"/>
    </row>
    <row r="38" spans="1:12" ht="5.15" customHeight="1" x14ac:dyDescent="0.4">
      <c r="A38" s="2"/>
      <c r="B38" s="57"/>
      <c r="C38" s="62"/>
      <c r="D38" s="2"/>
      <c r="E38" s="81"/>
      <c r="F38" s="82"/>
      <c r="G38" s="81"/>
      <c r="H38" s="9"/>
      <c r="I38" s="81"/>
      <c r="J38" s="82"/>
      <c r="K38" s="81"/>
      <c r="L38" s="10"/>
    </row>
    <row r="39" spans="1:12" ht="15.9" customHeight="1" x14ac:dyDescent="0.4">
      <c r="A39" s="2"/>
      <c r="B39" s="57"/>
      <c r="C39" s="62"/>
      <c r="D39" s="83" t="s">
        <v>12</v>
      </c>
      <c r="E39" s="81"/>
      <c r="F39" s="82"/>
      <c r="G39" s="81"/>
      <c r="H39" s="9"/>
      <c r="I39" s="81"/>
      <c r="J39" s="82"/>
      <c r="K39" s="81"/>
      <c r="L39" s="10"/>
    </row>
    <row r="40" spans="1:12" ht="5.15" customHeight="1" x14ac:dyDescent="0.4">
      <c r="A40" s="2"/>
      <c r="B40" s="57"/>
      <c r="C40" s="44"/>
      <c r="D40" s="83"/>
      <c r="E40" s="81"/>
      <c r="F40" s="82"/>
      <c r="G40" s="81"/>
      <c r="H40" s="9"/>
      <c r="I40" s="81"/>
      <c r="J40" s="82"/>
      <c r="K40" s="81"/>
      <c r="L40" s="10"/>
    </row>
    <row r="41" spans="1:12" ht="15.9" customHeight="1" x14ac:dyDescent="0.35">
      <c r="A41" s="2"/>
      <c r="B41" s="57"/>
      <c r="C41" s="44"/>
      <c r="D41" s="92" t="s">
        <v>26</v>
      </c>
      <c r="E41" s="81"/>
      <c r="F41" s="93">
        <v>10000</v>
      </c>
      <c r="G41" s="81"/>
      <c r="H41" s="27" t="s">
        <v>27</v>
      </c>
      <c r="I41" s="81"/>
      <c r="J41" s="94" t="s">
        <v>7</v>
      </c>
      <c r="K41" s="81"/>
      <c r="L41" s="12" t="s">
        <v>27</v>
      </c>
    </row>
    <row r="42" spans="1:12" ht="5.15" customHeight="1" x14ac:dyDescent="0.4">
      <c r="A42" s="2"/>
      <c r="B42" s="57"/>
      <c r="C42" s="44"/>
      <c r="D42" s="24"/>
      <c r="E42" s="7"/>
      <c r="F42" s="89"/>
      <c r="G42" s="7"/>
      <c r="H42" s="6"/>
      <c r="I42" s="7"/>
      <c r="J42" s="89"/>
      <c r="K42" s="7"/>
      <c r="L42" s="46"/>
    </row>
    <row r="43" spans="1:12" ht="5.15" customHeight="1" x14ac:dyDescent="0.4">
      <c r="A43" s="2"/>
      <c r="B43" s="57"/>
      <c r="C43" s="44"/>
      <c r="D43" s="83"/>
      <c r="E43" s="81"/>
      <c r="F43" s="82"/>
      <c r="G43" s="81"/>
      <c r="H43" s="9"/>
      <c r="I43" s="81"/>
      <c r="J43" s="82"/>
      <c r="K43" s="81"/>
      <c r="L43" s="10"/>
    </row>
    <row r="44" spans="1:12" ht="15.9" customHeight="1" x14ac:dyDescent="0.35">
      <c r="A44" s="2"/>
      <c r="B44" s="57"/>
      <c r="C44" s="44"/>
      <c r="D44" s="95" t="s">
        <v>30</v>
      </c>
      <c r="E44" s="81"/>
      <c r="F44" s="96">
        <v>10000</v>
      </c>
      <c r="G44" s="81"/>
      <c r="H44" s="27" t="s">
        <v>31</v>
      </c>
      <c r="I44" s="81"/>
      <c r="J44" s="88" t="s">
        <v>7</v>
      </c>
      <c r="K44" s="81"/>
      <c r="L44" s="12" t="s">
        <v>19</v>
      </c>
    </row>
    <row r="45" spans="1:12" ht="5.15" customHeight="1" x14ac:dyDescent="0.4">
      <c r="A45" s="2"/>
      <c r="B45" s="57"/>
      <c r="C45" s="44"/>
      <c r="D45" s="24"/>
      <c r="E45" s="7"/>
      <c r="F45" s="89"/>
      <c r="G45" s="7"/>
      <c r="H45" s="6"/>
      <c r="I45" s="7"/>
      <c r="J45" s="89"/>
      <c r="K45" s="7"/>
      <c r="L45" s="46"/>
    </row>
    <row r="46" spans="1:12" ht="21.9" customHeight="1" x14ac:dyDescent="0.4">
      <c r="A46" s="2"/>
      <c r="B46" s="57"/>
      <c r="C46" s="44"/>
      <c r="D46" s="2"/>
      <c r="E46" s="2"/>
      <c r="F46" s="79"/>
      <c r="G46" s="2"/>
      <c r="H46" s="9"/>
      <c r="I46" s="2"/>
      <c r="J46" s="79"/>
      <c r="K46" s="2"/>
      <c r="L46" s="10"/>
    </row>
    <row r="47" spans="1:12" ht="5.15" customHeight="1" thickBot="1" x14ac:dyDescent="0.45">
      <c r="A47" s="2"/>
      <c r="B47" s="63"/>
      <c r="C47" s="47"/>
      <c r="D47" s="28"/>
      <c r="E47" s="28"/>
      <c r="F47" s="97"/>
      <c r="G47" s="28"/>
      <c r="H47" s="30"/>
      <c r="I47" s="28"/>
      <c r="J47" s="97"/>
      <c r="K47" s="28"/>
      <c r="L47" s="31"/>
    </row>
    <row r="48" spans="1:12" ht="15.9" customHeight="1" x14ac:dyDescent="0.4">
      <c r="A48" s="2"/>
      <c r="B48" s="56" t="s">
        <v>8</v>
      </c>
      <c r="C48" s="13"/>
      <c r="D48" s="13"/>
      <c r="E48" s="13"/>
      <c r="F48" s="80"/>
      <c r="G48" s="13"/>
      <c r="H48" s="13"/>
      <c r="I48" s="13"/>
      <c r="J48" s="80"/>
      <c r="K48" s="13"/>
      <c r="L48" s="14"/>
    </row>
    <row r="49" spans="1:12" ht="18" customHeight="1" x14ac:dyDescent="0.35">
      <c r="A49" s="2"/>
      <c r="B49" s="57"/>
      <c r="C49" s="5"/>
      <c r="D49" s="6"/>
      <c r="E49" s="58" t="s">
        <v>1</v>
      </c>
      <c r="F49" s="59"/>
      <c r="G49" s="60"/>
      <c r="H49" s="4" t="s">
        <v>2</v>
      </c>
      <c r="I49" s="58" t="s">
        <v>3</v>
      </c>
      <c r="J49" s="59"/>
      <c r="K49" s="60"/>
      <c r="L49" s="11" t="s">
        <v>2</v>
      </c>
    </row>
    <row r="50" spans="1:12" ht="5.15" customHeight="1" x14ac:dyDescent="0.4">
      <c r="A50" s="2"/>
      <c r="B50" s="57"/>
      <c r="C50" s="62"/>
      <c r="D50" s="2"/>
      <c r="E50" s="81"/>
      <c r="F50" s="82"/>
      <c r="G50" s="81"/>
      <c r="H50" s="9"/>
      <c r="I50" s="81"/>
      <c r="J50" s="82"/>
      <c r="K50" s="81"/>
      <c r="L50" s="10"/>
    </row>
    <row r="51" spans="1:12" ht="15.9" customHeight="1" x14ac:dyDescent="0.35">
      <c r="A51" s="2"/>
      <c r="B51" s="57"/>
      <c r="C51" s="62"/>
      <c r="D51" s="83" t="s">
        <v>23</v>
      </c>
      <c r="E51" s="81"/>
      <c r="F51" s="84">
        <v>10000</v>
      </c>
      <c r="G51" s="81"/>
      <c r="H51" s="27" t="s">
        <v>6</v>
      </c>
      <c r="I51" s="81"/>
      <c r="J51" s="88" t="s">
        <v>7</v>
      </c>
      <c r="K51" s="81"/>
      <c r="L51" s="12" t="s">
        <v>6</v>
      </c>
    </row>
    <row r="52" spans="1:12" ht="5.15" customHeight="1" x14ac:dyDescent="0.4">
      <c r="A52" s="2"/>
      <c r="B52" s="57"/>
      <c r="C52" s="71"/>
      <c r="D52" s="45"/>
      <c r="E52" s="7"/>
      <c r="F52" s="89"/>
      <c r="G52" s="7"/>
      <c r="H52" s="6"/>
      <c r="I52" s="7"/>
      <c r="J52" s="89"/>
      <c r="K52" s="7"/>
      <c r="L52" s="46"/>
    </row>
    <row r="53" spans="1:12" ht="5.15" customHeight="1" x14ac:dyDescent="0.4">
      <c r="A53" s="2"/>
      <c r="B53" s="57"/>
      <c r="C53" s="62"/>
      <c r="D53" s="2"/>
      <c r="E53" s="81"/>
      <c r="F53" s="82"/>
      <c r="G53" s="81"/>
      <c r="H53" s="9"/>
      <c r="I53" s="81"/>
      <c r="J53" s="82"/>
      <c r="K53" s="81"/>
      <c r="L53" s="10"/>
    </row>
    <row r="54" spans="1:12" ht="15.9" customHeight="1" x14ac:dyDescent="0.35">
      <c r="A54" s="2"/>
      <c r="B54" s="57"/>
      <c r="C54" s="62"/>
      <c r="D54" s="83" t="s">
        <v>24</v>
      </c>
      <c r="E54" s="81"/>
      <c r="F54" s="90">
        <v>10000</v>
      </c>
      <c r="G54" s="81"/>
      <c r="H54" s="27" t="s">
        <v>20</v>
      </c>
      <c r="I54" s="81"/>
      <c r="J54" s="88" t="s">
        <v>7</v>
      </c>
      <c r="K54" s="81"/>
      <c r="L54" s="12" t="s">
        <v>19</v>
      </c>
    </row>
    <row r="55" spans="1:12" ht="5.15" customHeight="1" x14ac:dyDescent="0.4">
      <c r="A55" s="2"/>
      <c r="B55" s="57"/>
      <c r="C55" s="71"/>
      <c r="D55" s="45"/>
      <c r="E55" s="7"/>
      <c r="F55" s="89"/>
      <c r="G55" s="7"/>
      <c r="H55" s="6"/>
      <c r="I55" s="7"/>
      <c r="J55" s="89"/>
      <c r="K55" s="7"/>
      <c r="L55" s="46"/>
    </row>
    <row r="56" spans="1:12" ht="5.15" customHeight="1" x14ac:dyDescent="0.4">
      <c r="A56" s="2"/>
      <c r="B56" s="57"/>
      <c r="C56" s="62"/>
      <c r="D56" s="2"/>
      <c r="E56" s="81"/>
      <c r="F56" s="82"/>
      <c r="G56" s="81"/>
      <c r="H56" s="9"/>
      <c r="I56" s="81"/>
      <c r="J56" s="82"/>
      <c r="K56" s="81"/>
      <c r="L56" s="10"/>
    </row>
    <row r="57" spans="1:12" ht="15.9" customHeight="1" x14ac:dyDescent="0.35">
      <c r="A57" s="2"/>
      <c r="B57" s="57"/>
      <c r="C57" s="62"/>
      <c r="D57" s="83" t="s">
        <v>10</v>
      </c>
      <c r="E57" s="81"/>
      <c r="F57" s="90">
        <v>10000</v>
      </c>
      <c r="G57" s="81"/>
      <c r="H57" s="27" t="s">
        <v>6</v>
      </c>
      <c r="I57" s="81"/>
      <c r="J57" s="88" t="s">
        <v>7</v>
      </c>
      <c r="K57" s="81"/>
      <c r="L57" s="12" t="s">
        <v>6</v>
      </c>
    </row>
    <row r="58" spans="1:12" ht="5.15" customHeight="1" x14ac:dyDescent="0.4">
      <c r="A58" s="2"/>
      <c r="B58" s="57"/>
      <c r="C58" s="71"/>
      <c r="D58" s="45"/>
      <c r="E58" s="7"/>
      <c r="F58" s="89"/>
      <c r="G58" s="7"/>
      <c r="H58" s="6"/>
      <c r="I58" s="7"/>
      <c r="J58" s="89"/>
      <c r="K58" s="7"/>
      <c r="L58" s="46"/>
    </row>
    <row r="59" spans="1:12" ht="5.15" customHeight="1" x14ac:dyDescent="0.4">
      <c r="A59" s="2"/>
      <c r="B59" s="57"/>
      <c r="C59" s="62"/>
      <c r="D59" s="2"/>
      <c r="E59" s="81"/>
      <c r="F59" s="82"/>
      <c r="G59" s="81"/>
      <c r="H59" s="9"/>
      <c r="I59" s="81"/>
      <c r="J59" s="82"/>
      <c r="K59" s="81"/>
      <c r="L59" s="10"/>
    </row>
    <row r="60" spans="1:12" ht="15.9" customHeight="1" x14ac:dyDescent="0.35">
      <c r="A60" s="2"/>
      <c r="B60" s="57"/>
      <c r="C60" s="62"/>
      <c r="D60" s="83" t="s">
        <v>11</v>
      </c>
      <c r="E60" s="81"/>
      <c r="F60" s="90">
        <v>10000</v>
      </c>
      <c r="G60" s="81"/>
      <c r="H60" s="27" t="s">
        <v>6</v>
      </c>
      <c r="I60" s="81"/>
      <c r="J60" s="88" t="s">
        <v>7</v>
      </c>
      <c r="K60" s="81"/>
      <c r="L60" s="12" t="s">
        <v>6</v>
      </c>
    </row>
    <row r="61" spans="1:12" ht="5.15" customHeight="1" x14ac:dyDescent="0.4">
      <c r="A61" s="2"/>
      <c r="B61" s="57"/>
      <c r="C61" s="71"/>
      <c r="D61" s="45"/>
      <c r="E61" s="7"/>
      <c r="F61" s="89"/>
      <c r="G61" s="7"/>
      <c r="H61" s="6"/>
      <c r="I61" s="7"/>
      <c r="J61" s="89"/>
      <c r="K61" s="7"/>
      <c r="L61" s="46"/>
    </row>
    <row r="62" spans="1:12" ht="5.15" customHeight="1" x14ac:dyDescent="0.4">
      <c r="A62" s="2"/>
      <c r="B62" s="57"/>
      <c r="C62" s="62"/>
      <c r="D62" s="2"/>
      <c r="E62" s="81"/>
      <c r="F62" s="82"/>
      <c r="G62" s="81"/>
      <c r="H62" s="9"/>
      <c r="I62" s="81"/>
      <c r="J62" s="82"/>
      <c r="K62" s="81"/>
      <c r="L62" s="10"/>
    </row>
    <row r="63" spans="1:12" ht="15.9" customHeight="1" x14ac:dyDescent="0.4">
      <c r="A63" s="2"/>
      <c r="B63" s="57"/>
      <c r="C63" s="62"/>
      <c r="D63" s="83" t="s">
        <v>12</v>
      </c>
      <c r="E63" s="81"/>
      <c r="F63" s="82"/>
      <c r="G63" s="81"/>
      <c r="H63" s="9"/>
      <c r="I63" s="81"/>
      <c r="J63" s="82"/>
      <c r="K63" s="81"/>
      <c r="L63" s="10"/>
    </row>
    <row r="64" spans="1:12" ht="5.15" customHeight="1" x14ac:dyDescent="0.4">
      <c r="A64" s="2"/>
      <c r="B64" s="57"/>
      <c r="C64" s="44"/>
      <c r="D64" s="83"/>
      <c r="E64" s="81"/>
      <c r="F64" s="82"/>
      <c r="G64" s="81"/>
      <c r="H64" s="9"/>
      <c r="I64" s="81"/>
      <c r="J64" s="82"/>
      <c r="K64" s="81"/>
      <c r="L64" s="10"/>
    </row>
    <row r="65" spans="1:12" ht="15.9" customHeight="1" x14ac:dyDescent="0.35">
      <c r="A65" s="2"/>
      <c r="B65" s="57"/>
      <c r="C65" s="44"/>
      <c r="D65" s="92" t="s">
        <v>32</v>
      </c>
      <c r="E65" s="81"/>
      <c r="F65" s="98">
        <v>10000</v>
      </c>
      <c r="G65" s="81"/>
      <c r="H65" s="27" t="s">
        <v>27</v>
      </c>
      <c r="I65" s="81"/>
      <c r="J65" s="88" t="s">
        <v>7</v>
      </c>
      <c r="K65" s="81"/>
      <c r="L65" s="12" t="s">
        <v>19</v>
      </c>
    </row>
    <row r="66" spans="1:12" ht="5.15" customHeight="1" x14ac:dyDescent="0.4">
      <c r="A66" s="2"/>
      <c r="B66" s="57"/>
      <c r="C66" s="44"/>
      <c r="D66" s="24"/>
      <c r="E66" s="7"/>
      <c r="F66" s="89"/>
      <c r="G66" s="7"/>
      <c r="H66" s="6"/>
      <c r="I66" s="7"/>
      <c r="J66" s="89"/>
      <c r="K66" s="7"/>
      <c r="L66" s="46"/>
    </row>
    <row r="67" spans="1:12" ht="5.15" customHeight="1" x14ac:dyDescent="0.4">
      <c r="A67" s="2"/>
      <c r="B67" s="57"/>
      <c r="C67" s="44"/>
      <c r="D67" s="83"/>
      <c r="E67" s="81"/>
      <c r="F67" s="82"/>
      <c r="G67" s="81"/>
      <c r="H67" s="9"/>
      <c r="I67" s="81"/>
      <c r="J67" s="82"/>
      <c r="K67" s="81"/>
      <c r="L67" s="10"/>
    </row>
    <row r="68" spans="1:12" ht="15.9" customHeight="1" x14ac:dyDescent="0.35">
      <c r="A68" s="2"/>
      <c r="B68" s="57"/>
      <c r="C68" s="44"/>
      <c r="D68" s="92" t="s">
        <v>33</v>
      </c>
      <c r="E68" s="81"/>
      <c r="F68" s="84">
        <v>10000</v>
      </c>
      <c r="G68" s="81"/>
      <c r="H68" s="27" t="s">
        <v>19</v>
      </c>
      <c r="I68" s="81"/>
      <c r="J68" s="99" t="s">
        <v>7</v>
      </c>
      <c r="K68" s="81"/>
      <c r="L68" s="12" t="s">
        <v>20</v>
      </c>
    </row>
    <row r="69" spans="1:12" ht="5.15" customHeight="1" x14ac:dyDescent="0.4">
      <c r="A69" s="2"/>
      <c r="B69" s="57"/>
      <c r="C69" s="44"/>
      <c r="D69" s="24"/>
      <c r="E69" s="7"/>
      <c r="F69" s="89"/>
      <c r="G69" s="7"/>
      <c r="H69" s="6"/>
      <c r="I69" s="7"/>
      <c r="J69" s="89"/>
      <c r="K69" s="7"/>
      <c r="L69" s="46"/>
    </row>
    <row r="70" spans="1:12" ht="5.15" customHeight="1" x14ac:dyDescent="0.4">
      <c r="A70" s="2"/>
      <c r="B70" s="57"/>
      <c r="C70" s="44"/>
      <c r="D70" s="83"/>
      <c r="E70" s="81"/>
      <c r="F70" s="82"/>
      <c r="G70" s="81"/>
      <c r="H70" s="9"/>
      <c r="I70" s="81"/>
      <c r="J70" s="82"/>
      <c r="K70" s="81"/>
      <c r="L70" s="10"/>
    </row>
    <row r="71" spans="1:12" ht="15.9" customHeight="1" x14ac:dyDescent="0.35">
      <c r="A71" s="2"/>
      <c r="B71" s="57"/>
      <c r="C71" s="44"/>
      <c r="D71" s="92" t="s">
        <v>34</v>
      </c>
      <c r="E71" s="81"/>
      <c r="F71" s="84">
        <v>10000</v>
      </c>
      <c r="G71" s="81"/>
      <c r="H71" s="27" t="s">
        <v>19</v>
      </c>
      <c r="I71" s="81"/>
      <c r="J71" s="100" t="s">
        <v>7</v>
      </c>
      <c r="K71" s="81"/>
      <c r="L71" s="12" t="s">
        <v>20</v>
      </c>
    </row>
    <row r="72" spans="1:12" ht="5.15" customHeight="1" x14ac:dyDescent="0.4">
      <c r="A72" s="2"/>
      <c r="B72" s="57"/>
      <c r="C72" s="44"/>
      <c r="D72" s="24"/>
      <c r="E72" s="7"/>
      <c r="F72" s="89"/>
      <c r="G72" s="7"/>
      <c r="H72" s="6"/>
      <c r="I72" s="7"/>
      <c r="J72" s="89"/>
      <c r="K72" s="7"/>
      <c r="L72" s="46"/>
    </row>
    <row r="73" spans="1:12" ht="5.15" customHeight="1" x14ac:dyDescent="0.4">
      <c r="A73" s="2"/>
      <c r="B73" s="57"/>
      <c r="C73" s="44"/>
      <c r="D73" s="83"/>
      <c r="E73" s="81"/>
      <c r="F73" s="82"/>
      <c r="G73" s="81"/>
      <c r="H73" s="9"/>
      <c r="I73" s="81"/>
      <c r="J73" s="82"/>
      <c r="K73" s="81"/>
      <c r="L73" s="10"/>
    </row>
    <row r="74" spans="1:12" ht="15.9" customHeight="1" x14ac:dyDescent="0.35">
      <c r="A74" s="2"/>
      <c r="B74" s="57"/>
      <c r="C74" s="44"/>
      <c r="D74" s="92" t="s">
        <v>35</v>
      </c>
      <c r="E74" s="81"/>
      <c r="F74" s="84">
        <v>10000</v>
      </c>
      <c r="G74" s="81"/>
      <c r="H74" s="27" t="s">
        <v>19</v>
      </c>
      <c r="I74" s="81"/>
      <c r="J74" s="101" t="s">
        <v>7</v>
      </c>
      <c r="K74" s="81"/>
      <c r="L74" s="12" t="s">
        <v>20</v>
      </c>
    </row>
    <row r="75" spans="1:12" ht="5.15" customHeight="1" x14ac:dyDescent="0.4">
      <c r="A75" s="2"/>
      <c r="B75" s="57"/>
      <c r="C75" s="44"/>
      <c r="D75" s="24"/>
      <c r="E75" s="7"/>
      <c r="F75" s="89"/>
      <c r="G75" s="7"/>
      <c r="H75" s="6"/>
      <c r="I75" s="7"/>
      <c r="J75" s="89"/>
      <c r="K75" s="7"/>
      <c r="L75" s="46"/>
    </row>
    <row r="76" spans="1:12" ht="5.15" customHeight="1" x14ac:dyDescent="0.4">
      <c r="A76" s="2"/>
      <c r="B76" s="57"/>
      <c r="C76" s="44"/>
      <c r="D76" s="83"/>
      <c r="E76" s="81"/>
      <c r="F76" s="82"/>
      <c r="G76" s="81"/>
      <c r="H76" s="9"/>
      <c r="I76" s="81"/>
      <c r="J76" s="82"/>
      <c r="K76" s="81"/>
      <c r="L76" s="10"/>
    </row>
    <row r="77" spans="1:12" ht="15.9" customHeight="1" x14ac:dyDescent="0.35">
      <c r="A77" s="2"/>
      <c r="B77" s="57"/>
      <c r="C77" s="44"/>
      <c r="D77" s="92" t="s">
        <v>36</v>
      </c>
      <c r="E77" s="81"/>
      <c r="F77" s="84">
        <v>10000</v>
      </c>
      <c r="G77" s="81"/>
      <c r="H77" s="27" t="s">
        <v>19</v>
      </c>
      <c r="I77" s="81"/>
      <c r="J77" s="102" t="s">
        <v>7</v>
      </c>
      <c r="K77" s="81"/>
      <c r="L77" s="12" t="s">
        <v>20</v>
      </c>
    </row>
    <row r="78" spans="1:12" ht="5.15" customHeight="1" x14ac:dyDescent="0.4">
      <c r="A78" s="2"/>
      <c r="B78" s="57"/>
      <c r="C78" s="44"/>
      <c r="D78" s="24"/>
      <c r="E78" s="7"/>
      <c r="F78" s="89"/>
      <c r="G78" s="7"/>
      <c r="H78" s="6"/>
      <c r="I78" s="7"/>
      <c r="J78" s="89"/>
      <c r="K78" s="7"/>
      <c r="L78" s="46"/>
    </row>
    <row r="79" spans="1:12" ht="5.15" customHeight="1" x14ac:dyDescent="0.4">
      <c r="A79" s="2"/>
      <c r="B79" s="57"/>
      <c r="C79" s="44"/>
      <c r="D79" s="83"/>
      <c r="E79" s="81"/>
      <c r="F79" s="82"/>
      <c r="G79" s="81"/>
      <c r="H79" s="9"/>
      <c r="I79" s="81"/>
      <c r="J79" s="82"/>
      <c r="K79" s="81"/>
      <c r="L79" s="10"/>
    </row>
    <row r="80" spans="1:12" ht="15.9" customHeight="1" x14ac:dyDescent="0.35">
      <c r="A80" s="2"/>
      <c r="B80" s="57"/>
      <c r="C80" s="44"/>
      <c r="D80" s="92" t="s">
        <v>37</v>
      </c>
      <c r="E80" s="81"/>
      <c r="F80" s="84">
        <v>10000</v>
      </c>
      <c r="G80" s="81"/>
      <c r="H80" s="27" t="s">
        <v>19</v>
      </c>
      <c r="I80" s="81"/>
      <c r="J80" s="103" t="s">
        <v>7</v>
      </c>
      <c r="K80" s="81"/>
      <c r="L80" s="12" t="s">
        <v>20</v>
      </c>
    </row>
    <row r="81" spans="1:12" ht="5.15" customHeight="1" x14ac:dyDescent="0.4">
      <c r="A81" s="2"/>
      <c r="B81" s="57"/>
      <c r="C81" s="44"/>
      <c r="D81" s="24"/>
      <c r="E81" s="7"/>
      <c r="F81" s="89"/>
      <c r="G81" s="7"/>
      <c r="H81" s="6"/>
      <c r="I81" s="7"/>
      <c r="J81" s="89"/>
      <c r="K81" s="7"/>
      <c r="L81" s="46"/>
    </row>
    <row r="82" spans="1:12" ht="5.15" customHeight="1" x14ac:dyDescent="0.4">
      <c r="A82" s="2"/>
      <c r="B82" s="57"/>
      <c r="C82" s="44"/>
      <c r="D82" s="83"/>
      <c r="E82" s="81"/>
      <c r="F82" s="82"/>
      <c r="G82" s="81"/>
      <c r="H82" s="9"/>
      <c r="I82" s="81"/>
      <c r="J82" s="82"/>
      <c r="K82" s="81"/>
      <c r="L82" s="10"/>
    </row>
    <row r="83" spans="1:12" ht="15.9" customHeight="1" x14ac:dyDescent="0.35">
      <c r="A83" s="2"/>
      <c r="B83" s="57"/>
      <c r="C83" s="44"/>
      <c r="D83" s="92" t="s">
        <v>38</v>
      </c>
      <c r="E83" s="81"/>
      <c r="F83" s="84">
        <v>10000</v>
      </c>
      <c r="G83" s="81"/>
      <c r="H83" s="27" t="s">
        <v>19</v>
      </c>
      <c r="I83" s="81"/>
      <c r="J83" s="104" t="s">
        <v>7</v>
      </c>
      <c r="K83" s="81"/>
      <c r="L83" s="12" t="s">
        <v>20</v>
      </c>
    </row>
    <row r="84" spans="1:12" ht="5.15" customHeight="1" x14ac:dyDescent="0.4">
      <c r="A84" s="2"/>
      <c r="B84" s="57"/>
      <c r="C84" s="44"/>
      <c r="D84" s="24"/>
      <c r="E84" s="7"/>
      <c r="F84" s="89"/>
      <c r="G84" s="7"/>
      <c r="H84" s="6"/>
      <c r="I84" s="7"/>
      <c r="J84" s="89"/>
      <c r="K84" s="7"/>
      <c r="L84" s="46"/>
    </row>
    <row r="85" spans="1:12" ht="21.9" customHeight="1" x14ac:dyDescent="0.4">
      <c r="A85" s="2"/>
      <c r="B85" s="57"/>
      <c r="C85" s="44"/>
      <c r="D85" s="2"/>
      <c r="E85" s="2"/>
      <c r="F85" s="79"/>
      <c r="G85" s="2"/>
      <c r="H85" s="9"/>
      <c r="I85" s="2"/>
      <c r="J85" s="79"/>
      <c r="K85" s="2"/>
      <c r="L85" s="10"/>
    </row>
    <row r="86" spans="1:12" ht="5.15" customHeight="1" thickBot="1" x14ac:dyDescent="0.45">
      <c r="A86" s="2"/>
      <c r="B86" s="63"/>
      <c r="C86" s="47"/>
      <c r="D86" s="28"/>
      <c r="E86" s="28"/>
      <c r="F86" s="97"/>
      <c r="G86" s="28"/>
      <c r="H86" s="30"/>
      <c r="I86" s="28"/>
      <c r="J86" s="97"/>
      <c r="K86" s="28"/>
      <c r="L86" s="31"/>
    </row>
    <row r="87" spans="1:12" ht="24.65" customHeight="1" x14ac:dyDescent="0.4">
      <c r="A87" s="2"/>
      <c r="B87" s="2"/>
      <c r="C87" s="2"/>
      <c r="D87" s="2"/>
      <c r="E87" s="2"/>
      <c r="F87" s="79"/>
      <c r="G87" s="2"/>
      <c r="H87" s="2"/>
      <c r="I87" s="2"/>
      <c r="J87" s="79"/>
      <c r="K87" s="2"/>
      <c r="L87" s="2"/>
    </row>
    <row r="88" spans="1:12" ht="15" thickBot="1" x14ac:dyDescent="0.45">
      <c r="A88" s="2"/>
      <c r="B88" s="2"/>
      <c r="C88" s="2"/>
      <c r="D88" s="2"/>
      <c r="E88" s="2"/>
      <c r="F88" s="79"/>
      <c r="G88" s="2"/>
      <c r="H88" s="2"/>
      <c r="I88" s="2"/>
      <c r="J88" s="79"/>
      <c r="K88" s="2"/>
      <c r="L88" s="2"/>
    </row>
    <row r="89" spans="1:12" ht="28.4" customHeight="1" x14ac:dyDescent="0.35">
      <c r="A89" s="2"/>
      <c r="B89" s="65" t="s">
        <v>13</v>
      </c>
      <c r="C89" s="66"/>
      <c r="D89" s="66"/>
      <c r="E89" s="66"/>
      <c r="F89" s="66"/>
      <c r="G89" s="66"/>
      <c r="H89" s="66"/>
      <c r="I89" s="66"/>
      <c r="J89" s="66"/>
      <c r="K89" s="66"/>
      <c r="L89" s="67"/>
    </row>
    <row r="90" spans="1:12" ht="28.4" customHeight="1" x14ac:dyDescent="0.35">
      <c r="A90" s="2"/>
      <c r="B90" s="68"/>
      <c r="C90" s="69"/>
      <c r="D90" s="69"/>
      <c r="E90" s="69"/>
      <c r="F90" s="69"/>
      <c r="G90" s="69"/>
      <c r="H90" s="69"/>
      <c r="I90" s="69"/>
      <c r="J90" s="69"/>
      <c r="K90" s="69"/>
      <c r="L90" s="70"/>
    </row>
    <row r="91" spans="1:12" ht="21.75" customHeight="1" x14ac:dyDescent="0.4">
      <c r="A91" s="2"/>
      <c r="B91" s="72" t="s">
        <v>4</v>
      </c>
      <c r="C91" s="2"/>
      <c r="D91" s="2"/>
      <c r="E91" s="2"/>
      <c r="F91" s="79"/>
      <c r="G91" s="2"/>
      <c r="H91" s="2"/>
      <c r="I91" s="2"/>
      <c r="J91" s="79"/>
      <c r="K91" s="2"/>
      <c r="L91" s="10"/>
    </row>
    <row r="92" spans="1:12" ht="18" customHeight="1" x14ac:dyDescent="0.35">
      <c r="A92" s="2"/>
      <c r="B92" s="57"/>
      <c r="C92" s="5"/>
      <c r="D92" s="6"/>
      <c r="E92" s="58" t="s">
        <v>1</v>
      </c>
      <c r="F92" s="59"/>
      <c r="G92" s="60"/>
      <c r="H92" s="4" t="s">
        <v>2</v>
      </c>
      <c r="I92" s="58" t="s">
        <v>3</v>
      </c>
      <c r="J92" s="59"/>
      <c r="K92" s="60"/>
      <c r="L92" s="11" t="s">
        <v>2</v>
      </c>
    </row>
    <row r="93" spans="1:12" ht="5.15" customHeight="1" x14ac:dyDescent="0.4">
      <c r="A93" s="2"/>
      <c r="B93" s="57"/>
      <c r="C93" s="61"/>
      <c r="D93" s="2"/>
      <c r="E93" s="81"/>
      <c r="F93" s="82"/>
      <c r="G93" s="81"/>
      <c r="H93" s="8"/>
      <c r="I93" s="81"/>
      <c r="J93" s="82"/>
      <c r="K93" s="81"/>
      <c r="L93" s="10"/>
    </row>
    <row r="94" spans="1:12" ht="15.75" customHeight="1" x14ac:dyDescent="0.35">
      <c r="A94" s="2"/>
      <c r="B94" s="57"/>
      <c r="C94" s="62"/>
      <c r="D94" s="83" t="s">
        <v>14</v>
      </c>
      <c r="E94" s="81"/>
      <c r="F94" s="105">
        <v>10000</v>
      </c>
      <c r="G94" s="81"/>
      <c r="H94" s="27" t="s">
        <v>6</v>
      </c>
      <c r="I94" s="81"/>
      <c r="J94" s="88" t="s">
        <v>7</v>
      </c>
      <c r="K94" s="81"/>
      <c r="L94" s="12" t="s">
        <v>6</v>
      </c>
    </row>
    <row r="95" spans="1:12" ht="5.15" customHeight="1" x14ac:dyDescent="0.4">
      <c r="A95" s="2"/>
      <c r="B95" s="57"/>
      <c r="C95" s="71"/>
      <c r="D95" s="45"/>
      <c r="E95" s="7"/>
      <c r="F95" s="89"/>
      <c r="G95" s="7"/>
      <c r="H95" s="6"/>
      <c r="I95" s="7"/>
      <c r="J95" s="89"/>
      <c r="K95" s="7"/>
      <c r="L95" s="46"/>
    </row>
    <row r="96" spans="1:12" ht="5.15" customHeight="1" x14ac:dyDescent="0.4">
      <c r="A96" s="2"/>
      <c r="B96" s="57"/>
      <c r="C96" s="62"/>
      <c r="D96" s="2"/>
      <c r="E96" s="81"/>
      <c r="F96" s="82"/>
      <c r="G96" s="81"/>
      <c r="H96" s="9"/>
      <c r="I96" s="81"/>
      <c r="J96" s="82"/>
      <c r="K96" s="81"/>
      <c r="L96" s="10"/>
    </row>
    <row r="97" spans="1:12" ht="15.75" customHeight="1" x14ac:dyDescent="0.35">
      <c r="A97" s="2"/>
      <c r="B97" s="57"/>
      <c r="C97" s="62"/>
      <c r="D97" s="83" t="s">
        <v>15</v>
      </c>
      <c r="E97" s="81"/>
      <c r="F97" s="105">
        <v>10000</v>
      </c>
      <c r="G97" s="81"/>
      <c r="H97" s="27" t="s">
        <v>6</v>
      </c>
      <c r="I97" s="81"/>
      <c r="J97" s="88" t="s">
        <v>7</v>
      </c>
      <c r="K97" s="81"/>
      <c r="L97" s="12" t="s">
        <v>6</v>
      </c>
    </row>
    <row r="98" spans="1:12" ht="5.15" customHeight="1" x14ac:dyDescent="0.4">
      <c r="A98" s="2"/>
      <c r="B98" s="73"/>
      <c r="C98" s="71"/>
      <c r="D98" s="45"/>
      <c r="E98" s="7"/>
      <c r="F98" s="89"/>
      <c r="G98" s="7"/>
      <c r="H98" s="6"/>
      <c r="I98" s="7"/>
      <c r="J98" s="89"/>
      <c r="K98" s="7"/>
      <c r="L98" s="46"/>
    </row>
    <row r="99" spans="1:12" ht="21.75" customHeight="1" x14ac:dyDescent="0.4">
      <c r="A99" s="2"/>
      <c r="B99" s="72" t="s">
        <v>8</v>
      </c>
      <c r="C99" s="2"/>
      <c r="D99" s="2"/>
      <c r="E99" s="2"/>
      <c r="F99" s="79"/>
      <c r="G99" s="2"/>
      <c r="H99" s="2"/>
      <c r="I99" s="2"/>
      <c r="J99" s="79"/>
      <c r="K99" s="2"/>
      <c r="L99" s="10"/>
    </row>
    <row r="100" spans="1:12" ht="18" customHeight="1" x14ac:dyDescent="0.35">
      <c r="A100" s="2"/>
      <c r="B100" s="57"/>
      <c r="C100" s="5"/>
      <c r="D100" s="6"/>
      <c r="E100" s="58" t="s">
        <v>1</v>
      </c>
      <c r="F100" s="59"/>
      <c r="G100" s="60"/>
      <c r="H100" s="4" t="s">
        <v>2</v>
      </c>
      <c r="I100" s="58" t="s">
        <v>3</v>
      </c>
      <c r="J100" s="59"/>
      <c r="K100" s="60"/>
      <c r="L100" s="11" t="s">
        <v>2</v>
      </c>
    </row>
    <row r="101" spans="1:12" ht="5.15" customHeight="1" x14ac:dyDescent="0.4">
      <c r="A101" s="2"/>
      <c r="B101" s="57"/>
      <c r="C101" s="61"/>
      <c r="D101" s="2"/>
      <c r="E101" s="81"/>
      <c r="F101" s="82"/>
      <c r="G101" s="81"/>
      <c r="H101" s="8"/>
      <c r="I101" s="81"/>
      <c r="J101" s="82"/>
      <c r="K101" s="81"/>
      <c r="L101" s="10"/>
    </row>
    <row r="102" spans="1:12" ht="15.75" customHeight="1" x14ac:dyDescent="0.35">
      <c r="A102" s="2"/>
      <c r="B102" s="57"/>
      <c r="C102" s="62"/>
      <c r="D102" s="83" t="s">
        <v>14</v>
      </c>
      <c r="E102" s="81"/>
      <c r="F102" s="105">
        <v>10000</v>
      </c>
      <c r="G102" s="81"/>
      <c r="H102" s="27" t="s">
        <v>6</v>
      </c>
      <c r="I102" s="81"/>
      <c r="J102" s="88" t="s">
        <v>7</v>
      </c>
      <c r="K102" s="81"/>
      <c r="L102" s="12" t="s">
        <v>6</v>
      </c>
    </row>
    <row r="103" spans="1:12" ht="5.15" customHeight="1" x14ac:dyDescent="0.4">
      <c r="A103" s="2"/>
      <c r="B103" s="57"/>
      <c r="C103" s="71"/>
      <c r="D103" s="45"/>
      <c r="E103" s="7"/>
      <c r="F103" s="89"/>
      <c r="G103" s="7"/>
      <c r="H103" s="6"/>
      <c r="I103" s="7"/>
      <c r="J103" s="89"/>
      <c r="K103" s="7"/>
      <c r="L103" s="46"/>
    </row>
    <row r="104" spans="1:12" ht="5.15" customHeight="1" x14ac:dyDescent="0.4">
      <c r="A104" s="2"/>
      <c r="B104" s="57"/>
      <c r="C104" s="62"/>
      <c r="D104" s="2"/>
      <c r="E104" s="81"/>
      <c r="F104" s="82"/>
      <c r="G104" s="81"/>
      <c r="H104" s="9"/>
      <c r="I104" s="81"/>
      <c r="J104" s="82"/>
      <c r="K104" s="81"/>
      <c r="L104" s="10"/>
    </row>
    <row r="105" spans="1:12" ht="15.75" customHeight="1" x14ac:dyDescent="0.35">
      <c r="A105" s="2"/>
      <c r="B105" s="57"/>
      <c r="C105" s="62"/>
      <c r="D105" s="83" t="s">
        <v>15</v>
      </c>
      <c r="E105" s="81"/>
      <c r="F105" s="105">
        <v>10000</v>
      </c>
      <c r="G105" s="81"/>
      <c r="H105" s="27" t="s">
        <v>6</v>
      </c>
      <c r="I105" s="81"/>
      <c r="J105" s="88" t="s">
        <v>7</v>
      </c>
      <c r="K105" s="81"/>
      <c r="L105" s="12" t="s">
        <v>6</v>
      </c>
    </row>
    <row r="106" spans="1:12" ht="5.15" customHeight="1" thickBot="1" x14ac:dyDescent="0.45">
      <c r="A106" s="2"/>
      <c r="B106" s="63"/>
      <c r="C106" s="64"/>
      <c r="D106" s="28"/>
      <c r="E106" s="29"/>
      <c r="F106" s="86"/>
      <c r="G106" s="29"/>
      <c r="H106" s="30"/>
      <c r="I106" s="29"/>
      <c r="J106" s="86"/>
      <c r="K106" s="29"/>
      <c r="L106" s="31"/>
    </row>
    <row r="107" spans="1:12" ht="15" customHeight="1" x14ac:dyDescent="0.4">
      <c r="A107" s="2"/>
      <c r="B107" s="2"/>
      <c r="C107" s="2"/>
      <c r="D107" s="2"/>
      <c r="E107" s="2"/>
      <c r="F107" s="79"/>
      <c r="G107" s="2"/>
      <c r="H107" s="2"/>
      <c r="I107" s="2"/>
      <c r="J107" s="79"/>
      <c r="K107" s="2"/>
      <c r="L107" s="2"/>
    </row>
  </sheetData>
  <sheetProtection algorithmName="SHA-512" hashValue="VEj5/2wOoJWElf1vPh9oM/ULJMyylBpQ7DfhWwQ4EU0J4Bchvwjmkzdr2+8qxM6ecQa3ViqW4Ax3LcUjQgmYSA==" saltValue="1e67d7iGcxK4U6CA61N10Q==" spinCount="100000" sheet="1" objects="1" scenarios="1" formatCells="0"/>
  <mergeCells count="43">
    <mergeCell ref="B99:B106"/>
    <mergeCell ref="E100:G100"/>
    <mergeCell ref="I100:K100"/>
    <mergeCell ref="C101:C103"/>
    <mergeCell ref="C104:C106"/>
    <mergeCell ref="C62:C63"/>
    <mergeCell ref="B89:L89"/>
    <mergeCell ref="B90:L90"/>
    <mergeCell ref="B91:B98"/>
    <mergeCell ref="E92:G92"/>
    <mergeCell ref="I92:K92"/>
    <mergeCell ref="C93:C95"/>
    <mergeCell ref="C96:C98"/>
    <mergeCell ref="C32:C34"/>
    <mergeCell ref="C35:C37"/>
    <mergeCell ref="C38:C39"/>
    <mergeCell ref="B48:B86"/>
    <mergeCell ref="E49:G49"/>
    <mergeCell ref="I49:K49"/>
    <mergeCell ref="C50:C52"/>
    <mergeCell ref="C53:C55"/>
    <mergeCell ref="C56:C58"/>
    <mergeCell ref="C59:C61"/>
    <mergeCell ref="I15:K15"/>
    <mergeCell ref="C16:C18"/>
    <mergeCell ref="B22:L22"/>
    <mergeCell ref="Q22:Q29"/>
    <mergeCell ref="B23:L23"/>
    <mergeCell ref="B24:B47"/>
    <mergeCell ref="E25:G25"/>
    <mergeCell ref="I25:K25"/>
    <mergeCell ref="C26:C28"/>
    <mergeCell ref="C29:C31"/>
    <mergeCell ref="B1:L1"/>
    <mergeCell ref="B5:L5"/>
    <mergeCell ref="B6:L6"/>
    <mergeCell ref="B7:B12"/>
    <mergeCell ref="Q7:Q19"/>
    <mergeCell ref="E9:G9"/>
    <mergeCell ref="I9:K9"/>
    <mergeCell ref="C10:C12"/>
    <mergeCell ref="B13:B18"/>
    <mergeCell ref="E15:G15"/>
  </mergeCells>
  <pageMargins left="0.7" right="0.7" top="0.75" bottom="0.75" header="0.3" footer="0.3"/>
  <pageSetup orientation="portrait" horizontalDpi="300" verticalDpi="200" r:id="rId1"/>
  <customProperties>
    <customPr name="IbpWorksheetKeyString_GUID" r:id="rId2"/>
  </customProperties>
  <drawing r:id="rId3"/>
  <legacyDrawing r:id="rId4"/>
  <controls>
    <mc:AlternateContent xmlns:mc="http://schemas.openxmlformats.org/markup-compatibility/2006">
      <mc:Choice Requires="x14">
        <control shapeId="6170" r:id="rId5" name="cbApplyOddEvenFormatting">
          <controlPr defaultSize="0" autoFill="0" autoLine="0" r:id="rId6">
            <anchor moveWithCells="1">
              <from>
                <xdr:col>7</xdr:col>
                <xdr:colOff>1676400</xdr:colOff>
                <xdr:row>88</xdr:row>
                <xdr:rowOff>70757</xdr:rowOff>
              </from>
              <to>
                <xdr:col>7</xdr:col>
                <xdr:colOff>1796143</xdr:colOff>
                <xdr:row>88</xdr:row>
                <xdr:rowOff>342900</xdr:rowOff>
              </to>
            </anchor>
          </controlPr>
        </control>
      </mc:Choice>
      <mc:Fallback>
        <control shapeId="6170" r:id="rId5" name="cbApplyOddEvenFormatting"/>
      </mc:Fallback>
    </mc:AlternateContent>
    <mc:AlternateContent xmlns:mc="http://schemas.openxmlformats.org/markup-compatibility/2006">
      <mc:Choice Requires="x14">
        <control shapeId="6154" r:id="rId7" name="cbApplyMemberFormatting">
          <controlPr defaultSize="0" autoFill="0" autoLine="0" r:id="rId8">
            <anchor moveWithCells="1">
              <from>
                <xdr:col>9</xdr:col>
                <xdr:colOff>478971</xdr:colOff>
                <xdr:row>21</xdr:row>
                <xdr:rowOff>70757</xdr:rowOff>
              </from>
              <to>
                <xdr:col>9</xdr:col>
                <xdr:colOff>604157</xdr:colOff>
                <xdr:row>21</xdr:row>
                <xdr:rowOff>342900</xdr:rowOff>
              </to>
            </anchor>
          </controlPr>
        </control>
      </mc:Choice>
      <mc:Fallback>
        <control shapeId="6154" r:id="rId7" name="cbApplyMemberFormatting"/>
      </mc:Fallback>
    </mc:AlternateContent>
    <mc:AlternateContent xmlns:mc="http://schemas.openxmlformats.org/markup-compatibility/2006">
      <mc:Choice Requires="x14">
        <control shapeId="6145" r:id="rId9" name="cbApplyLevelFormatting">
          <controlPr defaultSize="0" autoFill="0" autoLine="0" r:id="rId10">
            <anchor moveWithCells="1">
              <from>
                <xdr:col>7</xdr:col>
                <xdr:colOff>1485900</xdr:colOff>
                <xdr:row>4</xdr:row>
                <xdr:rowOff>70757</xdr:rowOff>
              </from>
              <to>
                <xdr:col>7</xdr:col>
                <xdr:colOff>1605643</xdr:colOff>
                <xdr:row>4</xdr:row>
                <xdr:rowOff>342900</xdr:rowOff>
              </to>
            </anchor>
          </controlPr>
        </control>
      </mc:Choice>
      <mc:Fallback>
        <control shapeId="6145" r:id="rId9" name="cbApplyLevelFormatting"/>
      </mc:Fallback>
    </mc:AlternateContent>
    <mc:AlternateContent xmlns:mc="http://schemas.openxmlformats.org/markup-compatibility/2006">
      <mc:Choice Requires="x14">
        <control shapeId="6146" r:id="rId11" name="Group Box 2">
          <controlPr defaultSize="0" autoPict="0">
            <anchor moveWithCells="1">
              <from>
                <xdr:col>1</xdr:col>
                <xdr:colOff>0</xdr:colOff>
                <xdr:row>5</xdr:row>
                <xdr:rowOff>0</xdr:rowOff>
              </from>
              <to>
                <xdr:col>3</xdr:col>
                <xdr:colOff>2803071</xdr:colOff>
                <xdr:row>6</xdr:row>
                <xdr:rowOff>0</xdr:rowOff>
              </to>
            </anchor>
          </controlPr>
        </control>
      </mc:Choice>
    </mc:AlternateContent>
    <mc:AlternateContent xmlns:mc="http://schemas.openxmlformats.org/markup-compatibility/2006">
      <mc:Choice Requires="x14">
        <control shapeId="6147" r:id="rId12" name="obLevelRowFirst">
          <controlPr defaultSize="0" autoFill="0" autoLine="0" autoPict="0" macro="_xll.IBPXLClient.TechnicalCategory.ButtonActionInIBPClientFormattingSheet">
            <anchor moveWithCells="1">
              <from>
                <xdr:col>3</xdr:col>
                <xdr:colOff>489857</xdr:colOff>
                <xdr:row>5</xdr:row>
                <xdr:rowOff>59871</xdr:rowOff>
              </from>
              <to>
                <xdr:col>3</xdr:col>
                <xdr:colOff>2628900</xdr:colOff>
                <xdr:row>5</xdr:row>
                <xdr:rowOff>272143</xdr:rowOff>
              </to>
            </anchor>
          </controlPr>
        </control>
      </mc:Choice>
    </mc:AlternateContent>
    <mc:AlternateContent xmlns:mc="http://schemas.openxmlformats.org/markup-compatibility/2006">
      <mc:Choice Requires="x14">
        <control shapeId="6148" r:id="rId13" name="obLevelColumnFirst">
          <controlPr defaultSize="0" autoFill="0" autoLine="0" autoPict="0" macro="_xll.IBPXLClient.TechnicalCategory.ButtonActionInIBPClientFormattingSheet">
            <anchor moveWithCells="1">
              <from>
                <xdr:col>1</xdr:col>
                <xdr:colOff>212271</xdr:colOff>
                <xdr:row>5</xdr:row>
                <xdr:rowOff>59871</xdr:rowOff>
              </from>
              <to>
                <xdr:col>3</xdr:col>
                <xdr:colOff>457200</xdr:colOff>
                <xdr:row>5</xdr:row>
                <xdr:rowOff>272143</xdr:rowOff>
              </to>
            </anchor>
          </controlPr>
        </control>
      </mc:Choice>
    </mc:AlternateContent>
    <mc:AlternateContent xmlns:mc="http://schemas.openxmlformats.org/markup-compatibility/2006">
      <mc:Choice Requires="x14">
        <control shapeId="6149" r:id="rId14" name="Group Box 5">
          <controlPr defaultSize="0" autoPict="0">
            <anchor moveWithCells="1">
              <from>
                <xdr:col>3</xdr:col>
                <xdr:colOff>2748643</xdr:colOff>
                <xdr:row>5</xdr:row>
                <xdr:rowOff>0</xdr:rowOff>
              </from>
              <to>
                <xdr:col>8</xdr:col>
                <xdr:colOff>190500</xdr:colOff>
                <xdr:row>6</xdr:row>
                <xdr:rowOff>0</xdr:rowOff>
              </to>
            </anchor>
          </controlPr>
        </control>
      </mc:Choice>
    </mc:AlternateContent>
    <mc:AlternateContent xmlns:mc="http://schemas.openxmlformats.org/markup-compatibility/2006">
      <mc:Choice Requires="x14">
        <control shapeId="6150" r:id="rId15" name="Group Box 6">
          <controlPr defaultSize="0" autoPict="0">
            <anchor moveWithCells="1">
              <from>
                <xdr:col>10</xdr:col>
                <xdr:colOff>212271</xdr:colOff>
                <xdr:row>12</xdr:row>
                <xdr:rowOff>0</xdr:rowOff>
              </from>
              <to>
                <xdr:col>12</xdr:col>
                <xdr:colOff>5443</xdr:colOff>
                <xdr:row>14</xdr:row>
                <xdr:rowOff>0</xdr:rowOff>
              </to>
            </anchor>
          </controlPr>
        </control>
      </mc:Choice>
    </mc:AlternateContent>
    <mc:AlternateContent xmlns:mc="http://schemas.openxmlformats.org/markup-compatibility/2006">
      <mc:Choice Requires="x14">
        <control shapeId="6151" r:id="rId16" name="cbUseDefaultLevelFirst">
          <controlPr defaultSize="0" autoFill="0" autoLine="0" autoPict="0">
            <anchor moveWithCells="1">
              <from>
                <xdr:col>2</xdr:col>
                <xdr:colOff>119743</xdr:colOff>
                <xdr:row>14</xdr:row>
                <xdr:rowOff>195943</xdr:rowOff>
              </from>
              <to>
                <xdr:col>2</xdr:col>
                <xdr:colOff>1028700</xdr:colOff>
                <xdr:row>17</xdr:row>
                <xdr:rowOff>43543</xdr:rowOff>
              </to>
            </anchor>
          </controlPr>
        </control>
      </mc:Choice>
    </mc:AlternateContent>
    <mc:AlternateContent xmlns:mc="http://schemas.openxmlformats.org/markup-compatibility/2006">
      <mc:Choice Requires="x14">
        <control shapeId="6152" r:id="rId17" name="Group Box 8">
          <controlPr defaultSize="0" autoPict="0">
            <anchor moveWithCells="1">
              <from>
                <xdr:col>10</xdr:col>
                <xdr:colOff>212271</xdr:colOff>
                <xdr:row>6</xdr:row>
                <xdr:rowOff>0</xdr:rowOff>
              </from>
              <to>
                <xdr:col>12</xdr:col>
                <xdr:colOff>5443</xdr:colOff>
                <xdr:row>8</xdr:row>
                <xdr:rowOff>0</xdr:rowOff>
              </to>
            </anchor>
          </controlPr>
        </control>
      </mc:Choice>
    </mc:AlternateContent>
    <mc:AlternateContent xmlns:mc="http://schemas.openxmlformats.org/markup-compatibility/2006">
      <mc:Choice Requires="x14">
        <control shapeId="6153" r:id="rId18" name="cbUseDefaultLevelSecond">
          <controlPr defaultSize="0" autoFill="0" autoLine="0" autoPict="0">
            <anchor moveWithCells="1">
              <from>
                <xdr:col>2</xdr:col>
                <xdr:colOff>119743</xdr:colOff>
                <xdr:row>9</xdr:row>
                <xdr:rowOff>0</xdr:rowOff>
              </from>
              <to>
                <xdr:col>2</xdr:col>
                <xdr:colOff>1028700</xdr:colOff>
                <xdr:row>11</xdr:row>
                <xdr:rowOff>43543</xdr:rowOff>
              </to>
            </anchor>
          </controlPr>
        </control>
      </mc:Choice>
    </mc:AlternateContent>
    <mc:AlternateContent xmlns:mc="http://schemas.openxmlformats.org/markup-compatibility/2006">
      <mc:Choice Requires="x14">
        <control shapeId="6155" r:id="rId19" name="Group Box 11">
          <controlPr defaultSize="0" autoPict="0">
            <anchor moveWithCells="1">
              <from>
                <xdr:col>1</xdr:col>
                <xdr:colOff>0</xdr:colOff>
                <xdr:row>22</xdr:row>
                <xdr:rowOff>0</xdr:rowOff>
              </from>
              <to>
                <xdr:col>11</xdr:col>
                <xdr:colOff>1295400</xdr:colOff>
                <xdr:row>23</xdr:row>
                <xdr:rowOff>0</xdr:rowOff>
              </to>
            </anchor>
          </controlPr>
        </control>
      </mc:Choice>
    </mc:AlternateContent>
    <mc:AlternateContent xmlns:mc="http://schemas.openxmlformats.org/markup-compatibility/2006">
      <mc:Choice Requires="x14">
        <control shapeId="6156" r:id="rId20" name="obMemberRowFirst">
          <controlPr defaultSize="0" autoFill="0" autoLine="0" autoPict="0" macro="_xll.IBPXLClient.TechnicalCategory.ButtonActionInIBPClientFormattingSheet">
            <anchor moveWithCells="1">
              <from>
                <xdr:col>3</xdr:col>
                <xdr:colOff>489857</xdr:colOff>
                <xdr:row>22</xdr:row>
                <xdr:rowOff>59871</xdr:rowOff>
              </from>
              <to>
                <xdr:col>3</xdr:col>
                <xdr:colOff>2628900</xdr:colOff>
                <xdr:row>22</xdr:row>
                <xdr:rowOff>272143</xdr:rowOff>
              </to>
            </anchor>
          </controlPr>
        </control>
      </mc:Choice>
    </mc:AlternateContent>
    <mc:AlternateContent xmlns:mc="http://schemas.openxmlformats.org/markup-compatibility/2006">
      <mc:Choice Requires="x14">
        <control shapeId="6157" r:id="rId21" name="obMemberColumnFirst">
          <controlPr defaultSize="0" autoFill="0" autoLine="0" autoPict="0" macro="_xll.IBPXLClient.TechnicalCategory.ButtonActionInIBPClientFormattingSheet">
            <anchor moveWithCells="1">
              <from>
                <xdr:col>1</xdr:col>
                <xdr:colOff>212271</xdr:colOff>
                <xdr:row>22</xdr:row>
                <xdr:rowOff>59871</xdr:rowOff>
              </from>
              <to>
                <xdr:col>3</xdr:col>
                <xdr:colOff>457200</xdr:colOff>
                <xdr:row>22</xdr:row>
                <xdr:rowOff>272143</xdr:rowOff>
              </to>
            </anchor>
          </controlPr>
        </control>
      </mc:Choice>
    </mc:AlternateContent>
    <mc:AlternateContent xmlns:mc="http://schemas.openxmlformats.org/markup-compatibility/2006">
      <mc:Choice Requires="x14">
        <control shapeId="6158" r:id="rId22" name="cbApplyCalculatedMemberFirst">
          <controlPr defaultSize="0" autoFill="0" autoLine="0" autoPict="0">
            <anchor moveWithCells="1">
              <from>
                <xdr:col>2</xdr:col>
                <xdr:colOff>119743</xdr:colOff>
                <xdr:row>25</xdr:row>
                <xdr:rowOff>0</xdr:rowOff>
              </from>
              <to>
                <xdr:col>2</xdr:col>
                <xdr:colOff>1028700</xdr:colOff>
                <xdr:row>28</xdr:row>
                <xdr:rowOff>0</xdr:rowOff>
              </to>
            </anchor>
          </controlPr>
        </control>
      </mc:Choice>
    </mc:AlternateContent>
    <mc:AlternateContent xmlns:mc="http://schemas.openxmlformats.org/markup-compatibility/2006">
      <mc:Choice Requires="x14">
        <control shapeId="6159" r:id="rId23" name="cbApplyImputableMemberFirst">
          <controlPr defaultSize="0" autoFill="0" autoLine="0" autoPict="0">
            <anchor moveWithCells="1">
              <from>
                <xdr:col>2</xdr:col>
                <xdr:colOff>119743</xdr:colOff>
                <xdr:row>28</xdr:row>
                <xdr:rowOff>0</xdr:rowOff>
              </from>
              <to>
                <xdr:col>2</xdr:col>
                <xdr:colOff>1028700</xdr:colOff>
                <xdr:row>30</xdr:row>
                <xdr:rowOff>43543</xdr:rowOff>
              </to>
            </anchor>
          </controlPr>
        </control>
      </mc:Choice>
    </mc:AlternateContent>
    <mc:AlternateContent xmlns:mc="http://schemas.openxmlformats.org/markup-compatibility/2006">
      <mc:Choice Requires="x14">
        <control shapeId="6160" r:id="rId24" name="cbApplyLocalMemberFirst">
          <controlPr defaultSize="0" autoFill="0" autoLine="0" autoPict="0">
            <anchor moveWithCells="1">
              <from>
                <xdr:col>2</xdr:col>
                <xdr:colOff>119743</xdr:colOff>
                <xdr:row>31</xdr:row>
                <xdr:rowOff>0</xdr:rowOff>
              </from>
              <to>
                <xdr:col>2</xdr:col>
                <xdr:colOff>1028700</xdr:colOff>
                <xdr:row>33</xdr:row>
                <xdr:rowOff>43543</xdr:rowOff>
              </to>
            </anchor>
          </controlPr>
        </control>
      </mc:Choice>
    </mc:AlternateContent>
    <mc:AlternateContent xmlns:mc="http://schemas.openxmlformats.org/markup-compatibility/2006">
      <mc:Choice Requires="x14">
        <control shapeId="6161" r:id="rId25" name="cbApplyChangedMemberFirst">
          <controlPr defaultSize="0" autoFill="0" autoLine="0" autoPict="0">
            <anchor moveWithCells="1">
              <from>
                <xdr:col>2</xdr:col>
                <xdr:colOff>119743</xdr:colOff>
                <xdr:row>34</xdr:row>
                <xdr:rowOff>0</xdr:rowOff>
              </from>
              <to>
                <xdr:col>2</xdr:col>
                <xdr:colOff>1028700</xdr:colOff>
                <xdr:row>36</xdr:row>
                <xdr:rowOff>43543</xdr:rowOff>
              </to>
            </anchor>
          </controlPr>
        </control>
      </mc:Choice>
    </mc:AlternateContent>
    <mc:AlternateContent xmlns:mc="http://schemas.openxmlformats.org/markup-compatibility/2006">
      <mc:Choice Requires="x14">
        <control shapeId="6162" r:id="rId26" name="cbApplySpecificMemberFirst">
          <controlPr defaultSize="0" autoFill="0" autoLine="0" autoPict="0">
            <anchor moveWithCells="1">
              <from>
                <xdr:col>2</xdr:col>
                <xdr:colOff>119743</xdr:colOff>
                <xdr:row>37</xdr:row>
                <xdr:rowOff>43543</xdr:rowOff>
              </from>
              <to>
                <xdr:col>2</xdr:col>
                <xdr:colOff>1028700</xdr:colOff>
                <xdr:row>39</xdr:row>
                <xdr:rowOff>0</xdr:rowOff>
              </to>
            </anchor>
          </controlPr>
        </control>
      </mc:Choice>
    </mc:AlternateContent>
    <mc:AlternateContent xmlns:mc="http://schemas.openxmlformats.org/markup-compatibility/2006">
      <mc:Choice Requires="x14">
        <control shapeId="6163" r:id="rId27" name="AddMemberFirst">
          <controlPr defaultSize="0" print="0" autoFill="0" autoPict="0" macro="_xll.IBPXLClient.TechnicalCategory.ButtonActionInIBPClientFormattingSheet">
            <anchor moveWithCells="1" sizeWithCells="1">
              <from>
                <xdr:col>3</xdr:col>
                <xdr:colOff>59871</xdr:colOff>
                <xdr:row>45</xdr:row>
                <xdr:rowOff>21771</xdr:rowOff>
              </from>
              <to>
                <xdr:col>3</xdr:col>
                <xdr:colOff>4288971</xdr:colOff>
                <xdr:row>45</xdr:row>
                <xdr:rowOff>266700</xdr:rowOff>
              </to>
            </anchor>
          </controlPr>
        </control>
      </mc:Choice>
    </mc:AlternateContent>
    <mc:AlternateContent xmlns:mc="http://schemas.openxmlformats.org/markup-compatibility/2006">
      <mc:Choice Requires="x14">
        <control shapeId="6164" r:id="rId28" name="cbApplyCalculatedMemberSecond">
          <controlPr defaultSize="0" autoFill="0" autoLine="0" autoPict="0">
            <anchor moveWithCells="1">
              <from>
                <xdr:col>2</xdr:col>
                <xdr:colOff>119743</xdr:colOff>
                <xdr:row>49</xdr:row>
                <xdr:rowOff>0</xdr:rowOff>
              </from>
              <to>
                <xdr:col>2</xdr:col>
                <xdr:colOff>1028700</xdr:colOff>
                <xdr:row>52</xdr:row>
                <xdr:rowOff>0</xdr:rowOff>
              </to>
            </anchor>
          </controlPr>
        </control>
      </mc:Choice>
    </mc:AlternateContent>
    <mc:AlternateContent xmlns:mc="http://schemas.openxmlformats.org/markup-compatibility/2006">
      <mc:Choice Requires="x14">
        <control shapeId="6165" r:id="rId29" name="cbApplyImputableMemberSecond">
          <controlPr defaultSize="0" autoFill="0" autoLine="0" autoPict="0">
            <anchor moveWithCells="1">
              <from>
                <xdr:col>2</xdr:col>
                <xdr:colOff>119743</xdr:colOff>
                <xdr:row>52</xdr:row>
                <xdr:rowOff>0</xdr:rowOff>
              </from>
              <to>
                <xdr:col>2</xdr:col>
                <xdr:colOff>1028700</xdr:colOff>
                <xdr:row>54</xdr:row>
                <xdr:rowOff>43543</xdr:rowOff>
              </to>
            </anchor>
          </controlPr>
        </control>
      </mc:Choice>
    </mc:AlternateContent>
    <mc:AlternateContent xmlns:mc="http://schemas.openxmlformats.org/markup-compatibility/2006">
      <mc:Choice Requires="x14">
        <control shapeId="6166" r:id="rId30" name="cbApplyLocalMemberSecond">
          <controlPr defaultSize="0" autoFill="0" autoLine="0" autoPict="0">
            <anchor moveWithCells="1">
              <from>
                <xdr:col>2</xdr:col>
                <xdr:colOff>119743</xdr:colOff>
                <xdr:row>55</xdr:row>
                <xdr:rowOff>0</xdr:rowOff>
              </from>
              <to>
                <xdr:col>2</xdr:col>
                <xdr:colOff>1028700</xdr:colOff>
                <xdr:row>57</xdr:row>
                <xdr:rowOff>43543</xdr:rowOff>
              </to>
            </anchor>
          </controlPr>
        </control>
      </mc:Choice>
    </mc:AlternateContent>
    <mc:AlternateContent xmlns:mc="http://schemas.openxmlformats.org/markup-compatibility/2006">
      <mc:Choice Requires="x14">
        <control shapeId="6167" r:id="rId31" name="cbApplyChangedMemberSecond">
          <controlPr defaultSize="0" autoFill="0" autoLine="0" autoPict="0">
            <anchor moveWithCells="1">
              <from>
                <xdr:col>2</xdr:col>
                <xdr:colOff>119743</xdr:colOff>
                <xdr:row>58</xdr:row>
                <xdr:rowOff>0</xdr:rowOff>
              </from>
              <to>
                <xdr:col>2</xdr:col>
                <xdr:colOff>1028700</xdr:colOff>
                <xdr:row>60</xdr:row>
                <xdr:rowOff>43543</xdr:rowOff>
              </to>
            </anchor>
          </controlPr>
        </control>
      </mc:Choice>
    </mc:AlternateContent>
    <mc:AlternateContent xmlns:mc="http://schemas.openxmlformats.org/markup-compatibility/2006">
      <mc:Choice Requires="x14">
        <control shapeId="6168" r:id="rId32" name="cbApplySpecificMemberSecond">
          <controlPr defaultSize="0" autoFill="0" autoLine="0" autoPict="0">
            <anchor moveWithCells="1">
              <from>
                <xdr:col>2</xdr:col>
                <xdr:colOff>119743</xdr:colOff>
                <xdr:row>61</xdr:row>
                <xdr:rowOff>43543</xdr:rowOff>
              </from>
              <to>
                <xdr:col>2</xdr:col>
                <xdr:colOff>1028700</xdr:colOff>
                <xdr:row>63</xdr:row>
                <xdr:rowOff>0</xdr:rowOff>
              </to>
            </anchor>
          </controlPr>
        </control>
      </mc:Choice>
    </mc:AlternateContent>
    <mc:AlternateContent xmlns:mc="http://schemas.openxmlformats.org/markup-compatibility/2006">
      <mc:Choice Requires="x14">
        <control shapeId="6169" r:id="rId33" name="AddMemberSecond">
          <controlPr defaultSize="0" print="0" autoFill="0" autoPict="0" macro="_xll.IBPXLClient.TechnicalCategory.ButtonActionInIBPClientFormattingSheet">
            <anchor moveWithCells="1" sizeWithCells="1">
              <from>
                <xdr:col>3</xdr:col>
                <xdr:colOff>59871</xdr:colOff>
                <xdr:row>84</xdr:row>
                <xdr:rowOff>21771</xdr:rowOff>
              </from>
              <to>
                <xdr:col>3</xdr:col>
                <xdr:colOff>4288971</xdr:colOff>
                <xdr:row>84</xdr:row>
                <xdr:rowOff>266700</xdr:rowOff>
              </to>
            </anchor>
          </controlPr>
        </control>
      </mc:Choice>
    </mc:AlternateContent>
    <mc:AlternateContent xmlns:mc="http://schemas.openxmlformats.org/markup-compatibility/2006">
      <mc:Choice Requires="x14">
        <control shapeId="6171" r:id="rId34" name="Group Box 27">
          <controlPr defaultSize="0" autoPict="0">
            <anchor moveWithCells="1">
              <from>
                <xdr:col>1</xdr:col>
                <xdr:colOff>0</xdr:colOff>
                <xdr:row>89</xdr:row>
                <xdr:rowOff>0</xdr:rowOff>
              </from>
              <to>
                <xdr:col>11</xdr:col>
                <xdr:colOff>1295400</xdr:colOff>
                <xdr:row>90</xdr:row>
                <xdr:rowOff>0</xdr:rowOff>
              </to>
            </anchor>
          </controlPr>
        </control>
      </mc:Choice>
    </mc:AlternateContent>
    <mc:AlternateContent xmlns:mc="http://schemas.openxmlformats.org/markup-compatibility/2006">
      <mc:Choice Requires="x14">
        <control shapeId="6172" r:id="rId35" name="obOddEvenRowFirst">
          <controlPr defaultSize="0" autoFill="0" autoLine="0" autoPict="0" macro="_xll.IBPXLClient.TechnicalCategory.ButtonActionInIBPClientFormattingSheet">
            <anchor moveWithCells="1">
              <from>
                <xdr:col>3</xdr:col>
                <xdr:colOff>489857</xdr:colOff>
                <xdr:row>89</xdr:row>
                <xdr:rowOff>70757</xdr:rowOff>
              </from>
              <to>
                <xdr:col>3</xdr:col>
                <xdr:colOff>2628900</xdr:colOff>
                <xdr:row>89</xdr:row>
                <xdr:rowOff>272143</xdr:rowOff>
              </to>
            </anchor>
          </controlPr>
        </control>
      </mc:Choice>
    </mc:AlternateContent>
    <mc:AlternateContent xmlns:mc="http://schemas.openxmlformats.org/markup-compatibility/2006">
      <mc:Choice Requires="x14">
        <control shapeId="6173" r:id="rId36" name="obOddEvenColumnFirst">
          <controlPr defaultSize="0" autoFill="0" autoLine="0" autoPict="0" macro="_xll.IBPXLClient.TechnicalCategory.ButtonActionInIBPClientFormattingSheet">
            <anchor moveWithCells="1">
              <from>
                <xdr:col>1</xdr:col>
                <xdr:colOff>212271</xdr:colOff>
                <xdr:row>89</xdr:row>
                <xdr:rowOff>70757</xdr:rowOff>
              </from>
              <to>
                <xdr:col>3</xdr:col>
                <xdr:colOff>457200</xdr:colOff>
                <xdr:row>89</xdr:row>
                <xdr:rowOff>272143</xdr:rowOff>
              </to>
            </anchor>
          </controlPr>
        </control>
      </mc:Choice>
    </mc:AlternateContent>
    <mc:AlternateContent xmlns:mc="http://schemas.openxmlformats.org/markup-compatibility/2006">
      <mc:Choice Requires="x14">
        <control shapeId="6174" r:id="rId37" name="cbUseOddFirst">
          <controlPr defaultSize="0" autoFill="0" autoLine="0" autoPict="0">
            <anchor moveWithCells="1">
              <from>
                <xdr:col>2</xdr:col>
                <xdr:colOff>119743</xdr:colOff>
                <xdr:row>92</xdr:row>
                <xdr:rowOff>0</xdr:rowOff>
              </from>
              <to>
                <xdr:col>2</xdr:col>
                <xdr:colOff>1028700</xdr:colOff>
                <xdr:row>94</xdr:row>
                <xdr:rowOff>43543</xdr:rowOff>
              </to>
            </anchor>
          </controlPr>
        </control>
      </mc:Choice>
    </mc:AlternateContent>
    <mc:AlternateContent xmlns:mc="http://schemas.openxmlformats.org/markup-compatibility/2006">
      <mc:Choice Requires="x14">
        <control shapeId="6175" r:id="rId38" name="cbUseEvenFirst">
          <controlPr defaultSize="0" autoFill="0" autoLine="0" autoPict="0">
            <anchor moveWithCells="1">
              <from>
                <xdr:col>2</xdr:col>
                <xdr:colOff>119743</xdr:colOff>
                <xdr:row>95</xdr:row>
                <xdr:rowOff>0</xdr:rowOff>
              </from>
              <to>
                <xdr:col>2</xdr:col>
                <xdr:colOff>1028700</xdr:colOff>
                <xdr:row>97</xdr:row>
                <xdr:rowOff>43543</xdr:rowOff>
              </to>
            </anchor>
          </controlPr>
        </control>
      </mc:Choice>
    </mc:AlternateContent>
    <mc:AlternateContent xmlns:mc="http://schemas.openxmlformats.org/markup-compatibility/2006">
      <mc:Choice Requires="x14">
        <control shapeId="6176" r:id="rId39" name="cbUseOddSecond">
          <controlPr defaultSize="0" autoFill="0" autoLine="0" autoPict="0">
            <anchor moveWithCells="1">
              <from>
                <xdr:col>2</xdr:col>
                <xdr:colOff>119743</xdr:colOff>
                <xdr:row>100</xdr:row>
                <xdr:rowOff>0</xdr:rowOff>
              </from>
              <to>
                <xdr:col>2</xdr:col>
                <xdr:colOff>1028700</xdr:colOff>
                <xdr:row>102</xdr:row>
                <xdr:rowOff>43543</xdr:rowOff>
              </to>
            </anchor>
          </controlPr>
        </control>
      </mc:Choice>
    </mc:AlternateContent>
    <mc:AlternateContent xmlns:mc="http://schemas.openxmlformats.org/markup-compatibility/2006">
      <mc:Choice Requires="x14">
        <control shapeId="6177" r:id="rId40" name="cbUseEvenSecond">
          <controlPr defaultSize="0" autoFill="0" autoLine="0" autoPict="0">
            <anchor moveWithCells="1">
              <from>
                <xdr:col>2</xdr:col>
                <xdr:colOff>119743</xdr:colOff>
                <xdr:row>102</xdr:row>
                <xdr:rowOff>43543</xdr:rowOff>
              </from>
              <to>
                <xdr:col>2</xdr:col>
                <xdr:colOff>1028700</xdr:colOff>
                <xdr:row>105</xdr:row>
                <xdr:rowOff>43543</xdr:rowOff>
              </to>
            </anchor>
          </controlPr>
        </control>
      </mc:Choice>
    </mc:AlternateContent>
    <mc:AlternateContent xmlns:mc="http://schemas.openxmlformats.org/markup-compatibility/2006">
      <mc:Choice Requires="x14">
        <control shapeId="6178" r:id="rId41" name="AddedMember2_1">
          <controlPr defaultSize="0" print="0" autoFill="0" autoPict="0" macro="_xll.IBPXLClient.TechnicalCategory.ButtonActionInIBPClientFormattingSheet">
            <anchor moveWithCells="1">
              <from>
                <xdr:col>11</xdr:col>
                <xdr:colOff>2438400</xdr:colOff>
                <xdr:row>63</xdr:row>
                <xdr:rowOff>43543</xdr:rowOff>
              </from>
              <to>
                <xdr:col>12</xdr:col>
                <xdr:colOff>696686</xdr:colOff>
                <xdr:row>64</xdr:row>
                <xdr:rowOff>190500</xdr:rowOff>
              </to>
            </anchor>
          </controlPr>
        </control>
      </mc:Choice>
    </mc:AlternateContent>
    <mc:AlternateContent xmlns:mc="http://schemas.openxmlformats.org/markup-compatibility/2006">
      <mc:Choice Requires="x14">
        <control shapeId="6179" r:id="rId42" name="ChangeMember2_1">
          <controlPr defaultSize="0" print="0" autoFill="0" autoPict="0" macro="_xll.IBPXLClient.TechnicalCategory.ButtonActionInIBPClientFormattingSheet">
            <anchor moveWithCells="1">
              <from>
                <xdr:col>13</xdr:col>
                <xdr:colOff>0</xdr:colOff>
                <xdr:row>63</xdr:row>
                <xdr:rowOff>43543</xdr:rowOff>
              </from>
              <to>
                <xdr:col>13</xdr:col>
                <xdr:colOff>696686</xdr:colOff>
                <xdr:row>64</xdr:row>
                <xdr:rowOff>190500</xdr:rowOff>
              </to>
            </anchor>
          </controlPr>
        </control>
      </mc:Choice>
    </mc:AlternateContent>
    <mc:AlternateContent xmlns:mc="http://schemas.openxmlformats.org/markup-compatibility/2006">
      <mc:Choice Requires="x14">
        <control shapeId="6180" r:id="rId43" name="UpMember2_1">
          <controlPr defaultSize="0" print="0" autoFill="0" autoPict="0" macro="_xll.IBPXLClient.TechnicalCategory.ButtonActionInIBPClientFormattingSheet">
            <anchor moveWithCells="1">
              <from>
                <xdr:col>14</xdr:col>
                <xdr:colOff>0</xdr:colOff>
                <xdr:row>63</xdr:row>
                <xdr:rowOff>43543</xdr:rowOff>
              </from>
              <to>
                <xdr:col>14</xdr:col>
                <xdr:colOff>696686</xdr:colOff>
                <xdr:row>64</xdr:row>
                <xdr:rowOff>190500</xdr:rowOff>
              </to>
            </anchor>
          </controlPr>
        </control>
      </mc:Choice>
    </mc:AlternateContent>
    <mc:AlternateContent xmlns:mc="http://schemas.openxmlformats.org/markup-compatibility/2006">
      <mc:Choice Requires="x14">
        <control shapeId="6181" r:id="rId44" name="DownMember2_1">
          <controlPr defaultSize="0" print="0" autoFill="0" autoPict="0" macro="_xll.IBPXLClient.TechnicalCategory.ButtonActionInIBPClientFormattingSheet">
            <anchor moveWithCells="1">
              <from>
                <xdr:col>14</xdr:col>
                <xdr:colOff>707571</xdr:colOff>
                <xdr:row>63</xdr:row>
                <xdr:rowOff>43543</xdr:rowOff>
              </from>
              <to>
                <xdr:col>15</xdr:col>
                <xdr:colOff>696686</xdr:colOff>
                <xdr:row>64</xdr:row>
                <xdr:rowOff>190500</xdr:rowOff>
              </to>
            </anchor>
          </controlPr>
        </control>
      </mc:Choice>
    </mc:AlternateContent>
    <mc:AlternateContent xmlns:mc="http://schemas.openxmlformats.org/markup-compatibility/2006">
      <mc:Choice Requires="x14">
        <control shapeId="6182" r:id="rId45" name="AddedMember2_2">
          <controlPr defaultSize="0" print="0" autoFill="0" autoPict="0" macro="_xll.IBPXLClient.TechnicalCategory.ButtonActionInIBPClientFormattingSheet">
            <anchor moveWithCells="1">
              <from>
                <xdr:col>12</xdr:col>
                <xdr:colOff>0</xdr:colOff>
                <xdr:row>67</xdr:row>
                <xdr:rowOff>0</xdr:rowOff>
              </from>
              <to>
                <xdr:col>12</xdr:col>
                <xdr:colOff>707571</xdr:colOff>
                <xdr:row>68</xdr:row>
                <xdr:rowOff>0</xdr:rowOff>
              </to>
            </anchor>
          </controlPr>
        </control>
      </mc:Choice>
    </mc:AlternateContent>
    <mc:AlternateContent xmlns:mc="http://schemas.openxmlformats.org/markup-compatibility/2006">
      <mc:Choice Requires="x14">
        <control shapeId="6183" r:id="rId46" name="ChangeMember2_2">
          <controlPr defaultSize="0" print="0" autoFill="0" autoPict="0" macro="_xll.IBPXLClient.TechnicalCategory.ButtonActionInIBPClientFormattingSheet">
            <anchor moveWithCells="1">
              <from>
                <xdr:col>12</xdr:col>
                <xdr:colOff>723900</xdr:colOff>
                <xdr:row>67</xdr:row>
                <xdr:rowOff>0</xdr:rowOff>
              </from>
              <to>
                <xdr:col>13</xdr:col>
                <xdr:colOff>707571</xdr:colOff>
                <xdr:row>68</xdr:row>
                <xdr:rowOff>0</xdr:rowOff>
              </to>
            </anchor>
          </controlPr>
        </control>
      </mc:Choice>
    </mc:AlternateContent>
    <mc:AlternateContent xmlns:mc="http://schemas.openxmlformats.org/markup-compatibility/2006">
      <mc:Choice Requires="x14">
        <control shapeId="6184" r:id="rId47" name="UpMember2_2">
          <controlPr defaultSize="0" print="0" autoFill="0" autoPict="0" macro="_xll.IBPXLClient.TechnicalCategory.ButtonActionInIBPClientFormattingSheet">
            <anchor moveWithCells="1">
              <from>
                <xdr:col>14</xdr:col>
                <xdr:colOff>0</xdr:colOff>
                <xdr:row>67</xdr:row>
                <xdr:rowOff>0</xdr:rowOff>
              </from>
              <to>
                <xdr:col>14</xdr:col>
                <xdr:colOff>707571</xdr:colOff>
                <xdr:row>68</xdr:row>
                <xdr:rowOff>0</xdr:rowOff>
              </to>
            </anchor>
          </controlPr>
        </control>
      </mc:Choice>
    </mc:AlternateContent>
    <mc:AlternateContent xmlns:mc="http://schemas.openxmlformats.org/markup-compatibility/2006">
      <mc:Choice Requires="x14">
        <control shapeId="6185" r:id="rId48" name="DownMember2_2">
          <controlPr defaultSize="0" print="0" autoFill="0" autoPict="0" macro="_xll.IBPXLClient.TechnicalCategory.ButtonActionInIBPClientFormattingSheet">
            <anchor moveWithCells="1">
              <from>
                <xdr:col>15</xdr:col>
                <xdr:colOff>0</xdr:colOff>
                <xdr:row>67</xdr:row>
                <xdr:rowOff>0</xdr:rowOff>
              </from>
              <to>
                <xdr:col>16</xdr:col>
                <xdr:colOff>0</xdr:colOff>
                <xdr:row>68</xdr:row>
                <xdr:rowOff>0</xdr:rowOff>
              </to>
            </anchor>
          </controlPr>
        </control>
      </mc:Choice>
    </mc:AlternateContent>
    <mc:AlternateContent xmlns:mc="http://schemas.openxmlformats.org/markup-compatibility/2006">
      <mc:Choice Requires="x14">
        <control shapeId="6186" r:id="rId49" name="AddedMember2_3">
          <controlPr defaultSize="0" print="0" autoFill="0" autoPict="0" macro="_xll.IBPXLClient.TechnicalCategory.ButtonActionInIBPClientFormattingSheet">
            <anchor moveWithCells="1">
              <from>
                <xdr:col>12</xdr:col>
                <xdr:colOff>0</xdr:colOff>
                <xdr:row>69</xdr:row>
                <xdr:rowOff>59871</xdr:rowOff>
              </from>
              <to>
                <xdr:col>12</xdr:col>
                <xdr:colOff>707571</xdr:colOff>
                <xdr:row>71</xdr:row>
                <xdr:rowOff>0</xdr:rowOff>
              </to>
            </anchor>
          </controlPr>
        </control>
      </mc:Choice>
    </mc:AlternateContent>
    <mc:AlternateContent xmlns:mc="http://schemas.openxmlformats.org/markup-compatibility/2006">
      <mc:Choice Requires="x14">
        <control shapeId="6187" r:id="rId50" name="ChangeMember2_3">
          <controlPr defaultSize="0" print="0" autoFill="0" autoPict="0" macro="_xll.IBPXLClient.TechnicalCategory.ButtonActionInIBPClientFormattingSheet">
            <anchor moveWithCells="1">
              <from>
                <xdr:col>12</xdr:col>
                <xdr:colOff>723900</xdr:colOff>
                <xdr:row>69</xdr:row>
                <xdr:rowOff>59871</xdr:rowOff>
              </from>
              <to>
                <xdr:col>13</xdr:col>
                <xdr:colOff>707571</xdr:colOff>
                <xdr:row>71</xdr:row>
                <xdr:rowOff>0</xdr:rowOff>
              </to>
            </anchor>
          </controlPr>
        </control>
      </mc:Choice>
    </mc:AlternateContent>
    <mc:AlternateContent xmlns:mc="http://schemas.openxmlformats.org/markup-compatibility/2006">
      <mc:Choice Requires="x14">
        <control shapeId="6188" r:id="rId51" name="UpMember2_3">
          <controlPr defaultSize="0" print="0" autoFill="0" autoPict="0" macro="_xll.IBPXLClient.TechnicalCategory.ButtonActionInIBPClientFormattingSheet">
            <anchor moveWithCells="1">
              <from>
                <xdr:col>14</xdr:col>
                <xdr:colOff>0</xdr:colOff>
                <xdr:row>69</xdr:row>
                <xdr:rowOff>59871</xdr:rowOff>
              </from>
              <to>
                <xdr:col>14</xdr:col>
                <xdr:colOff>707571</xdr:colOff>
                <xdr:row>71</xdr:row>
                <xdr:rowOff>0</xdr:rowOff>
              </to>
            </anchor>
          </controlPr>
        </control>
      </mc:Choice>
    </mc:AlternateContent>
    <mc:AlternateContent xmlns:mc="http://schemas.openxmlformats.org/markup-compatibility/2006">
      <mc:Choice Requires="x14">
        <control shapeId="6189" r:id="rId52" name="DownMember2_3">
          <controlPr defaultSize="0" print="0" autoFill="0" autoPict="0" macro="_xll.IBPXLClient.TechnicalCategory.ButtonActionInIBPClientFormattingSheet">
            <anchor moveWithCells="1">
              <from>
                <xdr:col>15</xdr:col>
                <xdr:colOff>0</xdr:colOff>
                <xdr:row>69</xdr:row>
                <xdr:rowOff>59871</xdr:rowOff>
              </from>
              <to>
                <xdr:col>16</xdr:col>
                <xdr:colOff>0</xdr:colOff>
                <xdr:row>71</xdr:row>
                <xdr:rowOff>0</xdr:rowOff>
              </to>
            </anchor>
          </controlPr>
        </control>
      </mc:Choice>
    </mc:AlternateContent>
    <mc:AlternateContent xmlns:mc="http://schemas.openxmlformats.org/markup-compatibility/2006">
      <mc:Choice Requires="x14">
        <control shapeId="6190" r:id="rId53" name="AddedMember2_4">
          <controlPr defaultSize="0" print="0" autoFill="0" autoPict="0" macro="_xll.IBPXLClient.TechnicalCategory.ButtonActionInIBPClientFormattingSheet">
            <anchor moveWithCells="1">
              <from>
                <xdr:col>12</xdr:col>
                <xdr:colOff>0</xdr:colOff>
                <xdr:row>72</xdr:row>
                <xdr:rowOff>59871</xdr:rowOff>
              </from>
              <to>
                <xdr:col>12</xdr:col>
                <xdr:colOff>707571</xdr:colOff>
                <xdr:row>74</xdr:row>
                <xdr:rowOff>32657</xdr:rowOff>
              </to>
            </anchor>
          </controlPr>
        </control>
      </mc:Choice>
    </mc:AlternateContent>
    <mc:AlternateContent xmlns:mc="http://schemas.openxmlformats.org/markup-compatibility/2006">
      <mc:Choice Requires="x14">
        <control shapeId="6191" r:id="rId54" name="ChangeMember2_4">
          <controlPr defaultSize="0" print="0" autoFill="0" autoPict="0" macro="_xll.IBPXLClient.TechnicalCategory.ButtonActionInIBPClientFormattingSheet">
            <anchor moveWithCells="1">
              <from>
                <xdr:col>12</xdr:col>
                <xdr:colOff>723900</xdr:colOff>
                <xdr:row>72</xdr:row>
                <xdr:rowOff>59871</xdr:rowOff>
              </from>
              <to>
                <xdr:col>13</xdr:col>
                <xdr:colOff>707571</xdr:colOff>
                <xdr:row>74</xdr:row>
                <xdr:rowOff>32657</xdr:rowOff>
              </to>
            </anchor>
          </controlPr>
        </control>
      </mc:Choice>
    </mc:AlternateContent>
    <mc:AlternateContent xmlns:mc="http://schemas.openxmlformats.org/markup-compatibility/2006">
      <mc:Choice Requires="x14">
        <control shapeId="6192" r:id="rId55" name="UpMember2_4">
          <controlPr defaultSize="0" print="0" autoFill="0" autoPict="0" macro="_xll.IBPXLClient.TechnicalCategory.ButtonActionInIBPClientFormattingSheet">
            <anchor moveWithCells="1">
              <from>
                <xdr:col>14</xdr:col>
                <xdr:colOff>0</xdr:colOff>
                <xdr:row>72</xdr:row>
                <xdr:rowOff>59871</xdr:rowOff>
              </from>
              <to>
                <xdr:col>14</xdr:col>
                <xdr:colOff>707571</xdr:colOff>
                <xdr:row>74</xdr:row>
                <xdr:rowOff>32657</xdr:rowOff>
              </to>
            </anchor>
          </controlPr>
        </control>
      </mc:Choice>
    </mc:AlternateContent>
    <mc:AlternateContent xmlns:mc="http://schemas.openxmlformats.org/markup-compatibility/2006">
      <mc:Choice Requires="x14">
        <control shapeId="6193" r:id="rId56" name="DownMember2_4">
          <controlPr defaultSize="0" print="0" autoFill="0" autoPict="0" macro="_xll.IBPXLClient.TechnicalCategory.ButtonActionInIBPClientFormattingSheet">
            <anchor moveWithCells="1">
              <from>
                <xdr:col>15</xdr:col>
                <xdr:colOff>0</xdr:colOff>
                <xdr:row>72</xdr:row>
                <xdr:rowOff>59871</xdr:rowOff>
              </from>
              <to>
                <xdr:col>16</xdr:col>
                <xdr:colOff>0</xdr:colOff>
                <xdr:row>74</xdr:row>
                <xdr:rowOff>32657</xdr:rowOff>
              </to>
            </anchor>
          </controlPr>
        </control>
      </mc:Choice>
    </mc:AlternateContent>
    <mc:AlternateContent xmlns:mc="http://schemas.openxmlformats.org/markup-compatibility/2006">
      <mc:Choice Requires="x14">
        <control shapeId="6194" r:id="rId57" name="AddedMember2_5">
          <controlPr defaultSize="0" print="0" autoFill="0" autoPict="0" macro="_xll.IBPXLClient.TechnicalCategory.ButtonActionInIBPClientFormattingSheet">
            <anchor moveWithCells="1">
              <from>
                <xdr:col>12</xdr:col>
                <xdr:colOff>0</xdr:colOff>
                <xdr:row>76</xdr:row>
                <xdr:rowOff>0</xdr:rowOff>
              </from>
              <to>
                <xdr:col>12</xdr:col>
                <xdr:colOff>707571</xdr:colOff>
                <xdr:row>77</xdr:row>
                <xdr:rowOff>32657</xdr:rowOff>
              </to>
            </anchor>
          </controlPr>
        </control>
      </mc:Choice>
    </mc:AlternateContent>
    <mc:AlternateContent xmlns:mc="http://schemas.openxmlformats.org/markup-compatibility/2006">
      <mc:Choice Requires="x14">
        <control shapeId="6195" r:id="rId58" name="ChangeMember2_5">
          <controlPr defaultSize="0" print="0" autoFill="0" autoPict="0" macro="_xll.IBPXLClient.TechnicalCategory.ButtonActionInIBPClientFormattingSheet">
            <anchor moveWithCells="1">
              <from>
                <xdr:col>12</xdr:col>
                <xdr:colOff>723900</xdr:colOff>
                <xdr:row>76</xdr:row>
                <xdr:rowOff>0</xdr:rowOff>
              </from>
              <to>
                <xdr:col>13</xdr:col>
                <xdr:colOff>707571</xdr:colOff>
                <xdr:row>77</xdr:row>
                <xdr:rowOff>32657</xdr:rowOff>
              </to>
            </anchor>
          </controlPr>
        </control>
      </mc:Choice>
    </mc:AlternateContent>
    <mc:AlternateContent xmlns:mc="http://schemas.openxmlformats.org/markup-compatibility/2006">
      <mc:Choice Requires="x14">
        <control shapeId="6196" r:id="rId59" name="UpMember2_5">
          <controlPr defaultSize="0" print="0" autoFill="0" autoPict="0" macro="_xll.IBPXLClient.TechnicalCategory.ButtonActionInIBPClientFormattingSheet">
            <anchor moveWithCells="1">
              <from>
                <xdr:col>14</xdr:col>
                <xdr:colOff>0</xdr:colOff>
                <xdr:row>76</xdr:row>
                <xdr:rowOff>0</xdr:rowOff>
              </from>
              <to>
                <xdr:col>14</xdr:col>
                <xdr:colOff>707571</xdr:colOff>
                <xdr:row>77</xdr:row>
                <xdr:rowOff>32657</xdr:rowOff>
              </to>
            </anchor>
          </controlPr>
        </control>
      </mc:Choice>
    </mc:AlternateContent>
    <mc:AlternateContent xmlns:mc="http://schemas.openxmlformats.org/markup-compatibility/2006">
      <mc:Choice Requires="x14">
        <control shapeId="6197" r:id="rId60" name="DownMember2_5">
          <controlPr defaultSize="0" print="0" autoFill="0" autoPict="0" macro="_xll.IBPXLClient.TechnicalCategory.ButtonActionInIBPClientFormattingSheet">
            <anchor moveWithCells="1">
              <from>
                <xdr:col>15</xdr:col>
                <xdr:colOff>0</xdr:colOff>
                <xdr:row>76</xdr:row>
                <xdr:rowOff>0</xdr:rowOff>
              </from>
              <to>
                <xdr:col>16</xdr:col>
                <xdr:colOff>0</xdr:colOff>
                <xdr:row>77</xdr:row>
                <xdr:rowOff>32657</xdr:rowOff>
              </to>
            </anchor>
          </controlPr>
        </control>
      </mc:Choice>
    </mc:AlternateContent>
    <mc:AlternateContent xmlns:mc="http://schemas.openxmlformats.org/markup-compatibility/2006">
      <mc:Choice Requires="x14">
        <control shapeId="6198" r:id="rId61" name="AddedMember2_6">
          <controlPr defaultSize="0" print="0" autoFill="0" autoPict="0" macro="_xll.IBPXLClient.TechnicalCategory.ButtonActionInIBPClientFormattingSheet">
            <anchor moveWithCells="1">
              <from>
                <xdr:col>12</xdr:col>
                <xdr:colOff>0</xdr:colOff>
                <xdr:row>79</xdr:row>
                <xdr:rowOff>0</xdr:rowOff>
              </from>
              <to>
                <xdr:col>12</xdr:col>
                <xdr:colOff>707571</xdr:colOff>
                <xdr:row>80</xdr:row>
                <xdr:rowOff>32657</xdr:rowOff>
              </to>
            </anchor>
          </controlPr>
        </control>
      </mc:Choice>
    </mc:AlternateContent>
    <mc:AlternateContent xmlns:mc="http://schemas.openxmlformats.org/markup-compatibility/2006">
      <mc:Choice Requires="x14">
        <control shapeId="6199" r:id="rId62" name="ChangeMember2_6">
          <controlPr defaultSize="0" print="0" autoFill="0" autoPict="0" macro="_xll.IBPXLClient.TechnicalCategory.ButtonActionInIBPClientFormattingSheet">
            <anchor moveWithCells="1">
              <from>
                <xdr:col>12</xdr:col>
                <xdr:colOff>723900</xdr:colOff>
                <xdr:row>79</xdr:row>
                <xdr:rowOff>0</xdr:rowOff>
              </from>
              <to>
                <xdr:col>13</xdr:col>
                <xdr:colOff>707571</xdr:colOff>
                <xdr:row>80</xdr:row>
                <xdr:rowOff>32657</xdr:rowOff>
              </to>
            </anchor>
          </controlPr>
        </control>
      </mc:Choice>
    </mc:AlternateContent>
    <mc:AlternateContent xmlns:mc="http://schemas.openxmlformats.org/markup-compatibility/2006">
      <mc:Choice Requires="x14">
        <control shapeId="6200" r:id="rId63" name="UpMember2_6">
          <controlPr defaultSize="0" print="0" autoFill="0" autoPict="0" macro="_xll.IBPXLClient.TechnicalCategory.ButtonActionInIBPClientFormattingSheet">
            <anchor moveWithCells="1">
              <from>
                <xdr:col>14</xdr:col>
                <xdr:colOff>0</xdr:colOff>
                <xdr:row>79</xdr:row>
                <xdr:rowOff>0</xdr:rowOff>
              </from>
              <to>
                <xdr:col>14</xdr:col>
                <xdr:colOff>707571</xdr:colOff>
                <xdr:row>80</xdr:row>
                <xdr:rowOff>32657</xdr:rowOff>
              </to>
            </anchor>
          </controlPr>
        </control>
      </mc:Choice>
    </mc:AlternateContent>
    <mc:AlternateContent xmlns:mc="http://schemas.openxmlformats.org/markup-compatibility/2006">
      <mc:Choice Requires="x14">
        <control shapeId="6201" r:id="rId64" name="DownMember2_6">
          <controlPr defaultSize="0" print="0" autoFill="0" autoPict="0" macro="_xll.IBPXLClient.TechnicalCategory.ButtonActionInIBPClientFormattingSheet">
            <anchor moveWithCells="1">
              <from>
                <xdr:col>15</xdr:col>
                <xdr:colOff>0</xdr:colOff>
                <xdr:row>79</xdr:row>
                <xdr:rowOff>0</xdr:rowOff>
              </from>
              <to>
                <xdr:col>16</xdr:col>
                <xdr:colOff>0</xdr:colOff>
                <xdr:row>80</xdr:row>
                <xdr:rowOff>32657</xdr:rowOff>
              </to>
            </anchor>
          </controlPr>
        </control>
      </mc:Choice>
    </mc:AlternateContent>
    <mc:AlternateContent xmlns:mc="http://schemas.openxmlformats.org/markup-compatibility/2006">
      <mc:Choice Requires="x14">
        <control shapeId="6202" r:id="rId65" name="AddedMember2_7">
          <controlPr defaultSize="0" print="0" autoFill="0" autoPict="0" macro="_xll.IBPXLClient.TechnicalCategory.ButtonActionInIBPClientFormattingSheet">
            <anchor moveWithCells="1">
              <from>
                <xdr:col>12</xdr:col>
                <xdr:colOff>0</xdr:colOff>
                <xdr:row>82</xdr:row>
                <xdr:rowOff>0</xdr:rowOff>
              </from>
              <to>
                <xdr:col>12</xdr:col>
                <xdr:colOff>707571</xdr:colOff>
                <xdr:row>83</xdr:row>
                <xdr:rowOff>0</xdr:rowOff>
              </to>
            </anchor>
          </controlPr>
        </control>
      </mc:Choice>
    </mc:AlternateContent>
    <mc:AlternateContent xmlns:mc="http://schemas.openxmlformats.org/markup-compatibility/2006">
      <mc:Choice Requires="x14">
        <control shapeId="6203" r:id="rId66" name="ChangeMember2_7">
          <controlPr defaultSize="0" print="0" autoFill="0" autoPict="0" macro="_xll.IBPXLClient.TechnicalCategory.ButtonActionInIBPClientFormattingSheet">
            <anchor moveWithCells="1">
              <from>
                <xdr:col>12</xdr:col>
                <xdr:colOff>723900</xdr:colOff>
                <xdr:row>82</xdr:row>
                <xdr:rowOff>0</xdr:rowOff>
              </from>
              <to>
                <xdr:col>13</xdr:col>
                <xdr:colOff>707571</xdr:colOff>
                <xdr:row>83</xdr:row>
                <xdr:rowOff>0</xdr:rowOff>
              </to>
            </anchor>
          </controlPr>
        </control>
      </mc:Choice>
    </mc:AlternateContent>
    <mc:AlternateContent xmlns:mc="http://schemas.openxmlformats.org/markup-compatibility/2006">
      <mc:Choice Requires="x14">
        <control shapeId="6204" r:id="rId67" name="UpMember2_7">
          <controlPr defaultSize="0" print="0" autoFill="0" autoPict="0" macro="_xll.IBPXLClient.TechnicalCategory.ButtonActionInIBPClientFormattingSheet">
            <anchor moveWithCells="1">
              <from>
                <xdr:col>14</xdr:col>
                <xdr:colOff>0</xdr:colOff>
                <xdr:row>82</xdr:row>
                <xdr:rowOff>0</xdr:rowOff>
              </from>
              <to>
                <xdr:col>14</xdr:col>
                <xdr:colOff>707571</xdr:colOff>
                <xdr:row>83</xdr:row>
                <xdr:rowOff>0</xdr:rowOff>
              </to>
            </anchor>
          </controlPr>
        </control>
      </mc:Choice>
    </mc:AlternateContent>
    <mc:AlternateContent xmlns:mc="http://schemas.openxmlformats.org/markup-compatibility/2006">
      <mc:Choice Requires="x14">
        <control shapeId="6205" r:id="rId68" name="DownMember2_7">
          <controlPr defaultSize="0" print="0" autoFill="0" autoPict="0" macro="_xll.IBPXLClient.TechnicalCategory.ButtonActionInIBPClientFormattingSheet">
            <anchor moveWithCells="1">
              <from>
                <xdr:col>15</xdr:col>
                <xdr:colOff>0</xdr:colOff>
                <xdr:row>82</xdr:row>
                <xdr:rowOff>0</xdr:rowOff>
              </from>
              <to>
                <xdr:col>16</xdr:col>
                <xdr:colOff>0</xdr:colOff>
                <xdr:row>83</xdr:row>
                <xdr:rowOff>0</xdr:rowOff>
              </to>
            </anchor>
          </controlPr>
        </control>
      </mc:Choice>
    </mc:AlternateContent>
    <mc:AlternateContent xmlns:mc="http://schemas.openxmlformats.org/markup-compatibility/2006">
      <mc:Choice Requires="x14">
        <control shapeId="6206" r:id="rId69" name="AddedMember1_1">
          <controlPr defaultSize="0" print="0" autoFill="0" autoPict="0" macro="_xll.IBPXLClient.TechnicalCategory.ButtonActionInIBPClientFormattingSheet">
            <anchor moveWithCells="1">
              <from>
                <xdr:col>12</xdr:col>
                <xdr:colOff>0</xdr:colOff>
                <xdr:row>39</xdr:row>
                <xdr:rowOff>59871</xdr:rowOff>
              </from>
              <to>
                <xdr:col>12</xdr:col>
                <xdr:colOff>707571</xdr:colOff>
                <xdr:row>41</xdr:row>
                <xdr:rowOff>0</xdr:rowOff>
              </to>
            </anchor>
          </controlPr>
        </control>
      </mc:Choice>
    </mc:AlternateContent>
    <mc:AlternateContent xmlns:mc="http://schemas.openxmlformats.org/markup-compatibility/2006">
      <mc:Choice Requires="x14">
        <control shapeId="6207" r:id="rId70" name="ChangeMember1_1">
          <controlPr defaultSize="0" print="0" autoFill="0" autoPict="0" macro="_xll.IBPXLClient.TechnicalCategory.ButtonActionInIBPClientFormattingSheet">
            <anchor moveWithCells="1">
              <from>
                <xdr:col>12</xdr:col>
                <xdr:colOff>723900</xdr:colOff>
                <xdr:row>39</xdr:row>
                <xdr:rowOff>59871</xdr:rowOff>
              </from>
              <to>
                <xdr:col>13</xdr:col>
                <xdr:colOff>707571</xdr:colOff>
                <xdr:row>41</xdr:row>
                <xdr:rowOff>0</xdr:rowOff>
              </to>
            </anchor>
          </controlPr>
        </control>
      </mc:Choice>
    </mc:AlternateContent>
    <mc:AlternateContent xmlns:mc="http://schemas.openxmlformats.org/markup-compatibility/2006">
      <mc:Choice Requires="x14">
        <control shapeId="6208" r:id="rId71" name="UpMember1_1">
          <controlPr defaultSize="0" print="0" autoFill="0" autoPict="0" macro="_xll.IBPXLClient.TechnicalCategory.ButtonActionInIBPClientFormattingSheet">
            <anchor moveWithCells="1">
              <from>
                <xdr:col>14</xdr:col>
                <xdr:colOff>0</xdr:colOff>
                <xdr:row>39</xdr:row>
                <xdr:rowOff>59871</xdr:rowOff>
              </from>
              <to>
                <xdr:col>14</xdr:col>
                <xdr:colOff>707571</xdr:colOff>
                <xdr:row>41</xdr:row>
                <xdr:rowOff>0</xdr:rowOff>
              </to>
            </anchor>
          </controlPr>
        </control>
      </mc:Choice>
    </mc:AlternateContent>
    <mc:AlternateContent xmlns:mc="http://schemas.openxmlformats.org/markup-compatibility/2006">
      <mc:Choice Requires="x14">
        <control shapeId="6209" r:id="rId72" name="DownMember1_1">
          <controlPr defaultSize="0" print="0" autoFill="0" autoPict="0" macro="_xll.IBPXLClient.TechnicalCategory.ButtonActionInIBPClientFormattingSheet">
            <anchor moveWithCells="1">
              <from>
                <xdr:col>15</xdr:col>
                <xdr:colOff>0</xdr:colOff>
                <xdr:row>39</xdr:row>
                <xdr:rowOff>59871</xdr:rowOff>
              </from>
              <to>
                <xdr:col>16</xdr:col>
                <xdr:colOff>0</xdr:colOff>
                <xdr:row>41</xdr:row>
                <xdr:rowOff>0</xdr:rowOff>
              </to>
            </anchor>
          </controlPr>
        </control>
      </mc:Choice>
    </mc:AlternateContent>
    <mc:AlternateContent xmlns:mc="http://schemas.openxmlformats.org/markup-compatibility/2006">
      <mc:Choice Requires="x14">
        <control shapeId="6210" r:id="rId73" name="AddedMember1_2">
          <controlPr defaultSize="0" print="0" autoFill="0" autoPict="0" macro="_xll.IBPXLClient.TechnicalCategory.ButtonActionInIBPClientFormattingSheet">
            <anchor moveWithCells="1">
              <from>
                <xdr:col>12</xdr:col>
                <xdr:colOff>0</xdr:colOff>
                <xdr:row>43</xdr:row>
                <xdr:rowOff>0</xdr:rowOff>
              </from>
              <to>
                <xdr:col>12</xdr:col>
                <xdr:colOff>707571</xdr:colOff>
                <xdr:row>44</xdr:row>
                <xdr:rowOff>32657</xdr:rowOff>
              </to>
            </anchor>
          </controlPr>
        </control>
      </mc:Choice>
    </mc:AlternateContent>
    <mc:AlternateContent xmlns:mc="http://schemas.openxmlformats.org/markup-compatibility/2006">
      <mc:Choice Requires="x14">
        <control shapeId="6211" r:id="rId74" name="ChangeMember1_2">
          <controlPr defaultSize="0" print="0" autoFill="0" autoPict="0" macro="_xll.IBPXLClient.TechnicalCategory.ButtonActionInIBPClientFormattingSheet">
            <anchor moveWithCells="1">
              <from>
                <xdr:col>12</xdr:col>
                <xdr:colOff>723900</xdr:colOff>
                <xdr:row>43</xdr:row>
                <xdr:rowOff>0</xdr:rowOff>
              </from>
              <to>
                <xdr:col>13</xdr:col>
                <xdr:colOff>707571</xdr:colOff>
                <xdr:row>44</xdr:row>
                <xdr:rowOff>32657</xdr:rowOff>
              </to>
            </anchor>
          </controlPr>
        </control>
      </mc:Choice>
    </mc:AlternateContent>
    <mc:AlternateContent xmlns:mc="http://schemas.openxmlformats.org/markup-compatibility/2006">
      <mc:Choice Requires="x14">
        <control shapeId="6212" r:id="rId75" name="UpMember1_2">
          <controlPr defaultSize="0" print="0" autoFill="0" autoPict="0" macro="_xll.IBPXLClient.TechnicalCategory.ButtonActionInIBPClientFormattingSheet">
            <anchor moveWithCells="1">
              <from>
                <xdr:col>14</xdr:col>
                <xdr:colOff>0</xdr:colOff>
                <xdr:row>43</xdr:row>
                <xdr:rowOff>0</xdr:rowOff>
              </from>
              <to>
                <xdr:col>14</xdr:col>
                <xdr:colOff>707571</xdr:colOff>
                <xdr:row>44</xdr:row>
                <xdr:rowOff>32657</xdr:rowOff>
              </to>
            </anchor>
          </controlPr>
        </control>
      </mc:Choice>
    </mc:AlternateContent>
    <mc:AlternateContent xmlns:mc="http://schemas.openxmlformats.org/markup-compatibility/2006">
      <mc:Choice Requires="x14">
        <control shapeId="6213" r:id="rId76" name="DownMember1_2">
          <controlPr defaultSize="0" print="0" autoFill="0" autoPict="0" macro="_xll.IBPXLClient.TechnicalCategory.ButtonActionInIBPClientFormattingSheet">
            <anchor moveWithCells="1">
              <from>
                <xdr:col>15</xdr:col>
                <xdr:colOff>0</xdr:colOff>
                <xdr:row>43</xdr:row>
                <xdr:rowOff>0</xdr:rowOff>
              </from>
              <to>
                <xdr:col>16</xdr:col>
                <xdr:colOff>0</xdr:colOff>
                <xdr:row>44</xdr:row>
                <xdr:rowOff>32657</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D124"/>
  <sheetViews>
    <sheetView showGridLines="0" tabSelected="1" zoomScaleNormal="100" workbookViewId="0">
      <pane xSplit="10" ySplit="4" topLeftCell="K5" activePane="bottomRight" state="frozen"/>
      <selection activeCell="Y9" sqref="Y9"/>
      <selection pane="topRight" activeCell="Y9" sqref="Y9"/>
      <selection pane="bottomLeft" activeCell="Y9" sqref="Y9"/>
      <selection pane="bottomRight" activeCell="I5" sqref="I5"/>
    </sheetView>
  </sheetViews>
  <sheetFormatPr defaultRowHeight="14.6" x14ac:dyDescent="0.4"/>
  <cols>
    <col min="1" max="5" width="1.3828125" bestFit="1" customWidth="1"/>
    <col min="6" max="6" width="10.15234375" bestFit="1" customWidth="1"/>
    <col min="7" max="7" width="9.61328125" bestFit="1" customWidth="1"/>
    <col min="8" max="8" width="12.61328125" bestFit="1" customWidth="1"/>
    <col min="9" max="9" width="9" bestFit="1" customWidth="1"/>
    <col min="10" max="10" width="33.61328125" bestFit="1" customWidth="1"/>
    <col min="11" max="11" width="8.53515625" bestFit="1" customWidth="1"/>
    <col min="12" max="12" width="9.3828125" bestFit="1" customWidth="1"/>
    <col min="13" max="13" width="9.4609375" bestFit="1" customWidth="1"/>
    <col min="14" max="14" width="8.765625" bestFit="1" customWidth="1"/>
    <col min="15" max="15" width="9.3828125" bestFit="1" customWidth="1"/>
    <col min="16" max="16" width="8.61328125" bestFit="1" customWidth="1"/>
    <col min="17" max="17" width="8.15234375" bestFit="1" customWidth="1"/>
    <col min="18" max="18" width="9.15234375" bestFit="1" customWidth="1"/>
    <col min="19" max="19" width="8.3046875" bestFit="1" customWidth="1"/>
    <col min="20" max="20" width="8.765625" bestFit="1" customWidth="1"/>
    <col min="21" max="21" width="9.15234375" bestFit="1" customWidth="1"/>
    <col min="22" max="22" width="8.61328125" bestFit="1" customWidth="1"/>
    <col min="23" max="23" width="8.84375" bestFit="1" customWidth="1"/>
    <col min="24" max="25" width="9.69140625" bestFit="1" customWidth="1"/>
    <col min="26" max="26" width="9" bestFit="1" customWidth="1"/>
    <col min="27" max="27" width="9.69140625" bestFit="1" customWidth="1"/>
    <col min="28" max="28" width="9" bestFit="1" customWidth="1"/>
    <col min="29" max="29" width="8.3828125" bestFit="1" customWidth="1"/>
    <col min="30" max="30" width="9.53515625" bestFit="1" customWidth="1"/>
    <col min="31" max="31" width="8.53515625" bestFit="1" customWidth="1"/>
    <col min="32" max="32" width="9" bestFit="1" customWidth="1"/>
    <col min="33" max="33" width="9.53515625" bestFit="1" customWidth="1"/>
    <col min="34" max="34" width="8.84375" bestFit="1" customWidth="1"/>
    <col min="35" max="35" width="21.15234375" bestFit="1" customWidth="1"/>
    <col min="36" max="36" width="13.15234375" bestFit="1" customWidth="1"/>
    <col min="37" max="37" width="18.15234375" bestFit="1" customWidth="1"/>
    <col min="38" max="38" width="12.3828125" bestFit="1" customWidth="1"/>
    <col min="39" max="39" width="26.15234375" bestFit="1" customWidth="1"/>
    <col min="40" max="40" width="23.3828125" bestFit="1" customWidth="1"/>
    <col min="41" max="41" width="21.15234375" bestFit="1" customWidth="1"/>
    <col min="42" max="42" width="13.15234375" bestFit="1" customWidth="1"/>
    <col min="43" max="43" width="18.15234375" bestFit="1" customWidth="1"/>
    <col min="44" max="44" width="12.3828125" bestFit="1" customWidth="1"/>
    <col min="45" max="45" width="26.15234375" bestFit="1" customWidth="1"/>
    <col min="46" max="46" width="23.3828125" bestFit="1" customWidth="1"/>
    <col min="47" max="47" width="21.15234375" bestFit="1" customWidth="1"/>
    <col min="48" max="48" width="13.15234375" bestFit="1" customWidth="1"/>
    <col min="49" max="49" width="18.15234375" bestFit="1" customWidth="1"/>
    <col min="50" max="50" width="12.3828125" bestFit="1" customWidth="1"/>
    <col min="51" max="51" width="26.15234375" bestFit="1" customWidth="1"/>
    <col min="52" max="52" width="23.3828125" bestFit="1" customWidth="1"/>
    <col min="53" max="53" width="21.15234375" bestFit="1" customWidth="1"/>
    <col min="54" max="54" width="13.15234375" bestFit="1" customWidth="1"/>
    <col min="55" max="55" width="18.15234375" bestFit="1" customWidth="1"/>
    <col min="56" max="56" width="12.3828125" bestFit="1" customWidth="1"/>
    <col min="57" max="57" width="26.15234375" bestFit="1" customWidth="1"/>
    <col min="58" max="58" width="23.3828125" bestFit="1" customWidth="1"/>
    <col min="59" max="59" width="21.15234375" bestFit="1" customWidth="1"/>
    <col min="60" max="60" width="13.15234375" bestFit="1" customWidth="1"/>
    <col min="61" max="61" width="18.15234375" bestFit="1" customWidth="1"/>
    <col min="62" max="62" width="12.3828125" bestFit="1" customWidth="1"/>
    <col min="63" max="63" width="26.15234375" bestFit="1" customWidth="1"/>
    <col min="64" max="64" width="23.3828125" bestFit="1" customWidth="1"/>
    <col min="65" max="65" width="21.15234375" bestFit="1" customWidth="1"/>
    <col min="66" max="66" width="13.15234375" bestFit="1" customWidth="1"/>
    <col min="67" max="67" width="18.15234375" bestFit="1" customWidth="1"/>
    <col min="68" max="68" width="12.3828125" bestFit="1" customWidth="1"/>
    <col min="69" max="69" width="26.15234375" bestFit="1" customWidth="1"/>
    <col min="70" max="70" width="23.3828125" bestFit="1" customWidth="1"/>
    <col min="71" max="71" width="21.15234375" bestFit="1" customWidth="1"/>
    <col min="72" max="72" width="13.15234375" bestFit="1" customWidth="1"/>
    <col min="73" max="73" width="18.15234375" bestFit="1" customWidth="1"/>
    <col min="74" max="74" width="12.3828125" bestFit="1" customWidth="1"/>
    <col min="75" max="75" width="26.15234375" bestFit="1" customWidth="1"/>
    <col min="76" max="76" width="23.3828125" bestFit="1" customWidth="1"/>
    <col min="77" max="77" width="21.15234375" bestFit="1" customWidth="1"/>
    <col min="78" max="78" width="13.15234375" bestFit="1" customWidth="1"/>
    <col min="79" max="79" width="18.15234375" bestFit="1" customWidth="1"/>
    <col min="80" max="80" width="12.3828125" bestFit="1" customWidth="1"/>
    <col min="81" max="81" width="26.15234375" bestFit="1" customWidth="1"/>
    <col min="82" max="82" width="23.3828125" bestFit="1" customWidth="1"/>
  </cols>
  <sheetData>
    <row r="1" spans="1:82" s="21" customFormat="1" ht="28.3" customHeight="1" x14ac:dyDescent="0.4">
      <c r="A1" s="74"/>
      <c r="B1" s="74"/>
      <c r="C1" s="74"/>
      <c r="D1" s="74"/>
      <c r="E1" s="74"/>
      <c r="F1" s="74"/>
      <c r="G1" s="74"/>
      <c r="H1" s="74"/>
      <c r="I1" s="74"/>
      <c r="J1" s="74"/>
      <c r="K1" s="75" t="str">
        <f>" "&amp;IFERROR(IF(SOP_Favorite_Name&lt;&gt;" ",SOP_Favorite_Name,IF(SOP_Template_Name&lt;&gt;" ",SOP_Template_Name,"Ad Hoc Planning View")),"Offline")</f>
        <v xml:space="preserve"> Change ABC Code</v>
      </c>
      <c r="L1" s="75"/>
      <c r="M1" s="75"/>
      <c r="N1" s="75"/>
      <c r="O1" s="75"/>
      <c r="P1" s="75"/>
      <c r="Q1" s="76" t="str">
        <f>"User: "&amp;_xll.EPMUser()&amp;"   |    Planning Area: "&amp;IFERROR(SOP_Planning_Area,"Offline")&amp;"
"&amp;"Template: "&amp;IFERROR(SOP_Template_Name,"none")</f>
        <v>User: #Error, no current connection.   |    Planning Area: SAP6
Template: template name</v>
      </c>
      <c r="R1" s="76"/>
      <c r="S1" s="76"/>
      <c r="T1" s="76"/>
      <c r="U1" s="76"/>
      <c r="V1" s="76"/>
      <c r="W1" s="32"/>
      <c r="X1" s="33"/>
      <c r="Y1" s="33"/>
      <c r="Z1" s="33"/>
      <c r="AA1" s="33"/>
      <c r="AB1" s="33"/>
      <c r="AC1" s="33"/>
      <c r="AD1" s="33"/>
      <c r="AE1" s="34"/>
      <c r="AF1" s="34"/>
      <c r="AG1" s="34"/>
      <c r="AH1" s="34"/>
      <c r="AI1" s="34"/>
      <c r="AJ1" s="34"/>
      <c r="AK1" s="34"/>
      <c r="AL1" s="35"/>
      <c r="AM1" s="35"/>
      <c r="AN1" s="35"/>
      <c r="AO1" s="35"/>
      <c r="AP1" s="35"/>
      <c r="AQ1" s="35"/>
      <c r="AR1" s="35"/>
      <c r="AS1" s="35"/>
      <c r="AT1" s="35"/>
      <c r="AU1" s="35"/>
      <c r="AV1" s="35"/>
      <c r="AW1" s="35"/>
      <c r="AX1" s="35"/>
      <c r="AY1" s="35"/>
      <c r="AZ1" s="35"/>
      <c r="BA1" s="35"/>
      <c r="BB1" s="35"/>
      <c r="BC1" s="35"/>
      <c r="BD1" s="35"/>
      <c r="BE1" s="35"/>
      <c r="BF1" s="35"/>
      <c r="BG1" s="35"/>
      <c r="BH1" s="35"/>
      <c r="BI1" s="35"/>
      <c r="BJ1" s="35"/>
      <c r="BK1" s="35"/>
      <c r="BL1" s="35"/>
      <c r="BM1" s="35"/>
      <c r="BN1" s="35"/>
      <c r="BO1" s="35"/>
      <c r="BP1" s="35"/>
      <c r="BQ1" s="35"/>
      <c r="BR1" s="36"/>
      <c r="BS1" s="36"/>
      <c r="BT1" s="36"/>
      <c r="BU1" s="36"/>
      <c r="BV1" s="36"/>
      <c r="BW1" s="36"/>
      <c r="BX1" s="36"/>
      <c r="BY1" s="36"/>
      <c r="BZ1" s="36"/>
      <c r="CA1" s="36"/>
      <c r="CB1" s="36"/>
      <c r="CC1" s="36"/>
      <c r="CD1" s="36"/>
    </row>
    <row r="2" spans="1:82" s="21" customFormat="1" ht="60" customHeight="1" x14ac:dyDescent="0.4">
      <c r="A2" s="77"/>
      <c r="B2" s="77"/>
      <c r="C2" s="77"/>
      <c r="D2" s="77"/>
      <c r="E2" s="77"/>
      <c r="F2" s="77"/>
      <c r="G2" s="77"/>
      <c r="H2" s="77"/>
      <c r="I2" s="77"/>
      <c r="J2" s="77"/>
      <c r="K2" s="78" t="str">
        <f>"  Last Refresh: "&amp;IFERROR(YEAR(SOP_Refresh_Timestamp)&amp;"-"&amp;TEXT(SOP_Refresh_Timestamp,"MMM")&amp;"-"&amp;DAY(SOP_Refresh_Timestamp)&amp;"   "&amp;TEXT(SOP_Refresh_Timestamp,"HH:MM:SS"),"Offline")</f>
        <v xml:space="preserve">  Last Refresh: 2022-Apr-26   09:07:19</v>
      </c>
      <c r="L2" s="78"/>
      <c r="M2" s="78"/>
      <c r="N2" s="78"/>
      <c r="O2" s="78"/>
      <c r="P2" s="78"/>
      <c r="Q2" s="78"/>
      <c r="R2" s="78"/>
      <c r="S2" s="78"/>
      <c r="T2" s="78"/>
      <c r="U2" s="78"/>
      <c r="V2" s="78"/>
      <c r="W2" s="32"/>
      <c r="X2" s="33"/>
      <c r="Y2" s="33"/>
      <c r="Z2" s="33"/>
      <c r="AA2" s="33"/>
      <c r="AB2" s="33"/>
      <c r="AC2" s="33"/>
      <c r="AD2" s="33"/>
      <c r="AE2" s="34"/>
      <c r="AF2" s="34"/>
      <c r="AG2" s="34"/>
      <c r="AH2" s="34"/>
      <c r="AI2" s="34"/>
      <c r="AJ2" s="34"/>
      <c r="AK2" s="34"/>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5"/>
      <c r="BN2" s="35"/>
      <c r="BO2" s="35"/>
      <c r="BP2" s="35"/>
      <c r="BQ2" s="35"/>
      <c r="BR2" s="36"/>
      <c r="BS2" s="36"/>
      <c r="BT2" s="36"/>
      <c r="BU2" s="36"/>
      <c r="BV2" s="36"/>
      <c r="BW2" s="36"/>
      <c r="BX2" s="36"/>
      <c r="BY2" s="36"/>
      <c r="BZ2" s="36"/>
      <c r="CA2" s="36"/>
      <c r="CB2" s="36"/>
      <c r="CC2" s="36"/>
      <c r="CD2" s="36"/>
    </row>
    <row r="3" spans="1:82" s="21" customFormat="1" ht="22.3" customHeight="1" x14ac:dyDescent="0.4">
      <c r="A3" s="39"/>
      <c r="B3" s="39"/>
      <c r="C3" s="39"/>
      <c r="D3" s="39"/>
      <c r="E3" s="39"/>
      <c r="F3" s="39"/>
      <c r="G3" s="39"/>
      <c r="H3" s="39"/>
      <c r="I3" s="39"/>
      <c r="J3" s="39"/>
      <c r="K3" s="40"/>
      <c r="L3" s="40"/>
      <c r="M3" s="40"/>
      <c r="N3" s="40"/>
      <c r="O3" s="40"/>
      <c r="P3" s="40"/>
      <c r="Q3" s="40"/>
      <c r="R3" s="40"/>
      <c r="S3" s="40"/>
      <c r="T3" s="40"/>
      <c r="U3" s="40"/>
      <c r="V3" s="40"/>
      <c r="W3" s="32"/>
      <c r="X3" s="33"/>
      <c r="Y3" s="33"/>
      <c r="Z3" s="33"/>
      <c r="AA3" s="33"/>
      <c r="AB3" s="33"/>
      <c r="AC3" s="33"/>
      <c r="AD3" s="33"/>
      <c r="AE3" s="34"/>
      <c r="AF3" s="34"/>
      <c r="AG3" s="34"/>
      <c r="AH3" s="34"/>
      <c r="AI3" s="34"/>
      <c r="AJ3" s="34"/>
      <c r="AK3" s="34"/>
      <c r="AL3" s="35"/>
      <c r="AM3" s="35"/>
      <c r="AN3" s="35"/>
      <c r="AO3" s="35"/>
      <c r="AP3" s="35"/>
      <c r="AQ3" s="35"/>
      <c r="AR3" s="35"/>
      <c r="AS3" s="35"/>
      <c r="AT3" s="35"/>
      <c r="AU3" s="35"/>
      <c r="AV3" s="35"/>
      <c r="AW3" s="35"/>
      <c r="AX3" s="35"/>
      <c r="AY3" s="35"/>
      <c r="AZ3" s="35"/>
      <c r="BA3" s="35"/>
      <c r="BB3" s="35"/>
      <c r="BC3" s="35"/>
      <c r="BD3" s="35"/>
      <c r="BE3" s="35"/>
      <c r="BF3" s="35"/>
      <c r="BG3" s="35"/>
      <c r="BH3" s="35"/>
      <c r="BI3" s="35"/>
      <c r="BJ3" s="35"/>
      <c r="BK3" s="35"/>
      <c r="BL3" s="35"/>
      <c r="BM3" s="35"/>
      <c r="BN3" s="35"/>
      <c r="BO3" s="35"/>
      <c r="BP3" s="35"/>
      <c r="BQ3" s="35"/>
      <c r="BR3" s="36"/>
      <c r="BS3" s="36"/>
      <c r="BT3" s="36"/>
      <c r="BU3" s="36"/>
      <c r="BV3" s="36"/>
      <c r="BW3" s="36"/>
      <c r="BX3" s="36"/>
      <c r="BY3" s="36"/>
      <c r="BZ3" s="36"/>
      <c r="CA3" s="36"/>
      <c r="CB3" s="36"/>
      <c r="CC3" s="36"/>
      <c r="CD3" s="36"/>
    </row>
    <row r="4" spans="1:82" s="22" customFormat="1" x14ac:dyDescent="0.4">
      <c r="A4" s="38" t="str">
        <f>SOP_Heading10</f>
        <v xml:space="preserve"> </v>
      </c>
      <c r="B4" s="38" t="str">
        <f>SOP_Heading9</f>
        <v xml:space="preserve"> </v>
      </c>
      <c r="C4" s="38" t="str">
        <f>SOP_Heading8</f>
        <v xml:space="preserve"> </v>
      </c>
      <c r="D4" s="38" t="str">
        <f>SOP_Heading7</f>
        <v xml:space="preserve"> </v>
      </c>
      <c r="E4" s="38" t="str">
        <f>SOP_Heading6</f>
        <v xml:space="preserve"> </v>
      </c>
      <c r="F4" s="38" t="str">
        <f>SOP_Heading5</f>
        <v xml:space="preserve"> </v>
      </c>
      <c r="G4" s="38" t="str">
        <f>SOP_Heading4</f>
        <v>Product ID</v>
      </c>
      <c r="H4" s="38" t="str">
        <f>SOP_Heading3</f>
        <v>Location ID</v>
      </c>
      <c r="I4" s="38" t="str">
        <f>SOP_Heading2</f>
        <v>ABC Code</v>
      </c>
      <c r="J4" s="38" t="str">
        <f>SOP_Heading1</f>
        <v>Key Figure</v>
      </c>
      <c r="K4" s="25" t="str">
        <f xml:space="preserve"> _xll.EPMOlapMemberO("[PERIODID3].[].[70613]","","JAN 2021","","000")</f>
        <v>JAN 2021</v>
      </c>
      <c r="L4" s="25" t="str">
        <f xml:space="preserve"> _xll.EPMOlapMemberO("[PERIODID3].[].[70614]","","FEB 2021","","000")</f>
        <v>FEB 2021</v>
      </c>
      <c r="M4" s="25" t="str">
        <f xml:space="preserve"> _xll.EPMOlapMemberO("[PERIODID3].[].[70615]","","MAR 2021","","000")</f>
        <v>MAR 2021</v>
      </c>
      <c r="N4" s="25" t="str">
        <f xml:space="preserve"> _xll.EPMOlapMemberO("[PERIODID3].[].[70616]","","APR 2021","","000")</f>
        <v>APR 2021</v>
      </c>
      <c r="O4" s="25" t="str">
        <f xml:space="preserve"> _xll.EPMOlapMemberO("[PERIODID3].[].[70617]","","MAY 2021","","000")</f>
        <v>MAY 2021</v>
      </c>
      <c r="P4" s="25" t="str">
        <f xml:space="preserve"> _xll.EPMOlapMemberO("[PERIODID3].[].[70618]","","JUN 2021","","000")</f>
        <v>JUN 2021</v>
      </c>
      <c r="Q4" s="25" t="str">
        <f xml:space="preserve"> _xll.EPMOlapMemberO("[PERIODID3].[].[70619]","","JUL 2021","","000")</f>
        <v>JUL 2021</v>
      </c>
      <c r="R4" s="25" t="str">
        <f xml:space="preserve"> _xll.EPMOlapMemberO("[PERIODID3].[].[70620]","","AUG 2021","","000")</f>
        <v>AUG 2021</v>
      </c>
      <c r="S4" s="25" t="str">
        <f xml:space="preserve"> _xll.EPMOlapMemberO("[PERIODID3].[].[70621]","","SEP 2021","","000")</f>
        <v>SEP 2021</v>
      </c>
      <c r="T4" s="25" t="str">
        <f xml:space="preserve"> _xll.EPMOlapMemberO("[PERIODID3].[].[70622]","","OCT 2021","","000")</f>
        <v>OCT 2021</v>
      </c>
      <c r="U4" s="25" t="str">
        <f xml:space="preserve"> _xll.EPMOlapMemberO("[PERIODID3].[].[70623]","","NOV 2021","","000")</f>
        <v>NOV 2021</v>
      </c>
      <c r="V4" s="25" t="str">
        <f xml:space="preserve"> _xll.EPMOlapMemberO("[PERIODID3].[].[70624]","","DEC 2021","","000")</f>
        <v>DEC 2021</v>
      </c>
      <c r="W4"/>
      <c r="X4"/>
      <c r="Y4"/>
      <c r="Z4"/>
      <c r="AA4"/>
      <c r="AB4"/>
      <c r="AC4"/>
      <c r="AD4"/>
      <c r="AE4"/>
      <c r="AF4"/>
      <c r="AG4"/>
      <c r="AH4"/>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c r="BU4" s="37"/>
      <c r="BV4" s="37"/>
      <c r="BW4" s="37"/>
      <c r="BX4" s="37"/>
      <c r="BY4" s="37"/>
      <c r="BZ4" s="37"/>
      <c r="CA4" s="37"/>
      <c r="CB4" s="37"/>
      <c r="CC4" s="37"/>
      <c r="CD4" s="37"/>
    </row>
    <row r="5" spans="1:82" x14ac:dyDescent="0.4">
      <c r="A5" s="37"/>
      <c r="B5" s="37"/>
      <c r="C5" s="37"/>
      <c r="D5" s="37"/>
      <c r="E5" s="37"/>
      <c r="G5" s="20" t="str">
        <f xml:space="preserve"> _xll.EPMOlapMemberO("[PRDID].[].[HT_001]","","HT_001","","000")</f>
        <v>HT_001</v>
      </c>
      <c r="H5" s="20" t="str">
        <f xml:space="preserve"> _xll.EPMOlapMemberO("[LOCID].[].[HD_DC_CA_E]","","HD_DC_CA_E","","000")</f>
        <v>HD_DC_CA_E</v>
      </c>
      <c r="I5" s="20" t="str">
        <f xml:space="preserve"> _xll.EPMOlapMemberO("[ABCID].[].[A]","","A","","000")</f>
        <v>A</v>
      </c>
      <c r="J5" s="20" t="str">
        <f xml:space="preserve"> _xll.EPMOlapMemberO("[KEY_FIGURES].[].[CONSENSUSDEMAND]","","Consensus Demand without Promotion","","000")</f>
        <v>Consensus Demand without Promotion</v>
      </c>
      <c r="K5" s="41">
        <v>100</v>
      </c>
      <c r="L5" s="42">
        <v>1651.5</v>
      </c>
      <c r="M5" s="41">
        <v>8000</v>
      </c>
      <c r="N5" s="41">
        <v>1000</v>
      </c>
      <c r="O5" s="43">
        <v>6944</v>
      </c>
      <c r="P5" s="43">
        <v>100</v>
      </c>
      <c r="Q5" s="43">
        <v>125</v>
      </c>
      <c r="R5" s="43">
        <v>100</v>
      </c>
      <c r="S5" s="42">
        <v>100</v>
      </c>
      <c r="T5" s="42">
        <v>100</v>
      </c>
      <c r="U5" s="42">
        <v>300</v>
      </c>
      <c r="V5" s="41">
        <v>5000</v>
      </c>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c r="BT5" s="37"/>
      <c r="BU5" s="37"/>
      <c r="BV5" s="37"/>
      <c r="BW5" s="37"/>
      <c r="BX5" s="37"/>
      <c r="BY5" s="37"/>
      <c r="BZ5" s="37"/>
      <c r="CA5" s="37"/>
      <c r="CB5" s="37"/>
      <c r="CC5" s="37"/>
      <c r="CD5" s="37"/>
    </row>
    <row r="6" spans="1:82" x14ac:dyDescent="0.4">
      <c r="A6" s="37"/>
      <c r="B6" s="37"/>
      <c r="C6" s="37"/>
      <c r="D6" s="37"/>
      <c r="E6" s="37"/>
      <c r="G6" s="20"/>
      <c r="H6" s="20"/>
      <c r="I6" s="20"/>
      <c r="J6" s="20" t="str">
        <f xml:space="preserve"> _xll.EPMOlapMemberO("[KEY_FIGURES].[].[DEMANDPLANNINGQTY]","","Demand Planning Qty","","000")</f>
        <v>Demand Planning Qty</v>
      </c>
      <c r="K6" s="23">
        <v>0</v>
      </c>
      <c r="L6" s="23">
        <v>0</v>
      </c>
      <c r="M6" s="23">
        <v>343</v>
      </c>
      <c r="N6" s="23">
        <v>0</v>
      </c>
      <c r="O6" s="23">
        <v>0</v>
      </c>
      <c r="P6" s="23"/>
      <c r="Q6" s="23"/>
      <c r="R6" s="23"/>
      <c r="S6" s="23">
        <v>0</v>
      </c>
      <c r="T6" s="23">
        <v>0</v>
      </c>
      <c r="U6" s="23">
        <v>0</v>
      </c>
      <c r="V6" s="23">
        <v>13.5</v>
      </c>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c r="BT6" s="37"/>
      <c r="BU6" s="37"/>
      <c r="BV6" s="37"/>
      <c r="BW6" s="37"/>
      <c r="BX6" s="37"/>
      <c r="BY6" s="37"/>
      <c r="BZ6" s="37"/>
      <c r="CA6" s="37"/>
      <c r="CB6" s="37"/>
      <c r="CC6" s="37"/>
      <c r="CD6" s="37"/>
    </row>
    <row r="7" spans="1:82" x14ac:dyDescent="0.4">
      <c r="A7" s="37"/>
      <c r="B7" s="37"/>
      <c r="C7" s="37"/>
      <c r="D7" s="37"/>
      <c r="E7" s="37"/>
      <c r="G7" s="20"/>
      <c r="H7" s="20"/>
      <c r="I7" s="20"/>
      <c r="J7" s="20" t="str">
        <f xml:space="preserve"> _xll.EPMOlapMemberO("[KEY_FIGURES].[].[FINALCONSENSUSDEMAND]","","Consensus Demand","","000")</f>
        <v>Consensus Demand</v>
      </c>
      <c r="K7" s="23">
        <v>100</v>
      </c>
      <c r="L7" s="23">
        <v>17316.5</v>
      </c>
      <c r="M7" s="23">
        <v>8000</v>
      </c>
      <c r="N7" s="23">
        <v>1000</v>
      </c>
      <c r="O7" s="23">
        <v>6944</v>
      </c>
      <c r="P7" s="23">
        <v>100</v>
      </c>
      <c r="Q7" s="23">
        <v>125</v>
      </c>
      <c r="R7" s="23">
        <v>100</v>
      </c>
      <c r="S7" s="23">
        <v>100</v>
      </c>
      <c r="T7" s="23">
        <v>100</v>
      </c>
      <c r="U7" s="23">
        <v>300</v>
      </c>
      <c r="V7" s="23">
        <v>5000</v>
      </c>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c r="BU7" s="37"/>
      <c r="BV7" s="37"/>
      <c r="BW7" s="37"/>
      <c r="BX7" s="37"/>
      <c r="BY7" s="37"/>
      <c r="BZ7" s="37"/>
      <c r="CA7" s="37"/>
      <c r="CB7" s="37"/>
      <c r="CC7" s="37"/>
      <c r="CD7" s="37"/>
    </row>
    <row r="8" spans="1:82" x14ac:dyDescent="0.4">
      <c r="A8" s="37"/>
      <c r="B8" s="37"/>
      <c r="C8" s="37"/>
      <c r="D8" s="37"/>
      <c r="E8" s="37"/>
      <c r="G8" s="20"/>
      <c r="H8" s="20"/>
      <c r="I8" s="20"/>
      <c r="J8" s="20" t="str">
        <f xml:space="preserve"> _xll.EPMOlapMemberO("[KEY_FIGURES].[].[ADJDELIVQTY]","","Delivered Qty Adjusted","","000")</f>
        <v>Delivered Qty Adjusted</v>
      </c>
      <c r="K8" s="41">
        <v>100</v>
      </c>
      <c r="L8" s="41">
        <v>2100</v>
      </c>
      <c r="M8" s="41">
        <v>2325</v>
      </c>
      <c r="N8" s="41">
        <v>1710</v>
      </c>
      <c r="O8" s="41">
        <v>1479</v>
      </c>
      <c r="P8" s="41">
        <v>1437</v>
      </c>
      <c r="Q8" s="41">
        <v>43242</v>
      </c>
      <c r="R8" s="41">
        <v>45</v>
      </c>
      <c r="S8" s="41">
        <v>0</v>
      </c>
      <c r="T8" s="41">
        <v>0</v>
      </c>
      <c r="U8" s="41">
        <v>100000</v>
      </c>
      <c r="V8" s="41">
        <v>0</v>
      </c>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c r="BT8" s="37"/>
      <c r="BU8" s="37"/>
      <c r="BV8" s="37"/>
      <c r="BW8" s="37"/>
      <c r="BX8" s="37"/>
      <c r="BY8" s="37"/>
      <c r="BZ8" s="37"/>
      <c r="CA8" s="37"/>
      <c r="CB8" s="37"/>
      <c r="CC8" s="37"/>
      <c r="CD8" s="37"/>
    </row>
    <row r="9" spans="1:82" x14ac:dyDescent="0.4">
      <c r="A9" s="37"/>
      <c r="B9" s="37"/>
      <c r="C9" s="37"/>
      <c r="D9" s="37"/>
      <c r="E9" s="37"/>
      <c r="G9" s="20"/>
      <c r="H9" s="20"/>
      <c r="I9" s="20"/>
      <c r="J9" s="20" t="str">
        <f xml:space="preserve"> _xll.EPMOlapMemberO("[KEY_FIGURES].[].[ACTUALSREV]","","Actuals Revenue","","000")</f>
        <v>Actuals Revenue</v>
      </c>
      <c r="K9" s="41"/>
      <c r="L9" s="41"/>
      <c r="M9" s="41"/>
      <c r="N9" s="41"/>
      <c r="O9" s="41"/>
      <c r="P9" s="41"/>
      <c r="Q9" s="41"/>
      <c r="R9" s="41"/>
      <c r="S9" s="41"/>
      <c r="T9" s="41"/>
      <c r="U9" s="41"/>
      <c r="V9" s="41"/>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c r="BT9" s="37"/>
      <c r="BU9" s="37"/>
      <c r="BV9" s="37"/>
      <c r="BW9" s="37"/>
      <c r="BX9" s="37"/>
      <c r="BY9" s="37"/>
      <c r="BZ9" s="37"/>
      <c r="CA9" s="37"/>
      <c r="CB9" s="37"/>
      <c r="CC9" s="37"/>
      <c r="CD9" s="37"/>
    </row>
    <row r="10" spans="1:82" x14ac:dyDescent="0.4">
      <c r="A10" s="37"/>
      <c r="B10" s="37"/>
      <c r="C10" s="37"/>
      <c r="D10" s="37"/>
      <c r="E10" s="37"/>
      <c r="G10" s="20"/>
      <c r="H10" s="20"/>
      <c r="I10" s="20"/>
      <c r="J10" s="20" t="str">
        <f xml:space="preserve"> _xll.EPMOlapMemberO("[KEY_FIGURES].[].[CONFQTY]","","Confirmed Qty","","000")</f>
        <v>Confirmed Qty</v>
      </c>
      <c r="K10" s="23"/>
      <c r="L10" s="23"/>
      <c r="M10" s="23"/>
      <c r="N10" s="23"/>
      <c r="O10" s="23"/>
      <c r="P10" s="23"/>
      <c r="Q10" s="23"/>
      <c r="R10" s="23"/>
      <c r="S10" s="23"/>
      <c r="T10" s="23"/>
      <c r="U10" s="23"/>
      <c r="V10" s="23"/>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c r="BT10" s="37"/>
      <c r="BU10" s="37"/>
      <c r="BV10" s="37"/>
      <c r="BW10" s="37"/>
      <c r="BX10" s="37"/>
      <c r="BY10" s="37"/>
      <c r="BZ10" s="37"/>
      <c r="CA10" s="37"/>
      <c r="CB10" s="37"/>
      <c r="CC10" s="37"/>
      <c r="CD10" s="37"/>
    </row>
    <row r="11" spans="1:82" x14ac:dyDescent="0.4">
      <c r="A11" s="37"/>
      <c r="B11" s="37"/>
      <c r="C11" s="37"/>
      <c r="D11" s="37"/>
      <c r="E11" s="37"/>
      <c r="G11" s="20"/>
      <c r="H11" s="20" t="str">
        <f xml:space="preserve"> _xll.EPMOlapMemberO("[LOCID].[].[HD_DC_FR]","","HD_DC_FR","","000")</f>
        <v>HD_DC_FR</v>
      </c>
      <c r="I11" s="20" t="str">
        <f xml:space="preserve"> _xll.EPMOlapMemberO("[ABCID].[].[A]","","A","","000")</f>
        <v>A</v>
      </c>
      <c r="J11" s="20" t="str">
        <f xml:space="preserve"> _xll.EPMOlapMemberO("[KEY_FIGURES].[].[CONSENSUSDEMAND]","","Consensus Demand without Promotion","","000")</f>
        <v>Consensus Demand without Promotion</v>
      </c>
      <c r="K11" s="43">
        <v>45</v>
      </c>
      <c r="L11" s="41">
        <v>100</v>
      </c>
      <c r="M11" s="43">
        <v>22500</v>
      </c>
      <c r="N11" s="43">
        <v>200</v>
      </c>
      <c r="O11" s="43">
        <v>250</v>
      </c>
      <c r="P11" s="43">
        <v>150</v>
      </c>
      <c r="Q11" s="41"/>
      <c r="R11" s="41"/>
      <c r="S11" s="41">
        <v>1000</v>
      </c>
      <c r="T11" s="41">
        <v>450</v>
      </c>
      <c r="U11" s="41">
        <v>0</v>
      </c>
      <c r="V11" s="41">
        <v>0</v>
      </c>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c r="BT11" s="37"/>
      <c r="BU11" s="37"/>
      <c r="BV11" s="37"/>
      <c r="BW11" s="37"/>
      <c r="BX11" s="37"/>
      <c r="BY11" s="37"/>
      <c r="BZ11" s="37"/>
      <c r="CA11" s="37"/>
      <c r="CB11" s="37"/>
      <c r="CC11" s="37"/>
      <c r="CD11" s="37"/>
    </row>
    <row r="12" spans="1:82" x14ac:dyDescent="0.4">
      <c r="A12" s="37"/>
      <c r="B12" s="37"/>
      <c r="C12" s="37"/>
      <c r="D12" s="37"/>
      <c r="E12" s="37"/>
      <c r="G12" s="20"/>
      <c r="H12" s="20"/>
      <c r="I12" s="20"/>
      <c r="J12" s="20" t="str">
        <f xml:space="preserve"> _xll.EPMOlapMemberO("[KEY_FIGURES].[].[DEMANDPLANNINGQTY]","","Demand Planning Qty","","000")</f>
        <v>Demand Planning Qty</v>
      </c>
      <c r="K12" s="23">
        <v>45</v>
      </c>
      <c r="L12" s="23">
        <v>0</v>
      </c>
      <c r="M12" s="23">
        <v>0</v>
      </c>
      <c r="N12" s="23">
        <v>0</v>
      </c>
      <c r="O12" s="23">
        <v>0</v>
      </c>
      <c r="P12" s="23"/>
      <c r="Q12" s="23"/>
      <c r="R12" s="23"/>
      <c r="S12" s="23">
        <v>0</v>
      </c>
      <c r="T12" s="23">
        <v>0</v>
      </c>
      <c r="U12" s="23">
        <v>0</v>
      </c>
      <c r="V12" s="23">
        <v>12</v>
      </c>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c r="BT12" s="37"/>
      <c r="BU12" s="37"/>
      <c r="BV12" s="37"/>
      <c r="BW12" s="37"/>
      <c r="BX12" s="37"/>
      <c r="BY12" s="37"/>
      <c r="BZ12" s="37"/>
      <c r="CA12" s="37"/>
      <c r="CB12" s="37"/>
      <c r="CC12" s="37"/>
      <c r="CD12" s="37"/>
    </row>
    <row r="13" spans="1:82" x14ac:dyDescent="0.4">
      <c r="A13" s="37"/>
      <c r="B13" s="37"/>
      <c r="C13" s="37"/>
      <c r="D13" s="37"/>
      <c r="E13" s="37"/>
      <c r="G13" s="20"/>
      <c r="H13" s="20"/>
      <c r="I13" s="20"/>
      <c r="J13" s="20" t="str">
        <f xml:space="preserve"> _xll.EPMOlapMemberO("[KEY_FIGURES].[].[FINALCONSENSUSDEMAND]","","Consensus Demand","","000")</f>
        <v>Consensus Demand</v>
      </c>
      <c r="K13" s="23">
        <v>45</v>
      </c>
      <c r="L13" s="23">
        <v>100</v>
      </c>
      <c r="M13" s="23">
        <v>22500</v>
      </c>
      <c r="N13" s="23">
        <v>200</v>
      </c>
      <c r="O13" s="23">
        <v>250</v>
      </c>
      <c r="P13" s="23">
        <v>150</v>
      </c>
      <c r="Q13" s="23"/>
      <c r="R13" s="23"/>
      <c r="S13" s="23">
        <v>1000</v>
      </c>
      <c r="T13" s="23">
        <v>450</v>
      </c>
      <c r="U13" s="23">
        <v>0</v>
      </c>
      <c r="V13" s="23">
        <v>0</v>
      </c>
      <c r="AI13" s="37"/>
      <c r="AJ13" s="37"/>
      <c r="AK13" s="37"/>
      <c r="AL13" s="37"/>
      <c r="AM13" s="37"/>
      <c r="AN13" s="37"/>
      <c r="AO13" s="37"/>
      <c r="AP13" s="37"/>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c r="BT13" s="37"/>
      <c r="BU13" s="37"/>
      <c r="BV13" s="37"/>
      <c r="BW13" s="37"/>
      <c r="BX13" s="37"/>
      <c r="BY13" s="37"/>
      <c r="BZ13" s="37"/>
      <c r="CA13" s="37"/>
      <c r="CB13" s="37"/>
      <c r="CC13" s="37"/>
      <c r="CD13" s="37"/>
    </row>
    <row r="14" spans="1:82" x14ac:dyDescent="0.4">
      <c r="A14" s="37"/>
      <c r="B14" s="37"/>
      <c r="C14" s="37"/>
      <c r="D14" s="37"/>
      <c r="E14" s="37"/>
      <c r="G14" s="20"/>
      <c r="H14" s="20"/>
      <c r="I14" s="20"/>
      <c r="J14" s="20" t="str">
        <f xml:space="preserve"> _xll.EPMOlapMemberO("[KEY_FIGURES].[].[ADJDELIVQTY]","","Delivered Qty Adjusted","","000")</f>
        <v>Delivered Qty Adjusted</v>
      </c>
      <c r="K14" s="41">
        <v>9666.5</v>
      </c>
      <c r="L14" s="41">
        <v>8736</v>
      </c>
      <c r="M14" s="41">
        <v>9672</v>
      </c>
      <c r="N14" s="41">
        <v>1365</v>
      </c>
      <c r="O14" s="41">
        <v>1410.5</v>
      </c>
      <c r="P14" s="41">
        <v>1425</v>
      </c>
      <c r="Q14" s="41">
        <v>42</v>
      </c>
      <c r="R14" s="41">
        <v>30.5</v>
      </c>
      <c r="S14" s="41">
        <v>0</v>
      </c>
      <c r="T14" s="41">
        <v>0</v>
      </c>
      <c r="U14" s="41">
        <v>67</v>
      </c>
      <c r="V14" s="41">
        <v>0</v>
      </c>
      <c r="AI14" s="37"/>
      <c r="AJ14" s="37"/>
      <c r="AK14" s="37"/>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c r="BT14" s="37"/>
      <c r="BU14" s="37"/>
      <c r="BV14" s="37"/>
      <c r="BW14" s="37"/>
      <c r="BX14" s="37"/>
      <c r="BY14" s="37"/>
      <c r="BZ14" s="37"/>
      <c r="CA14" s="37"/>
      <c r="CB14" s="37"/>
      <c r="CC14" s="37"/>
      <c r="CD14" s="37"/>
    </row>
    <row r="15" spans="1:82" x14ac:dyDescent="0.4">
      <c r="A15" s="37"/>
      <c r="B15" s="37"/>
      <c r="C15" s="37"/>
      <c r="D15" s="37"/>
      <c r="E15" s="37"/>
      <c r="G15" s="20"/>
      <c r="H15" s="20"/>
      <c r="I15" s="20"/>
      <c r="J15" s="20" t="str">
        <f xml:space="preserve"> _xll.EPMOlapMemberO("[KEY_FIGURES].[].[ACTUALSREV]","","Actuals Revenue","","000")</f>
        <v>Actuals Revenue</v>
      </c>
      <c r="K15" s="41"/>
      <c r="L15" s="41"/>
      <c r="M15" s="41"/>
      <c r="N15" s="41"/>
      <c r="O15" s="41"/>
      <c r="P15" s="41"/>
      <c r="Q15" s="41"/>
      <c r="R15" s="41"/>
      <c r="S15" s="41"/>
      <c r="T15" s="41"/>
      <c r="U15" s="41"/>
      <c r="V15" s="41"/>
      <c r="AI15" s="37"/>
      <c r="AJ15" s="37"/>
      <c r="AK15" s="37"/>
      <c r="AL15" s="37"/>
      <c r="AM15" s="37"/>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c r="BT15" s="37"/>
      <c r="BU15" s="37"/>
      <c r="BV15" s="37"/>
      <c r="BW15" s="37"/>
      <c r="BX15" s="37"/>
      <c r="BY15" s="37"/>
      <c r="BZ15" s="37"/>
      <c r="CA15" s="37"/>
      <c r="CB15" s="37"/>
      <c r="CC15" s="37"/>
      <c r="CD15" s="37"/>
    </row>
    <row r="16" spans="1:82" x14ac:dyDescent="0.4">
      <c r="A16" s="37"/>
      <c r="B16" s="37"/>
      <c r="C16" s="37"/>
      <c r="D16" s="37"/>
      <c r="E16" s="37"/>
      <c r="G16" s="20"/>
      <c r="H16" s="20"/>
      <c r="I16" s="20"/>
      <c r="J16" s="20" t="str">
        <f xml:space="preserve"> _xll.EPMOlapMemberO("[KEY_FIGURES].[].[CONFQTY]","","Confirmed Qty","","000")</f>
        <v>Confirmed Qty</v>
      </c>
      <c r="K16" s="23"/>
      <c r="L16" s="23"/>
      <c r="M16" s="23"/>
      <c r="N16" s="23"/>
      <c r="O16" s="23"/>
      <c r="P16" s="23"/>
      <c r="Q16" s="23"/>
      <c r="R16" s="23"/>
      <c r="S16" s="23"/>
      <c r="T16" s="23"/>
      <c r="U16" s="23"/>
      <c r="V16" s="23"/>
      <c r="AI16" s="37"/>
      <c r="AJ16" s="37"/>
      <c r="AK16" s="37"/>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c r="BT16" s="37"/>
      <c r="BU16" s="37"/>
      <c r="BV16" s="37"/>
      <c r="BW16" s="37"/>
      <c r="BX16" s="37"/>
      <c r="BY16" s="37"/>
      <c r="BZ16" s="37"/>
      <c r="CA16" s="37"/>
      <c r="CB16" s="37"/>
      <c r="CC16" s="37"/>
      <c r="CD16" s="37"/>
    </row>
    <row r="17" spans="1:82" x14ac:dyDescent="0.4">
      <c r="A17" s="37"/>
      <c r="B17" s="37"/>
      <c r="C17" s="37"/>
      <c r="D17" s="37"/>
      <c r="E17" s="37"/>
      <c r="G17" s="20"/>
      <c r="H17" s="20" t="str">
        <f xml:space="preserve"> _xll.EPMOlapMemberO("[LOCID].[].[HD_DC_US_E]","","HD_DC_US_E","","000")</f>
        <v>HD_DC_US_E</v>
      </c>
      <c r="I17" s="20" t="str">
        <f xml:space="preserve"> _xll.EPMOlapMemberO("[ABCID].[].[A]","","A","","000")</f>
        <v>A</v>
      </c>
      <c r="J17" s="20" t="str">
        <f xml:space="preserve"> _xll.EPMOlapMemberO("[KEY_FIGURES].[].[CONSENSUSDEMAND]","","Consensus Demand without Promotion","","000")</f>
        <v>Consensus Demand without Promotion</v>
      </c>
      <c r="K17" s="41"/>
      <c r="L17" s="43">
        <v>50</v>
      </c>
      <c r="M17" s="41">
        <v>200</v>
      </c>
      <c r="N17" s="43">
        <v>1388.5</v>
      </c>
      <c r="O17" s="43">
        <v>250</v>
      </c>
      <c r="P17" s="43">
        <v>150</v>
      </c>
      <c r="Q17" s="41"/>
      <c r="R17" s="41"/>
      <c r="S17" s="41"/>
      <c r="T17" s="41"/>
      <c r="U17" s="41">
        <v>0</v>
      </c>
      <c r="V17" s="41">
        <v>0</v>
      </c>
      <c r="AI17" s="37"/>
      <c r="AJ17" s="37"/>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c r="BT17" s="37"/>
      <c r="BU17" s="37"/>
      <c r="BV17" s="37"/>
      <c r="BW17" s="37"/>
      <c r="BX17" s="37"/>
      <c r="BY17" s="37"/>
      <c r="BZ17" s="37"/>
      <c r="CA17" s="37"/>
      <c r="CB17" s="37"/>
      <c r="CC17" s="37"/>
      <c r="CD17" s="37"/>
    </row>
    <row r="18" spans="1:82" x14ac:dyDescent="0.4">
      <c r="A18" s="37"/>
      <c r="B18" s="37"/>
      <c r="C18" s="37"/>
      <c r="D18" s="37"/>
      <c r="E18" s="37"/>
      <c r="G18" s="20"/>
      <c r="H18" s="20"/>
      <c r="I18" s="20"/>
      <c r="J18" s="20" t="str">
        <f xml:space="preserve"> _xll.EPMOlapMemberO("[KEY_FIGURES].[].[DEMANDPLANNINGQTY]","","Demand Planning Qty","","000")</f>
        <v>Demand Planning Qty</v>
      </c>
      <c r="K18" s="23">
        <v>0</v>
      </c>
      <c r="L18" s="23">
        <v>0</v>
      </c>
      <c r="M18" s="23">
        <v>0</v>
      </c>
      <c r="N18" s="23">
        <v>0</v>
      </c>
      <c r="O18" s="23">
        <v>0</v>
      </c>
      <c r="P18" s="23"/>
      <c r="Q18" s="23"/>
      <c r="R18" s="23"/>
      <c r="S18" s="23">
        <v>0</v>
      </c>
      <c r="T18" s="23">
        <v>0</v>
      </c>
      <c r="U18" s="23">
        <v>0</v>
      </c>
      <c r="V18" s="23">
        <v>12.5</v>
      </c>
      <c r="AI18" s="37"/>
      <c r="AJ18" s="37"/>
      <c r="AK18" s="37"/>
      <c r="AL18" s="37"/>
      <c r="AM18" s="37"/>
      <c r="AN18" s="37"/>
      <c r="AO18" s="37"/>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c r="BT18" s="37"/>
      <c r="BU18" s="37"/>
      <c r="BV18" s="37"/>
      <c r="BW18" s="37"/>
      <c r="BX18" s="37"/>
      <c r="BY18" s="37"/>
      <c r="BZ18" s="37"/>
      <c r="CA18" s="37"/>
      <c r="CB18" s="37"/>
      <c r="CC18" s="37"/>
      <c r="CD18" s="37"/>
    </row>
    <row r="19" spans="1:82" x14ac:dyDescent="0.4">
      <c r="A19" s="37"/>
      <c r="B19" s="37"/>
      <c r="C19" s="37"/>
      <c r="D19" s="37"/>
      <c r="E19" s="37"/>
      <c r="G19" s="20"/>
      <c r="H19" s="20"/>
      <c r="I19" s="20"/>
      <c r="J19" s="20" t="str">
        <f xml:space="preserve"> _xll.EPMOlapMemberO("[KEY_FIGURES].[].[FINALCONSENSUSDEMAND]","","Consensus Demand","","000")</f>
        <v>Consensus Demand</v>
      </c>
      <c r="K19" s="23">
        <v>0</v>
      </c>
      <c r="L19" s="23">
        <v>50</v>
      </c>
      <c r="M19" s="23">
        <v>200</v>
      </c>
      <c r="N19" s="23">
        <v>1388.5</v>
      </c>
      <c r="O19" s="23">
        <v>250</v>
      </c>
      <c r="P19" s="23">
        <v>150</v>
      </c>
      <c r="Q19" s="23"/>
      <c r="R19" s="23"/>
      <c r="S19" s="23">
        <v>0</v>
      </c>
      <c r="T19" s="23">
        <v>0</v>
      </c>
      <c r="U19" s="23">
        <v>0</v>
      </c>
      <c r="V19" s="23">
        <v>0</v>
      </c>
      <c r="AI19" s="37"/>
      <c r="AJ19" s="37"/>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c r="BT19" s="37"/>
      <c r="BU19" s="37"/>
      <c r="BV19" s="37"/>
      <c r="BW19" s="37"/>
      <c r="BX19" s="37"/>
      <c r="BY19" s="37"/>
      <c r="BZ19" s="37"/>
      <c r="CA19" s="37"/>
      <c r="CB19" s="37"/>
      <c r="CC19" s="37"/>
      <c r="CD19" s="37"/>
    </row>
    <row r="20" spans="1:82" x14ac:dyDescent="0.4">
      <c r="A20" s="37"/>
      <c r="B20" s="37"/>
      <c r="C20" s="37"/>
      <c r="D20" s="37"/>
      <c r="E20" s="37"/>
      <c r="G20" s="20"/>
      <c r="H20" s="20"/>
      <c r="I20" s="20"/>
      <c r="J20" s="20" t="str">
        <f xml:space="preserve"> _xll.EPMOlapMemberO("[KEY_FIGURES].[].[ADJDELIVQTY]","","Delivered Qty Adjusted","","000")</f>
        <v>Delivered Qty Adjusted</v>
      </c>
      <c r="K20" s="41">
        <v>2232</v>
      </c>
      <c r="L20" s="41">
        <v>2030</v>
      </c>
      <c r="M20" s="41">
        <v>2247.5</v>
      </c>
      <c r="N20" s="41">
        <v>1365</v>
      </c>
      <c r="O20" s="41">
        <v>1410.5</v>
      </c>
      <c r="P20" s="41">
        <v>1425</v>
      </c>
      <c r="Q20" s="41">
        <v>42</v>
      </c>
      <c r="R20" s="41">
        <v>30.5</v>
      </c>
      <c r="S20" s="41">
        <v>0</v>
      </c>
      <c r="T20" s="41">
        <v>0</v>
      </c>
      <c r="U20" s="41">
        <v>66.5</v>
      </c>
      <c r="V20" s="41">
        <v>0</v>
      </c>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c r="BT20" s="37"/>
      <c r="BU20" s="37"/>
      <c r="BV20" s="37"/>
      <c r="BW20" s="37"/>
      <c r="BX20" s="37"/>
      <c r="BY20" s="37"/>
      <c r="BZ20" s="37"/>
      <c r="CA20" s="37"/>
      <c r="CB20" s="37"/>
      <c r="CC20" s="37"/>
      <c r="CD20" s="37"/>
    </row>
    <row r="21" spans="1:82" x14ac:dyDescent="0.4">
      <c r="A21" s="37"/>
      <c r="B21" s="37"/>
      <c r="C21" s="37"/>
      <c r="D21" s="37"/>
      <c r="E21" s="37"/>
      <c r="G21" s="20"/>
      <c r="H21" s="20"/>
      <c r="I21" s="20"/>
      <c r="J21" s="20" t="str">
        <f xml:space="preserve"> _xll.EPMOlapMemberO("[KEY_FIGURES].[].[ACTUALSREV]","","Actuals Revenue","","000")</f>
        <v>Actuals Revenue</v>
      </c>
      <c r="K21" s="41"/>
      <c r="L21" s="41"/>
      <c r="M21" s="41"/>
      <c r="N21" s="41"/>
      <c r="O21" s="41"/>
      <c r="P21" s="41"/>
      <c r="Q21" s="41"/>
      <c r="R21" s="41"/>
      <c r="S21" s="41"/>
      <c r="T21" s="41"/>
      <c r="U21" s="41"/>
      <c r="V21" s="41"/>
      <c r="AI21" s="37"/>
      <c r="AJ21" s="37"/>
      <c r="AK21" s="37"/>
      <c r="AL21" s="37"/>
      <c r="AM21" s="37"/>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c r="BT21" s="37"/>
      <c r="BU21" s="37"/>
      <c r="BV21" s="37"/>
      <c r="BW21" s="37"/>
      <c r="BX21" s="37"/>
      <c r="BY21" s="37"/>
      <c r="BZ21" s="37"/>
      <c r="CA21" s="37"/>
      <c r="CB21" s="37"/>
      <c r="CC21" s="37"/>
      <c r="CD21" s="37"/>
    </row>
    <row r="22" spans="1:82" x14ac:dyDescent="0.4">
      <c r="A22" s="37"/>
      <c r="B22" s="37"/>
      <c r="C22" s="37"/>
      <c r="D22" s="37"/>
      <c r="E22" s="37"/>
      <c r="G22" s="20"/>
      <c r="H22" s="20"/>
      <c r="I22" s="20"/>
      <c r="J22" s="20" t="str">
        <f xml:space="preserve"> _xll.EPMOlapMemberO("[KEY_FIGURES].[].[CONFQTY]","","Confirmed Qty","","000")</f>
        <v>Confirmed Qty</v>
      </c>
      <c r="K22" s="23"/>
      <c r="L22" s="23"/>
      <c r="M22" s="23"/>
      <c r="N22" s="23"/>
      <c r="O22" s="23"/>
      <c r="P22" s="23"/>
      <c r="Q22" s="23"/>
      <c r="R22" s="23"/>
      <c r="S22" s="23"/>
      <c r="T22" s="23"/>
      <c r="U22" s="23"/>
      <c r="V22" s="23"/>
      <c r="AI22" s="37"/>
      <c r="AJ22" s="37"/>
      <c r="AK22" s="37"/>
      <c r="AL22" s="37"/>
      <c r="AM22" s="37"/>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c r="BT22" s="37"/>
      <c r="BU22" s="37"/>
      <c r="BV22" s="37"/>
      <c r="BW22" s="37"/>
      <c r="BX22" s="37"/>
      <c r="BY22" s="37"/>
      <c r="BZ22" s="37"/>
      <c r="CA22" s="37"/>
      <c r="CB22" s="37"/>
      <c r="CC22" s="37"/>
      <c r="CD22" s="37"/>
    </row>
    <row r="23" spans="1:82" x14ac:dyDescent="0.4">
      <c r="A23" s="37"/>
      <c r="B23" s="37"/>
      <c r="C23" s="37"/>
      <c r="D23" s="37"/>
      <c r="E23" s="37"/>
      <c r="G23" s="20"/>
      <c r="H23" s="20" t="str">
        <f xml:space="preserve"> _xll.EPMOlapMemberO("[LOCID].[].[HD_DC_US_W]","","HD_DC_US_W","","000")</f>
        <v>HD_DC_US_W</v>
      </c>
      <c r="I23" s="20" t="str">
        <f xml:space="preserve"> _xll.EPMOlapMemberO("[ABCID].[].[A]","","A","","000")</f>
        <v>A</v>
      </c>
      <c r="J23" s="20" t="str">
        <f xml:space="preserve"> _xll.EPMOlapMemberO("[KEY_FIGURES].[].[CONSENSUSDEMAND]","","Consensus Demand without Promotion","","000")</f>
        <v>Consensus Demand without Promotion</v>
      </c>
      <c r="K23" s="41"/>
      <c r="L23" s="41">
        <v>300</v>
      </c>
      <c r="M23" s="41">
        <v>1000</v>
      </c>
      <c r="N23" s="41">
        <v>400</v>
      </c>
      <c r="O23" s="41">
        <v>500</v>
      </c>
      <c r="P23" s="41">
        <v>300</v>
      </c>
      <c r="Q23" s="41"/>
      <c r="R23" s="41">
        <v>100</v>
      </c>
      <c r="S23" s="41">
        <v>100</v>
      </c>
      <c r="T23" s="41">
        <v>100</v>
      </c>
      <c r="U23" s="41">
        <v>4055.56</v>
      </c>
      <c r="V23" s="41">
        <v>700</v>
      </c>
      <c r="AI23" s="37"/>
      <c r="AJ23" s="37"/>
      <c r="AK23" s="37"/>
      <c r="AL23" s="37"/>
      <c r="AM23" s="37"/>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7"/>
      <c r="CB23" s="37"/>
      <c r="CC23" s="37"/>
      <c r="CD23" s="37"/>
    </row>
    <row r="24" spans="1:82" x14ac:dyDescent="0.4">
      <c r="A24" s="37"/>
      <c r="B24" s="37"/>
      <c r="C24" s="37"/>
      <c r="D24" s="37"/>
      <c r="E24" s="37"/>
      <c r="G24" s="20"/>
      <c r="H24" s="20"/>
      <c r="I24" s="20"/>
      <c r="J24" s="20" t="str">
        <f xml:space="preserve"> _xll.EPMOlapMemberO("[KEY_FIGURES].[].[DEMANDPLANNINGQTY]","","Demand Planning Qty","","000")</f>
        <v>Demand Planning Qty</v>
      </c>
      <c r="K24" s="23">
        <v>0</v>
      </c>
      <c r="L24" s="23">
        <v>0</v>
      </c>
      <c r="M24" s="23">
        <v>0</v>
      </c>
      <c r="N24" s="23">
        <v>0</v>
      </c>
      <c r="O24" s="23">
        <v>0</v>
      </c>
      <c r="P24" s="23"/>
      <c r="Q24" s="23"/>
      <c r="R24" s="23"/>
      <c r="S24" s="23">
        <v>0</v>
      </c>
      <c r="T24" s="23">
        <v>0</v>
      </c>
      <c r="U24" s="23">
        <v>0</v>
      </c>
      <c r="V24" s="23">
        <v>12</v>
      </c>
      <c r="AI24" s="37"/>
      <c r="AJ24" s="37"/>
      <c r="AK24" s="37"/>
      <c r="AL24" s="37"/>
      <c r="AM24" s="37"/>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c r="BT24" s="37"/>
      <c r="BU24" s="37"/>
      <c r="BV24" s="37"/>
      <c r="BW24" s="37"/>
      <c r="BX24" s="37"/>
      <c r="BY24" s="37"/>
      <c r="BZ24" s="37"/>
      <c r="CA24" s="37"/>
      <c r="CB24" s="37"/>
      <c r="CC24" s="37"/>
      <c r="CD24" s="37"/>
    </row>
    <row r="25" spans="1:82" x14ac:dyDescent="0.4">
      <c r="A25" s="37"/>
      <c r="B25" s="37"/>
      <c r="C25" s="37"/>
      <c r="D25" s="37"/>
      <c r="E25" s="37"/>
      <c r="G25" s="20"/>
      <c r="H25" s="20"/>
      <c r="I25" s="20"/>
      <c r="J25" s="20" t="str">
        <f xml:space="preserve"> _xll.EPMOlapMemberO("[KEY_FIGURES].[].[FINALCONSENSUSDEMAND]","","Consensus Demand","","000")</f>
        <v>Consensus Demand</v>
      </c>
      <c r="K25" s="23">
        <v>0</v>
      </c>
      <c r="L25" s="23">
        <v>300</v>
      </c>
      <c r="M25" s="23">
        <v>1000</v>
      </c>
      <c r="N25" s="23">
        <v>400</v>
      </c>
      <c r="O25" s="23">
        <v>500</v>
      </c>
      <c r="P25" s="23">
        <v>300</v>
      </c>
      <c r="Q25" s="23"/>
      <c r="R25" s="23">
        <v>100</v>
      </c>
      <c r="S25" s="23">
        <v>100</v>
      </c>
      <c r="T25" s="23">
        <v>100</v>
      </c>
      <c r="U25" s="23">
        <v>4055.56</v>
      </c>
      <c r="V25" s="23">
        <v>700</v>
      </c>
      <c r="AI25" s="37"/>
      <c r="AJ25" s="37"/>
      <c r="AK25" s="37"/>
      <c r="AL25" s="37"/>
      <c r="AM25" s="37"/>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c r="BT25" s="37"/>
      <c r="BU25" s="37"/>
      <c r="BV25" s="37"/>
      <c r="BW25" s="37"/>
      <c r="BX25" s="37"/>
      <c r="BY25" s="37"/>
      <c r="BZ25" s="37"/>
      <c r="CA25" s="37"/>
      <c r="CB25" s="37"/>
      <c r="CC25" s="37"/>
      <c r="CD25" s="37"/>
    </row>
    <row r="26" spans="1:82" x14ac:dyDescent="0.4">
      <c r="A26" s="37"/>
      <c r="B26" s="37"/>
      <c r="C26" s="37"/>
      <c r="D26" s="37"/>
      <c r="E26" s="37"/>
      <c r="G26" s="20"/>
      <c r="H26" s="20"/>
      <c r="I26" s="20"/>
      <c r="J26" s="20" t="str">
        <f xml:space="preserve"> _xll.EPMOlapMemberO("[KEY_FIGURES].[].[ADJDELIVQTY]","","Delivered Qty Adjusted","","000")</f>
        <v>Delivered Qty Adjusted</v>
      </c>
      <c r="K26" s="41">
        <v>2310.5</v>
      </c>
      <c r="L26" s="41">
        <v>2030</v>
      </c>
      <c r="M26" s="41">
        <v>2247.5</v>
      </c>
      <c r="N26" s="41">
        <v>1365</v>
      </c>
      <c r="O26" s="41">
        <v>1410.5</v>
      </c>
      <c r="P26" s="41">
        <v>1425</v>
      </c>
      <c r="Q26" s="41">
        <v>42</v>
      </c>
      <c r="R26" s="41">
        <v>30</v>
      </c>
      <c r="S26" s="41">
        <v>0</v>
      </c>
      <c r="T26" s="41">
        <v>0</v>
      </c>
      <c r="U26" s="41">
        <v>66.5</v>
      </c>
      <c r="V26" s="41">
        <v>0</v>
      </c>
      <c r="AI26" s="37"/>
      <c r="AJ26" s="37"/>
      <c r="AK26" s="37"/>
      <c r="AL26" s="37"/>
      <c r="AM26" s="37"/>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c r="BT26" s="37"/>
      <c r="BU26" s="37"/>
      <c r="BV26" s="37"/>
      <c r="BW26" s="37"/>
      <c r="BX26" s="37"/>
      <c r="BY26" s="37"/>
      <c r="BZ26" s="37"/>
      <c r="CA26" s="37"/>
      <c r="CB26" s="37"/>
      <c r="CC26" s="37"/>
      <c r="CD26" s="37"/>
    </row>
    <row r="27" spans="1:82" x14ac:dyDescent="0.4">
      <c r="A27" s="37"/>
      <c r="B27" s="37"/>
      <c r="C27" s="37"/>
      <c r="D27" s="37"/>
      <c r="E27" s="37"/>
      <c r="G27" s="20"/>
      <c r="H27" s="20"/>
      <c r="I27" s="20"/>
      <c r="J27" s="20" t="str">
        <f xml:space="preserve"> _xll.EPMOlapMemberO("[KEY_FIGURES].[].[ACTUALSREV]","","Actuals Revenue","","000")</f>
        <v>Actuals Revenue</v>
      </c>
      <c r="K27" s="41"/>
      <c r="L27" s="41"/>
      <c r="M27" s="41"/>
      <c r="N27" s="41"/>
      <c r="O27" s="41"/>
      <c r="P27" s="41"/>
      <c r="Q27" s="41"/>
      <c r="R27" s="41"/>
      <c r="S27" s="41"/>
      <c r="T27" s="41"/>
      <c r="U27" s="41"/>
      <c r="V27" s="41"/>
      <c r="AI27" s="37"/>
      <c r="AJ27" s="37"/>
      <c r="AK27" s="37"/>
      <c r="AL27" s="37"/>
      <c r="AM27" s="37"/>
      <c r="AN27" s="37"/>
      <c r="AO27" s="37"/>
      <c r="AP27" s="37"/>
      <c r="AQ27" s="37"/>
      <c r="AR27" s="37"/>
      <c r="AS27" s="37"/>
      <c r="AT27" s="37"/>
      <c r="AU27" s="37"/>
      <c r="AV27" s="37"/>
      <c r="AW27" s="37"/>
      <c r="AX27" s="37"/>
      <c r="AY27" s="37"/>
      <c r="AZ27" s="37"/>
      <c r="BA27" s="37"/>
      <c r="BB27" s="37"/>
      <c r="BC27" s="37"/>
      <c r="BD27" s="37"/>
      <c r="BE27" s="37"/>
      <c r="BF27" s="37"/>
      <c r="BG27" s="37"/>
      <c r="BH27" s="37"/>
      <c r="BI27" s="37"/>
      <c r="BJ27" s="37"/>
      <c r="BK27" s="37"/>
      <c r="BL27" s="37"/>
      <c r="BM27" s="37"/>
      <c r="BN27" s="37"/>
      <c r="BO27" s="37"/>
      <c r="BP27" s="37"/>
      <c r="BQ27" s="37"/>
      <c r="BR27" s="37"/>
      <c r="BS27" s="37"/>
      <c r="BT27" s="37"/>
      <c r="BU27" s="37"/>
      <c r="BV27" s="37"/>
      <c r="BW27" s="37"/>
      <c r="BX27" s="37"/>
      <c r="BY27" s="37"/>
      <c r="BZ27" s="37"/>
      <c r="CA27" s="37"/>
      <c r="CB27" s="37"/>
      <c r="CC27" s="37"/>
      <c r="CD27" s="37"/>
    </row>
    <row r="28" spans="1:82" x14ac:dyDescent="0.4">
      <c r="A28" s="37"/>
      <c r="B28" s="37"/>
      <c r="C28" s="37"/>
      <c r="D28" s="37"/>
      <c r="E28" s="37"/>
      <c r="G28" s="20"/>
      <c r="H28" s="20"/>
      <c r="I28" s="20"/>
      <c r="J28" s="20" t="str">
        <f xml:space="preserve"> _xll.EPMOlapMemberO("[KEY_FIGURES].[].[CONFQTY]","","Confirmed Qty","","000")</f>
        <v>Confirmed Qty</v>
      </c>
      <c r="K28" s="23"/>
      <c r="L28" s="23"/>
      <c r="M28" s="23"/>
      <c r="N28" s="23"/>
      <c r="O28" s="23"/>
      <c r="P28" s="23"/>
      <c r="Q28" s="23"/>
      <c r="R28" s="23"/>
      <c r="S28" s="23"/>
      <c r="T28" s="23"/>
      <c r="U28" s="23"/>
      <c r="V28" s="23"/>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37"/>
      <c r="BH28" s="37"/>
      <c r="BI28" s="37"/>
      <c r="BJ28" s="37"/>
      <c r="BK28" s="37"/>
      <c r="BL28" s="37"/>
      <c r="BM28" s="37"/>
      <c r="BN28" s="37"/>
      <c r="BO28" s="37"/>
      <c r="BP28" s="37"/>
      <c r="BQ28" s="37"/>
      <c r="BR28" s="37"/>
      <c r="BS28" s="37"/>
      <c r="BT28" s="37"/>
      <c r="BU28" s="37"/>
      <c r="BV28" s="37"/>
      <c r="BW28" s="37"/>
      <c r="BX28" s="37"/>
      <c r="BY28" s="37"/>
      <c r="BZ28" s="37"/>
      <c r="CA28" s="37"/>
      <c r="CB28" s="37"/>
      <c r="CC28" s="37"/>
      <c r="CD28" s="37"/>
    </row>
    <row r="29" spans="1:82" x14ac:dyDescent="0.4">
      <c r="A29" s="37"/>
      <c r="B29" s="37"/>
      <c r="C29" s="37"/>
      <c r="D29" s="37"/>
      <c r="E29" s="37"/>
      <c r="G29" s="20" t="str">
        <f xml:space="preserve"> _xll.EPMOlapMemberO("[PRDID].[].[HT_002]","","HT_002","","000")</f>
        <v>HT_002</v>
      </c>
      <c r="H29" s="20" t="str">
        <f xml:space="preserve"> _xll.EPMOlapMemberO("[LOCID].[].[HD_DC_CA_E]","","HD_DC_CA_E","","000")</f>
        <v>HD_DC_CA_E</v>
      </c>
      <c r="I29" s="20" t="str">
        <f xml:space="preserve"> _xll.EPMOlapMemberO("[ABCID].[].[A]","","A","","000")</f>
        <v>A</v>
      </c>
      <c r="J29" s="20" t="str">
        <f xml:space="preserve"> _xll.EPMOlapMemberO("[KEY_FIGURES].[].[CONSENSUSDEMAND]","","Consensus Demand without Promotion","","000")</f>
        <v>Consensus Demand without Promotion</v>
      </c>
      <c r="K29" s="41"/>
      <c r="L29" s="41"/>
      <c r="M29" s="41"/>
      <c r="N29" s="41"/>
      <c r="O29" s="41"/>
      <c r="P29" s="41"/>
      <c r="Q29" s="41">
        <v>175</v>
      </c>
      <c r="R29" s="41">
        <v>175.00200000000001</v>
      </c>
      <c r="S29" s="41">
        <v>175</v>
      </c>
      <c r="T29" s="41">
        <v>175</v>
      </c>
      <c r="U29" s="41">
        <v>175</v>
      </c>
      <c r="V29" s="41">
        <v>175</v>
      </c>
      <c r="AI29" s="37"/>
      <c r="AJ29" s="37"/>
      <c r="AK29" s="37"/>
      <c r="AL29" s="37"/>
      <c r="AM29" s="37"/>
      <c r="AN29" s="37"/>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c r="BT29" s="37"/>
      <c r="BU29" s="37"/>
      <c r="BV29" s="37"/>
      <c r="BW29" s="37"/>
      <c r="BX29" s="37"/>
      <c r="BY29" s="37"/>
      <c r="BZ29" s="37"/>
      <c r="CA29" s="37"/>
      <c r="CB29" s="37"/>
      <c r="CC29" s="37"/>
      <c r="CD29" s="37"/>
    </row>
    <row r="30" spans="1:82" x14ac:dyDescent="0.4">
      <c r="A30" s="37"/>
      <c r="B30" s="37"/>
      <c r="C30" s="37"/>
      <c r="D30" s="37"/>
      <c r="E30" s="37"/>
      <c r="G30" s="20"/>
      <c r="H30" s="20"/>
      <c r="I30" s="20"/>
      <c r="J30" s="20" t="str">
        <f xml:space="preserve"> _xll.EPMOlapMemberO("[KEY_FIGURES].[].[DEMANDPLANNINGQTY]","","Demand Planning Qty","","000")</f>
        <v>Demand Planning Qty</v>
      </c>
      <c r="K30" s="23">
        <v>0</v>
      </c>
      <c r="L30" s="23">
        <v>0</v>
      </c>
      <c r="M30" s="23">
        <v>0</v>
      </c>
      <c r="N30" s="23">
        <v>0</v>
      </c>
      <c r="O30" s="23">
        <v>0</v>
      </c>
      <c r="P30" s="23"/>
      <c r="Q30" s="23"/>
      <c r="R30" s="23"/>
      <c r="S30" s="23"/>
      <c r="T30" s="23"/>
      <c r="U30" s="23">
        <v>150</v>
      </c>
      <c r="V30" s="23">
        <v>150</v>
      </c>
      <c r="AI30" s="37"/>
      <c r="AJ30" s="37"/>
      <c r="AK30" s="37"/>
      <c r="AL30" s="37"/>
      <c r="AM30" s="37"/>
      <c r="AN30" s="37"/>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c r="BT30" s="37"/>
      <c r="BU30" s="37"/>
      <c r="BV30" s="37"/>
      <c r="BW30" s="37"/>
      <c r="BX30" s="37"/>
      <c r="BY30" s="37"/>
      <c r="BZ30" s="37"/>
      <c r="CA30" s="37"/>
      <c r="CB30" s="37"/>
      <c r="CC30" s="37"/>
      <c r="CD30" s="37"/>
    </row>
    <row r="31" spans="1:82" x14ac:dyDescent="0.4">
      <c r="A31" s="37"/>
      <c r="B31" s="37"/>
      <c r="C31" s="37"/>
      <c r="D31" s="37"/>
      <c r="E31" s="37"/>
      <c r="G31" s="20"/>
      <c r="H31" s="20"/>
      <c r="I31" s="20"/>
      <c r="J31" s="20" t="str">
        <f xml:space="preserve"> _xll.EPMOlapMemberO("[KEY_FIGURES].[].[FINALCONSENSUSDEMAND]","","Consensus Demand","","000")</f>
        <v>Consensus Demand</v>
      </c>
      <c r="K31" s="23">
        <v>0</v>
      </c>
      <c r="L31" s="23">
        <v>0</v>
      </c>
      <c r="M31" s="23">
        <v>0</v>
      </c>
      <c r="N31" s="23">
        <v>0</v>
      </c>
      <c r="O31" s="23">
        <v>0</v>
      </c>
      <c r="P31" s="23"/>
      <c r="Q31" s="23">
        <v>175</v>
      </c>
      <c r="R31" s="23">
        <v>175.00200000000001</v>
      </c>
      <c r="S31" s="23">
        <v>175</v>
      </c>
      <c r="T31" s="23">
        <v>175</v>
      </c>
      <c r="U31" s="23">
        <v>175</v>
      </c>
      <c r="V31" s="23">
        <v>175</v>
      </c>
      <c r="AI31" s="37"/>
      <c r="AJ31" s="37"/>
      <c r="AK31" s="37"/>
      <c r="AL31" s="37"/>
      <c r="AM31" s="37"/>
      <c r="AN31" s="37"/>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c r="BT31" s="37"/>
      <c r="BU31" s="37"/>
      <c r="BV31" s="37"/>
      <c r="BW31" s="37"/>
      <c r="BX31" s="37"/>
      <c r="BY31" s="37"/>
      <c r="BZ31" s="37"/>
      <c r="CA31" s="37"/>
      <c r="CB31" s="37"/>
      <c r="CC31" s="37"/>
      <c r="CD31" s="37"/>
    </row>
    <row r="32" spans="1:82" x14ac:dyDescent="0.4">
      <c r="A32" s="37"/>
      <c r="B32" s="37"/>
      <c r="C32" s="37"/>
      <c r="D32" s="37"/>
      <c r="E32" s="37"/>
      <c r="G32" s="20"/>
      <c r="H32" s="20"/>
      <c r="I32" s="20"/>
      <c r="J32" s="20" t="str">
        <f xml:space="preserve"> _xll.EPMOlapMemberO("[KEY_FIGURES].[].[ADJDELIVQTY]","","Delivered Qty Adjusted","","000")</f>
        <v>Delivered Qty Adjusted</v>
      </c>
      <c r="K32" s="41"/>
      <c r="L32" s="41"/>
      <c r="M32" s="41"/>
      <c r="N32" s="41"/>
      <c r="O32" s="41"/>
      <c r="P32" s="41"/>
      <c r="Q32" s="41">
        <v>125</v>
      </c>
      <c r="R32" s="41">
        <v>125</v>
      </c>
      <c r="S32" s="41">
        <v>125</v>
      </c>
      <c r="T32" s="41">
        <v>125</v>
      </c>
      <c r="U32" s="41">
        <v>125</v>
      </c>
      <c r="V32" s="41">
        <v>125</v>
      </c>
      <c r="AI32" s="37"/>
      <c r="AJ32" s="37"/>
      <c r="AK32" s="37"/>
      <c r="AL32" s="37"/>
      <c r="AM32" s="37"/>
      <c r="AN32" s="37"/>
      <c r="AO32" s="37"/>
      <c r="AP32" s="37"/>
      <c r="AQ32" s="37"/>
      <c r="AR32" s="37"/>
      <c r="AS32" s="37"/>
      <c r="AT32" s="37"/>
      <c r="AU32" s="37"/>
      <c r="AV32" s="37"/>
      <c r="AW32" s="37"/>
      <c r="AX32" s="37"/>
      <c r="AY32" s="37"/>
      <c r="AZ32" s="37"/>
      <c r="BA32" s="37"/>
      <c r="BB32" s="37"/>
      <c r="BC32" s="37"/>
      <c r="BD32" s="37"/>
      <c r="BE32" s="37"/>
      <c r="BF32" s="37"/>
      <c r="BG32" s="37"/>
      <c r="BH32" s="37"/>
      <c r="BI32" s="37"/>
      <c r="BJ32" s="37"/>
      <c r="BK32" s="37"/>
      <c r="BL32" s="37"/>
      <c r="BM32" s="37"/>
      <c r="BN32" s="37"/>
      <c r="BO32" s="37"/>
      <c r="BP32" s="37"/>
      <c r="BQ32" s="37"/>
      <c r="BR32" s="37"/>
      <c r="BS32" s="37"/>
      <c r="BT32" s="37"/>
      <c r="BU32" s="37"/>
      <c r="BV32" s="37"/>
      <c r="BW32" s="37"/>
      <c r="BX32" s="37"/>
      <c r="BY32" s="37"/>
      <c r="BZ32" s="37"/>
      <c r="CA32" s="37"/>
      <c r="CB32" s="37"/>
      <c r="CC32" s="37"/>
      <c r="CD32" s="37"/>
    </row>
    <row r="33" spans="1:82" x14ac:dyDescent="0.4">
      <c r="A33" s="37"/>
      <c r="B33" s="37"/>
      <c r="C33" s="37"/>
      <c r="D33" s="37"/>
      <c r="E33" s="37"/>
      <c r="G33" s="20"/>
      <c r="H33" s="20"/>
      <c r="I33" s="20"/>
      <c r="J33" s="20" t="str">
        <f xml:space="preserve"> _xll.EPMOlapMemberO("[KEY_FIGURES].[].[ACTUALSREV]","","Actuals Revenue","","000")</f>
        <v>Actuals Revenue</v>
      </c>
      <c r="K33" s="41"/>
      <c r="L33" s="41"/>
      <c r="M33" s="41"/>
      <c r="N33" s="41"/>
      <c r="O33" s="41"/>
      <c r="P33" s="41"/>
      <c r="Q33" s="41"/>
      <c r="R33" s="41"/>
      <c r="S33" s="41"/>
      <c r="T33" s="41"/>
      <c r="U33" s="41"/>
      <c r="V33" s="41"/>
      <c r="AI33" s="37"/>
      <c r="AJ33" s="37"/>
      <c r="AK33" s="37"/>
      <c r="AL33" s="37"/>
      <c r="AM33" s="37"/>
      <c r="AN33" s="37"/>
      <c r="AO33" s="37"/>
      <c r="AP33" s="37"/>
      <c r="AQ33" s="37"/>
      <c r="AR33" s="37"/>
      <c r="AS33" s="37"/>
      <c r="AT33" s="37"/>
      <c r="AU33" s="37"/>
      <c r="AV33" s="37"/>
      <c r="AW33" s="37"/>
      <c r="AX33" s="37"/>
      <c r="AY33" s="37"/>
      <c r="AZ33" s="37"/>
      <c r="BA33" s="37"/>
      <c r="BB33" s="37"/>
      <c r="BC33" s="37"/>
      <c r="BD33" s="37"/>
      <c r="BE33" s="37"/>
      <c r="BF33" s="37"/>
      <c r="BG33" s="37"/>
      <c r="BH33" s="37"/>
      <c r="BI33" s="37"/>
      <c r="BJ33" s="37"/>
      <c r="BK33" s="37"/>
      <c r="BL33" s="37"/>
      <c r="BM33" s="37"/>
      <c r="BN33" s="37"/>
      <c r="BO33" s="37"/>
      <c r="BP33" s="37"/>
      <c r="BQ33" s="37"/>
      <c r="BR33" s="37"/>
      <c r="BS33" s="37"/>
      <c r="BT33" s="37"/>
      <c r="BU33" s="37"/>
      <c r="BV33" s="37"/>
      <c r="BW33" s="37"/>
      <c r="BX33" s="37"/>
      <c r="BY33" s="37"/>
      <c r="BZ33" s="37"/>
      <c r="CA33" s="37"/>
      <c r="CB33" s="37"/>
      <c r="CC33" s="37"/>
      <c r="CD33" s="37"/>
    </row>
    <row r="34" spans="1:82" x14ac:dyDescent="0.4">
      <c r="A34" s="37"/>
      <c r="B34" s="37"/>
      <c r="C34" s="37"/>
      <c r="D34" s="37"/>
      <c r="E34" s="37"/>
      <c r="G34" s="20"/>
      <c r="H34" s="20"/>
      <c r="I34" s="20"/>
      <c r="J34" s="20" t="str">
        <f xml:space="preserve"> _xll.EPMOlapMemberO("[KEY_FIGURES].[].[CONFQTY]","","Confirmed Qty","","000")</f>
        <v>Confirmed Qty</v>
      </c>
      <c r="K34" s="23"/>
      <c r="L34" s="23"/>
      <c r="M34" s="23"/>
      <c r="N34" s="23"/>
      <c r="O34" s="23"/>
      <c r="P34" s="23"/>
      <c r="Q34" s="23"/>
      <c r="R34" s="23"/>
      <c r="S34" s="23"/>
      <c r="T34" s="23"/>
      <c r="U34" s="23"/>
      <c r="V34" s="23"/>
      <c r="AI34" s="37"/>
      <c r="AJ34" s="37"/>
      <c r="AK34" s="37"/>
      <c r="AL34" s="37"/>
      <c r="AM34" s="37"/>
      <c r="AN34" s="37"/>
      <c r="AO34" s="37"/>
      <c r="AP34" s="37"/>
      <c r="AQ34" s="37"/>
      <c r="AR34" s="37"/>
      <c r="AS34" s="37"/>
      <c r="AT34" s="37"/>
      <c r="AU34" s="37"/>
      <c r="AV34" s="37"/>
      <c r="AW34" s="37"/>
      <c r="AX34" s="37"/>
      <c r="AY34" s="37"/>
      <c r="AZ34" s="37"/>
      <c r="BA34" s="37"/>
      <c r="BB34" s="37"/>
      <c r="BC34" s="37"/>
      <c r="BD34" s="37"/>
      <c r="BE34" s="37"/>
      <c r="BF34" s="37"/>
      <c r="BG34" s="37"/>
      <c r="BH34" s="37"/>
      <c r="BI34" s="37"/>
      <c r="BJ34" s="37"/>
      <c r="BK34" s="37"/>
      <c r="BL34" s="37"/>
      <c r="BM34" s="37"/>
      <c r="BN34" s="37"/>
      <c r="BO34" s="37"/>
      <c r="BP34" s="37"/>
      <c r="BQ34" s="37"/>
      <c r="BR34" s="37"/>
      <c r="BS34" s="37"/>
      <c r="BT34" s="37"/>
      <c r="BU34" s="37"/>
      <c r="BV34" s="37"/>
      <c r="BW34" s="37"/>
      <c r="BX34" s="37"/>
      <c r="BY34" s="37"/>
      <c r="BZ34" s="37"/>
      <c r="CA34" s="37"/>
      <c r="CB34" s="37"/>
      <c r="CC34" s="37"/>
      <c r="CD34" s="37"/>
    </row>
    <row r="35" spans="1:82" x14ac:dyDescent="0.4">
      <c r="A35" s="37"/>
      <c r="B35" s="37"/>
      <c r="C35" s="37"/>
      <c r="D35" s="37"/>
      <c r="E35" s="37"/>
      <c r="G35" s="20"/>
      <c r="H35" s="20" t="str">
        <f xml:space="preserve"> _xll.EPMOlapMemberO("[LOCID].[].[HD_DC_FR]","","HD_DC_FR","","000")</f>
        <v>HD_DC_FR</v>
      </c>
      <c r="I35" s="20" t="str">
        <f xml:space="preserve"> _xll.EPMOlapMemberO("[ABCID].[].[A]","","A","","000")</f>
        <v>A</v>
      </c>
      <c r="J35" s="20" t="str">
        <f xml:space="preserve"> _xll.EPMOlapMemberO("[KEY_FIGURES].[].[CONSENSUSDEMAND]","","Consensus Demand without Promotion","","000")</f>
        <v>Consensus Demand without Promotion</v>
      </c>
      <c r="K35" s="41"/>
      <c r="L35" s="41"/>
      <c r="M35" s="41"/>
      <c r="N35" s="41"/>
      <c r="O35" s="41"/>
      <c r="P35" s="41">
        <v>6000</v>
      </c>
      <c r="Q35" s="41">
        <v>175</v>
      </c>
      <c r="R35" s="41">
        <v>174.99600000000001</v>
      </c>
      <c r="S35" s="41">
        <v>175</v>
      </c>
      <c r="T35" s="41">
        <v>175</v>
      </c>
      <c r="U35" s="41">
        <v>175</v>
      </c>
      <c r="V35" s="41">
        <v>700</v>
      </c>
      <c r="AI35" s="37"/>
      <c r="AJ35" s="37"/>
      <c r="AK35" s="37"/>
      <c r="AL35" s="37"/>
      <c r="AM35" s="37"/>
      <c r="AN35" s="37"/>
      <c r="AO35" s="37"/>
      <c r="AP35" s="37"/>
      <c r="AQ35" s="37"/>
      <c r="AR35" s="37"/>
      <c r="AS35" s="37"/>
      <c r="AT35" s="37"/>
      <c r="AU35" s="37"/>
      <c r="AV35" s="37"/>
      <c r="AW35" s="37"/>
      <c r="AX35" s="37"/>
      <c r="AY35" s="37"/>
      <c r="AZ35" s="37"/>
      <c r="BA35" s="37"/>
      <c r="BB35" s="37"/>
      <c r="BC35" s="37"/>
      <c r="BD35" s="37"/>
      <c r="BE35" s="37"/>
      <c r="BF35" s="37"/>
      <c r="BG35" s="37"/>
      <c r="BH35" s="37"/>
      <c r="BI35" s="37"/>
      <c r="BJ35" s="37"/>
      <c r="BK35" s="37"/>
      <c r="BL35" s="37"/>
      <c r="BM35" s="37"/>
      <c r="BN35" s="37"/>
      <c r="BO35" s="37"/>
      <c r="BP35" s="37"/>
      <c r="BQ35" s="37"/>
      <c r="BR35" s="37"/>
      <c r="BS35" s="37"/>
      <c r="BT35" s="37"/>
      <c r="BU35" s="37"/>
      <c r="BV35" s="37"/>
      <c r="BW35" s="37"/>
      <c r="BX35" s="37"/>
      <c r="BY35" s="37"/>
      <c r="BZ35" s="37"/>
      <c r="CA35" s="37"/>
      <c r="CB35" s="37"/>
      <c r="CC35" s="37"/>
      <c r="CD35" s="37"/>
    </row>
    <row r="36" spans="1:82" x14ac:dyDescent="0.4">
      <c r="A36" s="37"/>
      <c r="B36" s="37"/>
      <c r="C36" s="37"/>
      <c r="D36" s="37"/>
      <c r="E36" s="37"/>
      <c r="G36" s="20"/>
      <c r="H36" s="20"/>
      <c r="I36" s="20"/>
      <c r="J36" s="20" t="str">
        <f xml:space="preserve"> _xll.EPMOlapMemberO("[KEY_FIGURES].[].[DEMANDPLANNINGQTY]","","Demand Planning Qty","","000")</f>
        <v>Demand Planning Qty</v>
      </c>
      <c r="K36" s="23">
        <v>0</v>
      </c>
      <c r="L36" s="23">
        <v>0</v>
      </c>
      <c r="M36" s="23">
        <v>0</v>
      </c>
      <c r="N36" s="23">
        <v>0</v>
      </c>
      <c r="O36" s="23">
        <v>0</v>
      </c>
      <c r="P36" s="23"/>
      <c r="Q36" s="23"/>
      <c r="R36" s="23"/>
      <c r="S36" s="23"/>
      <c r="T36" s="23"/>
      <c r="U36" s="23">
        <v>150</v>
      </c>
      <c r="V36" s="23">
        <v>150</v>
      </c>
      <c r="AI36" s="37"/>
      <c r="AJ36" s="37"/>
      <c r="AK36" s="37"/>
      <c r="AL36" s="37"/>
      <c r="AM36" s="37"/>
      <c r="AN36" s="37"/>
      <c r="AO36" s="37"/>
      <c r="AP36" s="37"/>
      <c r="AQ36" s="37"/>
      <c r="AR36" s="37"/>
      <c r="AS36" s="37"/>
      <c r="AT36" s="37"/>
      <c r="AU36" s="37"/>
      <c r="AV36" s="37"/>
      <c r="AW36" s="37"/>
      <c r="AX36" s="37"/>
      <c r="AY36" s="37"/>
      <c r="AZ36" s="37"/>
      <c r="BA36" s="37"/>
      <c r="BB36" s="37"/>
      <c r="BC36" s="37"/>
      <c r="BD36" s="37"/>
      <c r="BE36" s="37"/>
      <c r="BF36" s="37"/>
      <c r="BG36" s="37"/>
      <c r="BH36" s="37"/>
      <c r="BI36" s="37"/>
      <c r="BJ36" s="37"/>
      <c r="BK36" s="37"/>
      <c r="BL36" s="37"/>
      <c r="BM36" s="37"/>
      <c r="BN36" s="37"/>
      <c r="BO36" s="37"/>
      <c r="BP36" s="37"/>
      <c r="BQ36" s="37"/>
      <c r="BR36" s="37"/>
      <c r="BS36" s="37"/>
      <c r="BT36" s="37"/>
      <c r="BU36" s="37"/>
      <c r="BV36" s="37"/>
      <c r="BW36" s="37"/>
      <c r="BX36" s="37"/>
      <c r="BY36" s="37"/>
      <c r="BZ36" s="37"/>
      <c r="CA36" s="37"/>
      <c r="CB36" s="37"/>
      <c r="CC36" s="37"/>
      <c r="CD36" s="37"/>
    </row>
    <row r="37" spans="1:82" x14ac:dyDescent="0.4">
      <c r="G37" s="20"/>
      <c r="H37" s="20"/>
      <c r="I37" s="20"/>
      <c r="J37" s="20" t="str">
        <f xml:space="preserve"> _xll.EPMOlapMemberO("[KEY_FIGURES].[].[FINALCONSENSUSDEMAND]","","Consensus Demand","","000")</f>
        <v>Consensus Demand</v>
      </c>
      <c r="K37" s="23">
        <v>0</v>
      </c>
      <c r="L37" s="23">
        <v>0</v>
      </c>
      <c r="M37" s="23">
        <v>0</v>
      </c>
      <c r="N37" s="23">
        <v>0</v>
      </c>
      <c r="O37" s="23">
        <v>0</v>
      </c>
      <c r="P37" s="23">
        <v>6000</v>
      </c>
      <c r="Q37" s="23">
        <v>175</v>
      </c>
      <c r="R37" s="23">
        <v>174.99600000000001</v>
      </c>
      <c r="S37" s="23">
        <v>175</v>
      </c>
      <c r="T37" s="23">
        <v>175</v>
      </c>
      <c r="U37" s="23">
        <v>175</v>
      </c>
      <c r="V37" s="23">
        <v>700</v>
      </c>
    </row>
    <row r="38" spans="1:82" x14ac:dyDescent="0.4">
      <c r="G38" s="20"/>
      <c r="H38" s="20"/>
      <c r="I38" s="20"/>
      <c r="J38" s="20" t="str">
        <f xml:space="preserve"> _xll.EPMOlapMemberO("[KEY_FIGURES].[].[ADJDELIVQTY]","","Delivered Qty Adjusted","","000")</f>
        <v>Delivered Qty Adjusted</v>
      </c>
      <c r="K38" s="41"/>
      <c r="L38" s="41"/>
      <c r="M38" s="41"/>
      <c r="N38" s="41"/>
      <c r="O38" s="41"/>
      <c r="P38" s="41"/>
      <c r="Q38" s="41">
        <v>125</v>
      </c>
      <c r="R38" s="41">
        <v>125</v>
      </c>
      <c r="S38" s="41">
        <v>125</v>
      </c>
      <c r="T38" s="41">
        <v>125</v>
      </c>
      <c r="U38" s="41">
        <v>125</v>
      </c>
      <c r="V38" s="41">
        <v>125</v>
      </c>
    </row>
    <row r="39" spans="1:82" x14ac:dyDescent="0.4">
      <c r="G39" s="20"/>
      <c r="H39" s="20"/>
      <c r="I39" s="20"/>
      <c r="J39" s="20" t="str">
        <f xml:space="preserve"> _xll.EPMOlapMemberO("[KEY_FIGURES].[].[ACTUALSREV]","","Actuals Revenue","","000")</f>
        <v>Actuals Revenue</v>
      </c>
      <c r="K39" s="41"/>
      <c r="L39" s="41"/>
      <c r="M39" s="41"/>
      <c r="N39" s="41"/>
      <c r="O39" s="41"/>
      <c r="P39" s="41"/>
      <c r="Q39" s="41"/>
      <c r="R39" s="41"/>
      <c r="S39" s="41"/>
      <c r="T39" s="41"/>
      <c r="U39" s="41"/>
      <c r="V39" s="41"/>
    </row>
    <row r="40" spans="1:82" x14ac:dyDescent="0.4">
      <c r="G40" s="20"/>
      <c r="H40" s="20"/>
      <c r="I40" s="20"/>
      <c r="J40" s="20" t="str">
        <f xml:space="preserve"> _xll.EPMOlapMemberO("[KEY_FIGURES].[].[CONFQTY]","","Confirmed Qty","","000")</f>
        <v>Confirmed Qty</v>
      </c>
      <c r="K40" s="23"/>
      <c r="L40" s="23"/>
      <c r="M40" s="23"/>
      <c r="N40" s="23"/>
      <c r="O40" s="23"/>
      <c r="P40" s="23"/>
      <c r="Q40" s="23"/>
      <c r="R40" s="23"/>
      <c r="S40" s="23"/>
      <c r="T40" s="23"/>
      <c r="U40" s="23"/>
      <c r="V40" s="23"/>
    </row>
    <row r="41" spans="1:82" x14ac:dyDescent="0.4">
      <c r="G41" s="20"/>
      <c r="H41" s="20" t="str">
        <f xml:space="preserve"> _xll.EPMOlapMemberO("[LOCID].[].[HD_DC_US_E]","","HD_DC_US_E","","000")</f>
        <v>HD_DC_US_E</v>
      </c>
      <c r="I41" s="20" t="str">
        <f xml:space="preserve"> _xll.EPMOlapMemberO("[ABCID].[].[A]","","A","","000")</f>
        <v>A</v>
      </c>
      <c r="J41" s="20" t="str">
        <f xml:space="preserve"> _xll.EPMOlapMemberO("[KEY_FIGURES].[].[CONSENSUSDEMAND]","","Consensus Demand without Promotion","","000")</f>
        <v>Consensus Demand without Promotion</v>
      </c>
      <c r="K41" s="41"/>
      <c r="L41" s="41"/>
      <c r="M41" s="41"/>
      <c r="N41" s="41"/>
      <c r="O41" s="41"/>
      <c r="P41" s="41"/>
      <c r="Q41" s="41">
        <v>175</v>
      </c>
      <c r="R41" s="41">
        <v>175.00200000000001</v>
      </c>
      <c r="S41" s="41">
        <v>175</v>
      </c>
      <c r="T41" s="41">
        <v>175</v>
      </c>
      <c r="U41" s="41">
        <v>175</v>
      </c>
      <c r="V41" s="41">
        <v>175</v>
      </c>
    </row>
    <row r="42" spans="1:82" x14ac:dyDescent="0.4">
      <c r="G42" s="20"/>
      <c r="H42" s="20"/>
      <c r="I42" s="20"/>
      <c r="J42" s="20" t="str">
        <f xml:space="preserve"> _xll.EPMOlapMemberO("[KEY_FIGURES].[].[DEMANDPLANNINGQTY]","","Demand Planning Qty","","000")</f>
        <v>Demand Planning Qty</v>
      </c>
      <c r="K42" s="23">
        <v>0</v>
      </c>
      <c r="L42" s="23">
        <v>0</v>
      </c>
      <c r="M42" s="23">
        <v>0</v>
      </c>
      <c r="N42" s="23">
        <v>0</v>
      </c>
      <c r="O42" s="23">
        <v>0</v>
      </c>
      <c r="P42" s="23"/>
      <c r="Q42" s="23"/>
      <c r="R42" s="23"/>
      <c r="S42" s="23"/>
      <c r="T42" s="23"/>
      <c r="U42" s="23">
        <v>150</v>
      </c>
      <c r="V42" s="23">
        <v>150</v>
      </c>
    </row>
    <row r="43" spans="1:82" x14ac:dyDescent="0.4">
      <c r="G43" s="20"/>
      <c r="H43" s="20"/>
      <c r="I43" s="20"/>
      <c r="J43" s="20" t="str">
        <f xml:space="preserve"> _xll.EPMOlapMemberO("[KEY_FIGURES].[].[FINALCONSENSUSDEMAND]","","Consensus Demand","","000")</f>
        <v>Consensus Demand</v>
      </c>
      <c r="K43" s="23">
        <v>0</v>
      </c>
      <c r="L43" s="23">
        <v>0</v>
      </c>
      <c r="M43" s="23">
        <v>0</v>
      </c>
      <c r="N43" s="23">
        <v>0</v>
      </c>
      <c r="O43" s="23">
        <v>0</v>
      </c>
      <c r="P43" s="23"/>
      <c r="Q43" s="23">
        <v>175</v>
      </c>
      <c r="R43" s="23">
        <v>175.00200000000001</v>
      </c>
      <c r="S43" s="23">
        <v>175</v>
      </c>
      <c r="T43" s="23">
        <v>175</v>
      </c>
      <c r="U43" s="23">
        <v>175</v>
      </c>
      <c r="V43" s="23">
        <v>175</v>
      </c>
    </row>
    <row r="44" spans="1:82" x14ac:dyDescent="0.4">
      <c r="G44" s="20"/>
      <c r="H44" s="20"/>
      <c r="I44" s="20"/>
      <c r="J44" s="20" t="str">
        <f xml:space="preserve"> _xll.EPMOlapMemberO("[KEY_FIGURES].[].[ADJDELIVQTY]","","Delivered Qty Adjusted","","000")</f>
        <v>Delivered Qty Adjusted</v>
      </c>
      <c r="K44" s="41"/>
      <c r="L44" s="41"/>
      <c r="M44" s="41"/>
      <c r="N44" s="41"/>
      <c r="O44" s="41"/>
      <c r="P44" s="41"/>
      <c r="Q44" s="41">
        <v>125</v>
      </c>
      <c r="R44" s="41">
        <v>125</v>
      </c>
      <c r="S44" s="41">
        <v>125</v>
      </c>
      <c r="T44" s="41">
        <v>125</v>
      </c>
      <c r="U44" s="41">
        <v>125</v>
      </c>
      <c r="V44" s="41">
        <v>125</v>
      </c>
    </row>
    <row r="45" spans="1:82" x14ac:dyDescent="0.4">
      <c r="G45" s="20"/>
      <c r="H45" s="20"/>
      <c r="I45" s="20"/>
      <c r="J45" s="20" t="str">
        <f xml:space="preserve"> _xll.EPMOlapMemberO("[KEY_FIGURES].[].[ACTUALSREV]","","Actuals Revenue","","000")</f>
        <v>Actuals Revenue</v>
      </c>
      <c r="K45" s="41"/>
      <c r="L45" s="41"/>
      <c r="M45" s="41"/>
      <c r="N45" s="41"/>
      <c r="O45" s="41"/>
      <c r="P45" s="41"/>
      <c r="Q45" s="41"/>
      <c r="R45" s="41"/>
      <c r="S45" s="41"/>
      <c r="T45" s="41"/>
      <c r="U45" s="41"/>
      <c r="V45" s="41"/>
    </row>
    <row r="46" spans="1:82" x14ac:dyDescent="0.4">
      <c r="G46" s="20"/>
      <c r="H46" s="20"/>
      <c r="I46" s="20"/>
      <c r="J46" s="20" t="str">
        <f xml:space="preserve"> _xll.EPMOlapMemberO("[KEY_FIGURES].[].[CONFQTY]","","Confirmed Qty","","000")</f>
        <v>Confirmed Qty</v>
      </c>
      <c r="K46" s="23"/>
      <c r="L46" s="23"/>
      <c r="M46" s="23"/>
      <c r="N46" s="23"/>
      <c r="O46" s="23"/>
      <c r="P46" s="23"/>
      <c r="Q46" s="23"/>
      <c r="R46" s="23"/>
      <c r="S46" s="23"/>
      <c r="T46" s="23"/>
      <c r="U46" s="23"/>
      <c r="V46" s="23"/>
    </row>
    <row r="47" spans="1:82" x14ac:dyDescent="0.4">
      <c r="G47" s="20"/>
      <c r="H47" s="20" t="str">
        <f xml:space="preserve"> _xll.EPMOlapMemberO("[LOCID].[].[HD_DC_US_W]","","HD_DC_US_W","","000")</f>
        <v>HD_DC_US_W</v>
      </c>
      <c r="I47" s="20" t="str">
        <f xml:space="preserve"> _xll.EPMOlapMemberO("[ABCID].[].[A]","","A","","000")</f>
        <v>A</v>
      </c>
      <c r="J47" s="20" t="str">
        <f xml:space="preserve"> _xll.EPMOlapMemberO("[KEY_FIGURES].[].[CONSENSUSDEMAND]","","Consensus Demand without Promotion","","000")</f>
        <v>Consensus Demand without Promotion</v>
      </c>
      <c r="K47" s="41"/>
      <c r="L47" s="41"/>
      <c r="M47" s="41"/>
      <c r="N47" s="41"/>
      <c r="O47" s="41"/>
      <c r="P47" s="41"/>
      <c r="Q47" s="41">
        <v>600</v>
      </c>
      <c r="R47" s="41">
        <v>175</v>
      </c>
      <c r="S47" s="41">
        <v>175</v>
      </c>
      <c r="T47" s="41">
        <v>175</v>
      </c>
      <c r="U47" s="41">
        <v>175</v>
      </c>
      <c r="V47" s="41">
        <v>175</v>
      </c>
    </row>
    <row r="48" spans="1:82" x14ac:dyDescent="0.4">
      <c r="G48" s="20"/>
      <c r="H48" s="20"/>
      <c r="I48" s="20"/>
      <c r="J48" s="20" t="str">
        <f xml:space="preserve"> _xll.EPMOlapMemberO("[KEY_FIGURES].[].[DEMANDPLANNINGQTY]","","Demand Planning Qty","","000")</f>
        <v>Demand Planning Qty</v>
      </c>
      <c r="K48" s="23">
        <v>0</v>
      </c>
      <c r="L48" s="23">
        <v>0</v>
      </c>
      <c r="M48" s="23">
        <v>0</v>
      </c>
      <c r="N48" s="23">
        <v>0</v>
      </c>
      <c r="O48" s="23">
        <v>0</v>
      </c>
      <c r="P48" s="23"/>
      <c r="Q48" s="23"/>
      <c r="R48" s="23"/>
      <c r="S48" s="23"/>
      <c r="T48" s="23"/>
      <c r="U48" s="23">
        <v>150</v>
      </c>
      <c r="V48" s="23">
        <v>150</v>
      </c>
    </row>
    <row r="49" spans="7:22" x14ac:dyDescent="0.4">
      <c r="G49" s="20"/>
      <c r="H49" s="20"/>
      <c r="I49" s="20"/>
      <c r="J49" s="20" t="str">
        <f xml:space="preserve"> _xll.EPMOlapMemberO("[KEY_FIGURES].[].[FINALCONSENSUSDEMAND]","","Consensus Demand","","000")</f>
        <v>Consensus Demand</v>
      </c>
      <c r="K49" s="23">
        <v>0</v>
      </c>
      <c r="L49" s="23">
        <v>0</v>
      </c>
      <c r="M49" s="23">
        <v>0</v>
      </c>
      <c r="N49" s="23">
        <v>0</v>
      </c>
      <c r="O49" s="23">
        <v>0</v>
      </c>
      <c r="P49" s="23"/>
      <c r="Q49" s="23">
        <v>600</v>
      </c>
      <c r="R49" s="23">
        <v>175</v>
      </c>
      <c r="S49" s="23">
        <v>175</v>
      </c>
      <c r="T49" s="23">
        <v>175</v>
      </c>
      <c r="U49" s="23">
        <v>175</v>
      </c>
      <c r="V49" s="23">
        <v>175</v>
      </c>
    </row>
    <row r="50" spans="7:22" x14ac:dyDescent="0.4">
      <c r="G50" s="20"/>
      <c r="H50" s="20"/>
      <c r="I50" s="20"/>
      <c r="J50" s="20" t="str">
        <f xml:space="preserve"> _xll.EPMOlapMemberO("[KEY_FIGURES].[].[ADJDELIVQTY]","","Delivered Qty Adjusted","","000")</f>
        <v>Delivered Qty Adjusted</v>
      </c>
      <c r="K50" s="41"/>
      <c r="L50" s="41"/>
      <c r="M50" s="41"/>
      <c r="N50" s="41"/>
      <c r="O50" s="41"/>
      <c r="P50" s="41"/>
      <c r="Q50" s="41">
        <v>125</v>
      </c>
      <c r="R50" s="41">
        <v>125</v>
      </c>
      <c r="S50" s="41">
        <v>125</v>
      </c>
      <c r="T50" s="41">
        <v>125</v>
      </c>
      <c r="U50" s="41">
        <v>125</v>
      </c>
      <c r="V50" s="41">
        <v>125</v>
      </c>
    </row>
    <row r="51" spans="7:22" x14ac:dyDescent="0.4">
      <c r="G51" s="20"/>
      <c r="H51" s="20"/>
      <c r="I51" s="20"/>
      <c r="J51" s="20" t="str">
        <f xml:space="preserve"> _xll.EPMOlapMemberO("[KEY_FIGURES].[].[ACTUALSREV]","","Actuals Revenue","","000")</f>
        <v>Actuals Revenue</v>
      </c>
      <c r="K51" s="41"/>
      <c r="L51" s="41"/>
      <c r="M51" s="41"/>
      <c r="N51" s="41"/>
      <c r="O51" s="41"/>
      <c r="P51" s="41"/>
      <c r="Q51" s="41"/>
      <c r="R51" s="41"/>
      <c r="S51" s="41"/>
      <c r="T51" s="41"/>
      <c r="U51" s="41"/>
      <c r="V51" s="41"/>
    </row>
    <row r="52" spans="7:22" x14ac:dyDescent="0.4">
      <c r="G52" s="20"/>
      <c r="H52" s="20"/>
      <c r="I52" s="20"/>
      <c r="J52" s="20" t="str">
        <f xml:space="preserve"> _xll.EPMOlapMemberO("[KEY_FIGURES].[].[CONFQTY]","","Confirmed Qty","","000")</f>
        <v>Confirmed Qty</v>
      </c>
      <c r="K52" s="23"/>
      <c r="L52" s="23"/>
      <c r="M52" s="23"/>
      <c r="N52" s="23"/>
      <c r="O52" s="23"/>
      <c r="P52" s="23"/>
      <c r="Q52" s="23"/>
      <c r="R52" s="23"/>
      <c r="S52" s="23"/>
      <c r="T52" s="23"/>
      <c r="U52" s="23"/>
      <c r="V52" s="23"/>
    </row>
    <row r="53" spans="7:22" x14ac:dyDescent="0.4">
      <c r="G53" s="20" t="str">
        <f xml:space="preserve"> _xll.EPMOlapMemberO("[PRDID].[].[HT_003]","","HT_003","","000")</f>
        <v>HT_003</v>
      </c>
      <c r="H53" s="20" t="str">
        <f xml:space="preserve"> _xll.EPMOlapMemberO("[LOCID].[].[HD_DC_CA_E]","","HD_DC_CA_E","","000")</f>
        <v>HD_DC_CA_E</v>
      </c>
      <c r="I53" s="20" t="str">
        <f xml:space="preserve"> _xll.EPMOlapMemberO("[ABCID].[].[C]","","C","","000")</f>
        <v>C</v>
      </c>
      <c r="J53" s="20" t="str">
        <f xml:space="preserve"> _xll.EPMOlapMemberO("[KEY_FIGURES].[].[CONSENSUSDEMAND]","","Consensus Demand without Promotion","","000")</f>
        <v>Consensus Demand without Promotion</v>
      </c>
      <c r="K53" s="41">
        <v>85.76</v>
      </c>
      <c r="L53" s="41">
        <v>98.007999999999996</v>
      </c>
      <c r="M53" s="41">
        <v>62.5</v>
      </c>
      <c r="N53" s="41">
        <v>93.5</v>
      </c>
      <c r="O53" s="41">
        <v>57</v>
      </c>
      <c r="P53" s="41">
        <v>58</v>
      </c>
      <c r="Q53" s="41">
        <v>100</v>
      </c>
      <c r="R53" s="41">
        <v>35.003999999999998</v>
      </c>
      <c r="S53" s="41">
        <v>58.005000000000003</v>
      </c>
      <c r="T53" s="41">
        <v>99.754999999999995</v>
      </c>
      <c r="U53" s="41">
        <v>37.75</v>
      </c>
      <c r="V53" s="41">
        <v>85.5</v>
      </c>
    </row>
    <row r="54" spans="7:22" x14ac:dyDescent="0.4">
      <c r="G54" s="20"/>
      <c r="H54" s="20"/>
      <c r="I54" s="20"/>
      <c r="J54" s="20" t="str">
        <f xml:space="preserve"> _xll.EPMOlapMemberO("[KEY_FIGURES].[].[DEMANDPLANNINGQTY]","","Demand Planning Qty","","000")</f>
        <v>Demand Planning Qty</v>
      </c>
      <c r="K54" s="23">
        <v>0</v>
      </c>
      <c r="L54" s="23">
        <v>0</v>
      </c>
      <c r="M54" s="23">
        <v>0</v>
      </c>
      <c r="N54" s="23">
        <v>0</v>
      </c>
      <c r="O54" s="23">
        <v>0</v>
      </c>
      <c r="P54" s="23"/>
      <c r="Q54" s="23"/>
      <c r="R54" s="23"/>
      <c r="S54" s="23"/>
      <c r="T54" s="23"/>
      <c r="U54" s="23"/>
      <c r="V54" s="23"/>
    </row>
    <row r="55" spans="7:22" x14ac:dyDescent="0.4">
      <c r="G55" s="20"/>
      <c r="H55" s="20"/>
      <c r="I55" s="20"/>
      <c r="J55" s="20" t="str">
        <f xml:space="preserve"> _xll.EPMOlapMemberO("[KEY_FIGURES].[].[FINALCONSENSUSDEMAND]","","Consensus Demand","","000")</f>
        <v>Consensus Demand</v>
      </c>
      <c r="K55" s="23">
        <v>85.76</v>
      </c>
      <c r="L55" s="23">
        <v>98.007999999999996</v>
      </c>
      <c r="M55" s="23">
        <v>62.5</v>
      </c>
      <c r="N55" s="23">
        <v>93.5</v>
      </c>
      <c r="O55" s="23">
        <v>57</v>
      </c>
      <c r="P55" s="23">
        <v>58</v>
      </c>
      <c r="Q55" s="23">
        <v>100</v>
      </c>
      <c r="R55" s="23">
        <v>35.003999999999998</v>
      </c>
      <c r="S55" s="23">
        <v>58.005000000000003</v>
      </c>
      <c r="T55" s="23">
        <v>99.754999999999995</v>
      </c>
      <c r="U55" s="23">
        <v>37.75</v>
      </c>
      <c r="V55" s="23">
        <v>85.5</v>
      </c>
    </row>
    <row r="56" spans="7:22" x14ac:dyDescent="0.4">
      <c r="G56" s="20"/>
      <c r="H56" s="20"/>
      <c r="I56" s="20"/>
      <c r="J56" s="20" t="str">
        <f xml:space="preserve"> _xll.EPMOlapMemberO("[KEY_FIGURES].[].[ADJDELIVQTY]","","Delivered Qty Adjusted","","000")</f>
        <v>Delivered Qty Adjusted</v>
      </c>
      <c r="K56" s="41">
        <v>62</v>
      </c>
      <c r="L56" s="41">
        <v>56</v>
      </c>
      <c r="M56" s="41">
        <v>0</v>
      </c>
      <c r="N56" s="41">
        <v>37</v>
      </c>
      <c r="O56" s="41">
        <v>62</v>
      </c>
      <c r="P56" s="41">
        <v>78</v>
      </c>
      <c r="Q56" s="41">
        <v>32</v>
      </c>
      <c r="R56" s="41">
        <v>56</v>
      </c>
      <c r="S56" s="41">
        <v>80</v>
      </c>
      <c r="T56" s="41">
        <v>30</v>
      </c>
      <c r="U56" s="41">
        <v>62</v>
      </c>
      <c r="V56" s="41">
        <v>76</v>
      </c>
    </row>
    <row r="57" spans="7:22" x14ac:dyDescent="0.4">
      <c r="G57" s="20"/>
      <c r="H57" s="20"/>
      <c r="I57" s="20"/>
      <c r="J57" s="20" t="str">
        <f xml:space="preserve"> _xll.EPMOlapMemberO("[KEY_FIGURES].[].[ACTUALSREV]","","Actuals Revenue","","000")</f>
        <v>Actuals Revenue</v>
      </c>
      <c r="K57" s="41"/>
      <c r="L57" s="41"/>
      <c r="M57" s="41"/>
      <c r="N57" s="41"/>
      <c r="O57" s="41"/>
      <c r="P57" s="41"/>
      <c r="Q57" s="41"/>
      <c r="R57" s="41"/>
      <c r="S57" s="41"/>
      <c r="T57" s="41"/>
      <c r="U57" s="41"/>
      <c r="V57" s="41"/>
    </row>
    <row r="58" spans="7:22" x14ac:dyDescent="0.4">
      <c r="G58" s="20"/>
      <c r="H58" s="20"/>
      <c r="I58" s="20"/>
      <c r="J58" s="20" t="str">
        <f xml:space="preserve"> _xll.EPMOlapMemberO("[KEY_FIGURES].[].[CONFQTY]","","Confirmed Qty","","000")</f>
        <v>Confirmed Qty</v>
      </c>
      <c r="K58" s="23"/>
      <c r="L58" s="23"/>
      <c r="M58" s="23"/>
      <c r="N58" s="23"/>
      <c r="O58" s="23"/>
      <c r="P58" s="23"/>
      <c r="Q58" s="23"/>
      <c r="R58" s="23"/>
      <c r="S58" s="23"/>
      <c r="T58" s="23"/>
      <c r="U58" s="23"/>
      <c r="V58" s="23"/>
    </row>
    <row r="59" spans="7:22" x14ac:dyDescent="0.4">
      <c r="G59" s="20"/>
      <c r="H59" s="20" t="str">
        <f xml:space="preserve"> _xll.EPMOlapMemberO("[LOCID].[].[HD_DC_FR]","","HD_DC_FR","","000")</f>
        <v>HD_DC_FR</v>
      </c>
      <c r="I59" s="20" t="str">
        <f xml:space="preserve"> _xll.EPMOlapMemberO("[ABCID].[].[C]","","C","","000")</f>
        <v>C</v>
      </c>
      <c r="J59" s="20" t="str">
        <f xml:space="preserve"> _xll.EPMOlapMemberO("[KEY_FIGURES].[].[CONSENSUSDEMAND]","","Consensus Demand without Promotion","","000")</f>
        <v>Consensus Demand without Promotion</v>
      </c>
      <c r="K59" s="41">
        <v>85.76</v>
      </c>
      <c r="L59" s="41">
        <v>98.007999999999996</v>
      </c>
      <c r="M59" s="41">
        <v>62.5</v>
      </c>
      <c r="N59" s="41">
        <v>93.51</v>
      </c>
      <c r="O59" s="41">
        <v>57</v>
      </c>
      <c r="P59" s="41">
        <v>58</v>
      </c>
      <c r="Q59" s="41">
        <v>100</v>
      </c>
      <c r="R59" s="41">
        <v>35.003999999999998</v>
      </c>
      <c r="S59" s="41">
        <v>58.01</v>
      </c>
      <c r="T59" s="41">
        <v>99.765000000000001</v>
      </c>
      <c r="U59" s="41">
        <v>37.75</v>
      </c>
      <c r="V59" s="41">
        <v>85.5</v>
      </c>
    </row>
    <row r="60" spans="7:22" x14ac:dyDescent="0.4">
      <c r="G60" s="20"/>
      <c r="H60" s="20"/>
      <c r="I60" s="20"/>
      <c r="J60" s="20" t="str">
        <f xml:space="preserve"> _xll.EPMOlapMemberO("[KEY_FIGURES].[].[DEMANDPLANNINGQTY]","","Demand Planning Qty","","000")</f>
        <v>Demand Planning Qty</v>
      </c>
      <c r="K60" s="23">
        <v>0</v>
      </c>
      <c r="L60" s="23">
        <v>0</v>
      </c>
      <c r="M60" s="23">
        <v>0</v>
      </c>
      <c r="N60" s="23">
        <v>0</v>
      </c>
      <c r="O60" s="23">
        <v>0</v>
      </c>
      <c r="P60" s="23"/>
      <c r="Q60" s="23"/>
      <c r="R60" s="23"/>
      <c r="S60" s="23"/>
      <c r="T60" s="23"/>
      <c r="U60" s="23"/>
      <c r="V60" s="23"/>
    </row>
    <row r="61" spans="7:22" x14ac:dyDescent="0.4">
      <c r="G61" s="20"/>
      <c r="H61" s="20"/>
      <c r="I61" s="20"/>
      <c r="J61" s="20" t="str">
        <f xml:space="preserve"> _xll.EPMOlapMemberO("[KEY_FIGURES].[].[FINALCONSENSUSDEMAND]","","Consensus Demand","","000")</f>
        <v>Consensus Demand</v>
      </c>
      <c r="K61" s="23">
        <v>85.76</v>
      </c>
      <c r="L61" s="23">
        <v>98.007999999999996</v>
      </c>
      <c r="M61" s="23">
        <v>62.5</v>
      </c>
      <c r="N61" s="23">
        <v>93.51</v>
      </c>
      <c r="O61" s="23">
        <v>57</v>
      </c>
      <c r="P61" s="23">
        <v>58</v>
      </c>
      <c r="Q61" s="23">
        <v>100</v>
      </c>
      <c r="R61" s="23">
        <v>35.003999999999998</v>
      </c>
      <c r="S61" s="23">
        <v>58.01</v>
      </c>
      <c r="T61" s="23">
        <v>99.765000000000001</v>
      </c>
      <c r="U61" s="23">
        <v>37.75</v>
      </c>
      <c r="V61" s="23">
        <v>85.5</v>
      </c>
    </row>
    <row r="62" spans="7:22" x14ac:dyDescent="0.4">
      <c r="G62" s="20"/>
      <c r="H62" s="20"/>
      <c r="I62" s="20"/>
      <c r="J62" s="20" t="str">
        <f xml:space="preserve"> _xll.EPMOlapMemberO("[KEY_FIGURES].[].[ADJDELIVQTY]","","Delivered Qty Adjusted","","000")</f>
        <v>Delivered Qty Adjusted</v>
      </c>
      <c r="K62" s="41">
        <v>100</v>
      </c>
      <c r="L62" s="41">
        <v>112</v>
      </c>
      <c r="M62" s="41">
        <v>62</v>
      </c>
      <c r="N62" s="41">
        <v>56</v>
      </c>
      <c r="O62" s="41">
        <v>124</v>
      </c>
      <c r="P62" s="41">
        <v>78</v>
      </c>
      <c r="Q62" s="41">
        <v>32</v>
      </c>
      <c r="R62" s="41">
        <v>56</v>
      </c>
      <c r="S62" s="41">
        <v>80</v>
      </c>
      <c r="T62" s="41">
        <v>30</v>
      </c>
      <c r="U62" s="41">
        <v>61</v>
      </c>
      <c r="V62" s="41">
        <v>76</v>
      </c>
    </row>
    <row r="63" spans="7:22" x14ac:dyDescent="0.4">
      <c r="G63" s="20"/>
      <c r="H63" s="20"/>
      <c r="I63" s="20"/>
      <c r="J63" s="20" t="str">
        <f xml:space="preserve"> _xll.EPMOlapMemberO("[KEY_FIGURES].[].[ACTUALSREV]","","Actuals Revenue","","000")</f>
        <v>Actuals Revenue</v>
      </c>
      <c r="K63" s="41"/>
      <c r="L63" s="41"/>
      <c r="M63" s="41"/>
      <c r="N63" s="41"/>
      <c r="O63" s="41"/>
      <c r="P63" s="41"/>
      <c r="Q63" s="41"/>
      <c r="R63" s="41"/>
      <c r="S63" s="41"/>
      <c r="T63" s="41"/>
      <c r="U63" s="41"/>
      <c r="V63" s="41"/>
    </row>
    <row r="64" spans="7:22" x14ac:dyDescent="0.4">
      <c r="G64" s="20"/>
      <c r="H64" s="20"/>
      <c r="I64" s="20"/>
      <c r="J64" s="20" t="str">
        <f xml:space="preserve"> _xll.EPMOlapMemberO("[KEY_FIGURES].[].[CONFQTY]","","Confirmed Qty","","000")</f>
        <v>Confirmed Qty</v>
      </c>
      <c r="K64" s="23"/>
      <c r="L64" s="23"/>
      <c r="M64" s="23"/>
      <c r="N64" s="23"/>
      <c r="O64" s="23"/>
      <c r="P64" s="23"/>
      <c r="Q64" s="23"/>
      <c r="R64" s="23"/>
      <c r="S64" s="23"/>
      <c r="T64" s="23"/>
      <c r="U64" s="23"/>
      <c r="V64" s="23"/>
    </row>
    <row r="65" spans="7:22" x14ac:dyDescent="0.4">
      <c r="G65" s="20"/>
      <c r="H65" s="20" t="str">
        <f xml:space="preserve"> _xll.EPMOlapMemberO("[LOCID].[].[HD_DC_US_E]","","HD_DC_US_E","","000")</f>
        <v>HD_DC_US_E</v>
      </c>
      <c r="I65" s="20" t="str">
        <f xml:space="preserve"> _xll.EPMOlapMemberO("[ABCID].[].[C]","","C","","000")</f>
        <v>C</v>
      </c>
      <c r="J65" s="20" t="str">
        <f xml:space="preserve"> _xll.EPMOlapMemberO("[KEY_FIGURES].[].[CONSENSUSDEMAND]","","Consensus Demand without Promotion","","000")</f>
        <v>Consensus Demand without Promotion</v>
      </c>
      <c r="K65" s="41">
        <v>85.74</v>
      </c>
      <c r="L65" s="41">
        <v>97.992000000000004</v>
      </c>
      <c r="M65" s="41">
        <v>62.5</v>
      </c>
      <c r="N65" s="41">
        <v>93.49</v>
      </c>
      <c r="O65" s="41">
        <v>57</v>
      </c>
      <c r="P65" s="41">
        <v>58</v>
      </c>
      <c r="Q65" s="41">
        <v>100</v>
      </c>
      <c r="R65" s="41">
        <v>35</v>
      </c>
      <c r="S65" s="41">
        <v>57.99</v>
      </c>
      <c r="T65" s="41">
        <v>99.734999999999999</v>
      </c>
      <c r="U65" s="41">
        <v>37.75</v>
      </c>
      <c r="V65" s="41">
        <v>85.5</v>
      </c>
    </row>
    <row r="66" spans="7:22" x14ac:dyDescent="0.4">
      <c r="G66" s="20"/>
      <c r="H66" s="20"/>
      <c r="I66" s="20"/>
      <c r="J66" s="20" t="str">
        <f xml:space="preserve"> _xll.EPMOlapMemberO("[KEY_FIGURES].[].[DEMANDPLANNINGQTY]","","Demand Planning Qty","","000")</f>
        <v>Demand Planning Qty</v>
      </c>
      <c r="K66" s="23">
        <v>0</v>
      </c>
      <c r="L66" s="23">
        <v>0</v>
      </c>
      <c r="M66" s="23">
        <v>0</v>
      </c>
      <c r="N66" s="23">
        <v>0</v>
      </c>
      <c r="O66" s="23">
        <v>0</v>
      </c>
      <c r="P66" s="23"/>
      <c r="Q66" s="23"/>
      <c r="R66" s="23"/>
      <c r="S66" s="23"/>
      <c r="T66" s="23"/>
      <c r="U66" s="23"/>
      <c r="V66" s="23"/>
    </row>
    <row r="67" spans="7:22" x14ac:dyDescent="0.4">
      <c r="G67" s="20"/>
      <c r="H67" s="20"/>
      <c r="I67" s="20"/>
      <c r="J67" s="20" t="str">
        <f xml:space="preserve"> _xll.EPMOlapMemberO("[KEY_FIGURES].[].[FINALCONSENSUSDEMAND]","","Consensus Demand","","000")</f>
        <v>Consensus Demand</v>
      </c>
      <c r="K67" s="23">
        <v>85.74</v>
      </c>
      <c r="L67" s="23">
        <v>97.992000000000004</v>
      </c>
      <c r="M67" s="23">
        <v>62.5</v>
      </c>
      <c r="N67" s="23">
        <v>93.49</v>
      </c>
      <c r="O67" s="23">
        <v>57</v>
      </c>
      <c r="P67" s="23">
        <v>58</v>
      </c>
      <c r="Q67" s="23">
        <v>100</v>
      </c>
      <c r="R67" s="23">
        <v>35</v>
      </c>
      <c r="S67" s="23">
        <v>57.99</v>
      </c>
      <c r="T67" s="23">
        <v>99.734999999999999</v>
      </c>
      <c r="U67" s="23">
        <v>37.75</v>
      </c>
      <c r="V67" s="23">
        <v>85.5</v>
      </c>
    </row>
    <row r="68" spans="7:22" x14ac:dyDescent="0.4">
      <c r="G68" s="20"/>
      <c r="H68" s="20"/>
      <c r="I68" s="20"/>
      <c r="J68" s="20" t="str">
        <f xml:space="preserve"> _xll.EPMOlapMemberO("[KEY_FIGURES].[].[ADJDELIVQTY]","","Delivered Qty Adjusted","","000")</f>
        <v>Delivered Qty Adjusted</v>
      </c>
      <c r="K68" s="41">
        <v>76</v>
      </c>
      <c r="L68" s="41">
        <v>87</v>
      </c>
      <c r="M68" s="41">
        <v>31</v>
      </c>
      <c r="N68" s="41">
        <v>56</v>
      </c>
      <c r="O68" s="41">
        <v>93</v>
      </c>
      <c r="P68" s="41">
        <v>78</v>
      </c>
      <c r="Q68" s="41">
        <v>32</v>
      </c>
      <c r="R68" s="41">
        <v>56</v>
      </c>
      <c r="S68" s="41">
        <v>80</v>
      </c>
      <c r="T68" s="41">
        <v>28</v>
      </c>
      <c r="U68" s="41">
        <v>60</v>
      </c>
      <c r="V68" s="41">
        <v>76</v>
      </c>
    </row>
    <row r="69" spans="7:22" x14ac:dyDescent="0.4">
      <c r="G69" s="20"/>
      <c r="H69" s="20"/>
      <c r="I69" s="20"/>
      <c r="J69" s="20" t="str">
        <f xml:space="preserve"> _xll.EPMOlapMemberO("[KEY_FIGURES].[].[ACTUALSREV]","","Actuals Revenue","","000")</f>
        <v>Actuals Revenue</v>
      </c>
      <c r="K69" s="41"/>
      <c r="L69" s="41"/>
      <c r="M69" s="41"/>
      <c r="N69" s="41"/>
      <c r="O69" s="41"/>
      <c r="P69" s="41"/>
      <c r="Q69" s="41"/>
      <c r="R69" s="41"/>
      <c r="S69" s="41"/>
      <c r="T69" s="41"/>
      <c r="U69" s="41"/>
      <c r="V69" s="41"/>
    </row>
    <row r="70" spans="7:22" x14ac:dyDescent="0.4">
      <c r="G70" s="20"/>
      <c r="H70" s="20"/>
      <c r="I70" s="20"/>
      <c r="J70" s="20" t="str">
        <f xml:space="preserve"> _xll.EPMOlapMemberO("[KEY_FIGURES].[].[CONFQTY]","","Confirmed Qty","","000")</f>
        <v>Confirmed Qty</v>
      </c>
      <c r="K70" s="23"/>
      <c r="L70" s="23"/>
      <c r="M70" s="23"/>
      <c r="N70" s="23"/>
      <c r="O70" s="23"/>
      <c r="P70" s="23"/>
      <c r="Q70" s="23"/>
      <c r="R70" s="23"/>
      <c r="S70" s="23"/>
      <c r="T70" s="23"/>
      <c r="U70" s="23"/>
      <c r="V70" s="23"/>
    </row>
    <row r="71" spans="7:22" x14ac:dyDescent="0.4">
      <c r="G71" s="20"/>
      <c r="H71" s="20" t="str">
        <f xml:space="preserve"> _xll.EPMOlapMemberO("[LOCID].[].[HD_DC_US_W]","","HD_DC_US_W","","000")</f>
        <v>HD_DC_US_W</v>
      </c>
      <c r="I71" s="20" t="str">
        <f xml:space="preserve"> _xll.EPMOlapMemberO("[ABCID].[].[C]","","C","","000")</f>
        <v>C</v>
      </c>
      <c r="J71" s="20" t="str">
        <f xml:space="preserve"> _xll.EPMOlapMemberO("[KEY_FIGURES].[].[CONSENSUSDEMAND]","","Consensus Demand without Promotion","","000")</f>
        <v>Consensus Demand without Promotion</v>
      </c>
      <c r="K71" s="41">
        <v>85.74</v>
      </c>
      <c r="L71" s="41">
        <v>97.992000000000004</v>
      </c>
      <c r="M71" s="41">
        <v>62.5</v>
      </c>
      <c r="N71" s="41">
        <v>93.5</v>
      </c>
      <c r="O71" s="41">
        <v>57</v>
      </c>
      <c r="P71" s="41">
        <v>58</v>
      </c>
      <c r="Q71" s="41">
        <v>100</v>
      </c>
      <c r="R71" s="41">
        <v>34.991999999999997</v>
      </c>
      <c r="S71" s="41">
        <v>57.994999999999997</v>
      </c>
      <c r="T71" s="41">
        <v>99.745000000000005</v>
      </c>
      <c r="U71" s="41">
        <v>37.75</v>
      </c>
      <c r="V71" s="41">
        <v>85.5</v>
      </c>
    </row>
    <row r="72" spans="7:22" x14ac:dyDescent="0.4">
      <c r="G72" s="20"/>
      <c r="H72" s="20"/>
      <c r="I72" s="20"/>
      <c r="J72" s="20" t="str">
        <f xml:space="preserve"> _xll.EPMOlapMemberO("[KEY_FIGURES].[].[DEMANDPLANNINGQTY]","","Demand Planning Qty","","000")</f>
        <v>Demand Planning Qty</v>
      </c>
      <c r="K72" s="23">
        <v>0</v>
      </c>
      <c r="L72" s="23">
        <v>0</v>
      </c>
      <c r="M72" s="23">
        <v>0</v>
      </c>
      <c r="N72" s="23">
        <v>0</v>
      </c>
      <c r="O72" s="23">
        <v>0</v>
      </c>
      <c r="P72" s="23"/>
      <c r="Q72" s="23"/>
      <c r="R72" s="23"/>
      <c r="S72" s="23"/>
      <c r="T72" s="23"/>
      <c r="U72" s="23"/>
      <c r="V72" s="23"/>
    </row>
    <row r="73" spans="7:22" x14ac:dyDescent="0.4">
      <c r="G73" s="20"/>
      <c r="H73" s="20"/>
      <c r="I73" s="20"/>
      <c r="J73" s="20" t="str">
        <f xml:space="preserve"> _xll.EPMOlapMemberO("[KEY_FIGURES].[].[FINALCONSENSUSDEMAND]","","Consensus Demand","","000")</f>
        <v>Consensus Demand</v>
      </c>
      <c r="K73" s="23">
        <v>85.74</v>
      </c>
      <c r="L73" s="23">
        <v>97.992000000000004</v>
      </c>
      <c r="M73" s="23">
        <v>62.5</v>
      </c>
      <c r="N73" s="23">
        <v>93.5</v>
      </c>
      <c r="O73" s="23">
        <v>57</v>
      </c>
      <c r="P73" s="23">
        <v>58</v>
      </c>
      <c r="Q73" s="23">
        <v>100</v>
      </c>
      <c r="R73" s="23">
        <v>34.991999999999997</v>
      </c>
      <c r="S73" s="23">
        <v>57.994999999999997</v>
      </c>
      <c r="T73" s="23">
        <v>99.745000000000005</v>
      </c>
      <c r="U73" s="23">
        <v>37.75</v>
      </c>
      <c r="V73" s="23">
        <v>85.5</v>
      </c>
    </row>
    <row r="74" spans="7:22" x14ac:dyDescent="0.4">
      <c r="G74" s="20"/>
      <c r="H74" s="20"/>
      <c r="I74" s="20"/>
      <c r="J74" s="20" t="str">
        <f xml:space="preserve"> _xll.EPMOlapMemberO("[KEY_FIGURES].[].[ADJDELIVQTY]","","Delivered Qty Adjusted","","000")</f>
        <v>Delivered Qty Adjusted</v>
      </c>
      <c r="K74" s="41">
        <v>97</v>
      </c>
      <c r="L74" s="41">
        <v>112</v>
      </c>
      <c r="M74" s="41">
        <v>48</v>
      </c>
      <c r="N74" s="41">
        <v>56</v>
      </c>
      <c r="O74" s="41">
        <v>114</v>
      </c>
      <c r="P74" s="41">
        <v>78</v>
      </c>
      <c r="Q74" s="41">
        <v>30</v>
      </c>
      <c r="R74" s="41">
        <v>55</v>
      </c>
      <c r="S74" s="41">
        <v>80</v>
      </c>
      <c r="T74" s="41">
        <v>28</v>
      </c>
      <c r="U74" s="41">
        <v>60</v>
      </c>
      <c r="V74" s="41">
        <v>76</v>
      </c>
    </row>
    <row r="75" spans="7:22" x14ac:dyDescent="0.4">
      <c r="G75" s="20"/>
      <c r="H75" s="20"/>
      <c r="I75" s="20"/>
      <c r="J75" s="20" t="str">
        <f xml:space="preserve"> _xll.EPMOlapMemberO("[KEY_FIGURES].[].[ACTUALSREV]","","Actuals Revenue","","000")</f>
        <v>Actuals Revenue</v>
      </c>
      <c r="K75" s="41"/>
      <c r="L75" s="41"/>
      <c r="M75" s="41"/>
      <c r="N75" s="41"/>
      <c r="O75" s="41"/>
      <c r="P75" s="41"/>
      <c r="Q75" s="41"/>
      <c r="R75" s="41"/>
      <c r="S75" s="41"/>
      <c r="T75" s="41"/>
      <c r="U75" s="41"/>
      <c r="V75" s="41"/>
    </row>
    <row r="76" spans="7:22" x14ac:dyDescent="0.4">
      <c r="G76" s="20"/>
      <c r="H76" s="20"/>
      <c r="I76" s="20"/>
      <c r="J76" s="20" t="str">
        <f xml:space="preserve"> _xll.EPMOlapMemberO("[KEY_FIGURES].[].[CONFQTY]","","Confirmed Qty","","000")</f>
        <v>Confirmed Qty</v>
      </c>
      <c r="K76" s="23"/>
      <c r="L76" s="23"/>
      <c r="M76" s="23"/>
      <c r="N76" s="23"/>
      <c r="O76" s="23"/>
      <c r="P76" s="23"/>
      <c r="Q76" s="23"/>
      <c r="R76" s="23"/>
      <c r="S76" s="23"/>
      <c r="T76" s="23"/>
      <c r="U76" s="23"/>
      <c r="V76" s="23"/>
    </row>
    <row r="77" spans="7:22" x14ac:dyDescent="0.4">
      <c r="G77" s="20" t="str">
        <f xml:space="preserve"> _xll.EPMOlapMemberO("[PRDID].[].[HT_004]","","HT_004","","000")</f>
        <v>HT_004</v>
      </c>
      <c r="H77" s="20" t="str">
        <f xml:space="preserve"> _xll.EPMOlapMemberO("[LOCID].[].[HD_DC_CA_E]","","HD_DC_CA_E","","000")</f>
        <v>HD_DC_CA_E</v>
      </c>
      <c r="I77" s="20" t="str">
        <f xml:space="preserve"> _xll.EPMOlapMemberO("[ABCID].[].[C]","","C","","000")</f>
        <v>C</v>
      </c>
      <c r="J77" s="20" t="str">
        <f xml:space="preserve"> _xll.EPMOlapMemberO("[KEY_FIGURES].[].[CONSENSUSDEMAND]","","Consensus Demand without Promotion","","000")</f>
        <v>Consensus Demand without Promotion</v>
      </c>
      <c r="K77" s="41">
        <v>76.5</v>
      </c>
      <c r="L77" s="41">
        <v>99.251999999999995</v>
      </c>
      <c r="M77" s="41">
        <v>69.75</v>
      </c>
      <c r="N77" s="41">
        <v>95.495000000000005</v>
      </c>
      <c r="O77" s="41">
        <v>71.748000000000005</v>
      </c>
      <c r="P77" s="41">
        <v>30.5</v>
      </c>
      <c r="Q77" s="41">
        <v>48.25</v>
      </c>
      <c r="R77" s="41">
        <v>47.502000000000002</v>
      </c>
      <c r="S77" s="41">
        <v>77.5</v>
      </c>
      <c r="T77" s="41">
        <v>98.74</v>
      </c>
      <c r="U77" s="41">
        <v>52.494999999999997</v>
      </c>
      <c r="V77" s="41">
        <v>52.25</v>
      </c>
    </row>
    <row r="78" spans="7:22" x14ac:dyDescent="0.4">
      <c r="G78" s="20"/>
      <c r="H78" s="20"/>
      <c r="I78" s="20"/>
      <c r="J78" s="20" t="str">
        <f xml:space="preserve"> _xll.EPMOlapMemberO("[KEY_FIGURES].[].[DEMANDPLANNINGQTY]","","Demand Planning Qty","","000")</f>
        <v>Demand Planning Qty</v>
      </c>
      <c r="K78" s="23">
        <v>0</v>
      </c>
      <c r="L78" s="23">
        <v>0</v>
      </c>
      <c r="M78" s="23">
        <v>0</v>
      </c>
      <c r="N78" s="23">
        <v>0</v>
      </c>
      <c r="O78" s="23">
        <v>0</v>
      </c>
      <c r="P78" s="23"/>
      <c r="Q78" s="23"/>
      <c r="R78" s="23"/>
      <c r="S78" s="23"/>
      <c r="T78" s="23"/>
      <c r="U78" s="23"/>
      <c r="V78" s="23"/>
    </row>
    <row r="79" spans="7:22" x14ac:dyDescent="0.4">
      <c r="G79" s="20"/>
      <c r="H79" s="20"/>
      <c r="I79" s="20"/>
      <c r="J79" s="20" t="str">
        <f xml:space="preserve"> _xll.EPMOlapMemberO("[KEY_FIGURES].[].[FINALCONSENSUSDEMAND]","","Consensus Demand","","000")</f>
        <v>Consensus Demand</v>
      </c>
      <c r="K79" s="23">
        <v>76.5</v>
      </c>
      <c r="L79" s="23">
        <v>99.251999999999995</v>
      </c>
      <c r="M79" s="23">
        <v>69.75</v>
      </c>
      <c r="N79" s="23">
        <v>95.495000000000005</v>
      </c>
      <c r="O79" s="23">
        <v>71.748000000000005</v>
      </c>
      <c r="P79" s="23">
        <v>30.5</v>
      </c>
      <c r="Q79" s="23">
        <v>48.25</v>
      </c>
      <c r="R79" s="23">
        <v>47.502000000000002</v>
      </c>
      <c r="S79" s="23">
        <v>77.5</v>
      </c>
      <c r="T79" s="23">
        <v>98.74</v>
      </c>
      <c r="U79" s="23">
        <v>52.494999999999997</v>
      </c>
      <c r="V79" s="23">
        <v>52.25</v>
      </c>
    </row>
    <row r="80" spans="7:22" x14ac:dyDescent="0.4">
      <c r="G80" s="20"/>
      <c r="H80" s="20"/>
      <c r="I80" s="20"/>
      <c r="J80" s="20" t="str">
        <f xml:space="preserve"> _xll.EPMOlapMemberO("[KEY_FIGURES].[].[ADJDELIVQTY]","","Delivered Qty Adjusted","","000")</f>
        <v>Delivered Qty Adjusted</v>
      </c>
      <c r="K80" s="41">
        <v>69</v>
      </c>
      <c r="L80" s="41">
        <v>42</v>
      </c>
      <c r="M80" s="41">
        <v>93</v>
      </c>
      <c r="N80" s="41">
        <v>60</v>
      </c>
      <c r="O80" s="41">
        <v>62</v>
      </c>
      <c r="P80" s="41">
        <v>46</v>
      </c>
      <c r="Q80" s="41">
        <v>59</v>
      </c>
      <c r="R80" s="41">
        <v>27</v>
      </c>
      <c r="S80" s="41">
        <v>50</v>
      </c>
      <c r="T80" s="41">
        <v>93</v>
      </c>
      <c r="U80" s="41">
        <v>54</v>
      </c>
      <c r="V80" s="41">
        <v>44</v>
      </c>
    </row>
    <row r="81" spans="7:22" x14ac:dyDescent="0.4">
      <c r="G81" s="20"/>
      <c r="H81" s="20"/>
      <c r="I81" s="20"/>
      <c r="J81" s="20" t="str">
        <f xml:space="preserve"> _xll.EPMOlapMemberO("[KEY_FIGURES].[].[ACTUALSREV]","","Actuals Revenue","","000")</f>
        <v>Actuals Revenue</v>
      </c>
      <c r="K81" s="41"/>
      <c r="L81" s="41"/>
      <c r="M81" s="41"/>
      <c r="N81" s="41"/>
      <c r="O81" s="41"/>
      <c r="P81" s="41"/>
      <c r="Q81" s="41"/>
      <c r="R81" s="41"/>
      <c r="S81" s="41"/>
      <c r="T81" s="41"/>
      <c r="U81" s="41"/>
      <c r="V81" s="41"/>
    </row>
    <row r="82" spans="7:22" x14ac:dyDescent="0.4">
      <c r="G82" s="20"/>
      <c r="H82" s="20"/>
      <c r="I82" s="20"/>
      <c r="J82" s="20" t="str">
        <f xml:space="preserve"> _xll.EPMOlapMemberO("[KEY_FIGURES].[].[CONFQTY]","","Confirmed Qty","","000")</f>
        <v>Confirmed Qty</v>
      </c>
      <c r="K82" s="23"/>
      <c r="L82" s="23"/>
      <c r="M82" s="23"/>
      <c r="N82" s="23"/>
      <c r="O82" s="23"/>
      <c r="P82" s="23"/>
      <c r="Q82" s="23"/>
      <c r="R82" s="23"/>
      <c r="S82" s="23"/>
      <c r="T82" s="23"/>
      <c r="U82" s="23"/>
      <c r="V82" s="23"/>
    </row>
    <row r="83" spans="7:22" x14ac:dyDescent="0.4">
      <c r="G83" s="20"/>
      <c r="H83" s="20" t="str">
        <f xml:space="preserve"> _xll.EPMOlapMemberO("[LOCID].[].[HD_DC_FR]","","HD_DC_FR","","000")</f>
        <v>HD_DC_FR</v>
      </c>
      <c r="I83" s="20" t="str">
        <f xml:space="preserve"> _xll.EPMOlapMemberO("[ABCID].[].[C]","","C","","000")</f>
        <v>C</v>
      </c>
      <c r="J83" s="20" t="str">
        <f xml:space="preserve"> _xll.EPMOlapMemberO("[KEY_FIGURES].[].[CONSENSUSDEMAND]","","Consensus Demand without Promotion","","000")</f>
        <v>Consensus Demand without Promotion</v>
      </c>
      <c r="K83" s="41">
        <v>76.5</v>
      </c>
      <c r="L83" s="41">
        <v>99.251999999999995</v>
      </c>
      <c r="M83" s="41">
        <v>69.75</v>
      </c>
      <c r="N83" s="41">
        <v>95.5</v>
      </c>
      <c r="O83" s="41">
        <v>71.754000000000005</v>
      </c>
      <c r="P83" s="41">
        <v>30.5</v>
      </c>
      <c r="Q83" s="41">
        <v>48.25</v>
      </c>
      <c r="R83" s="41">
        <v>47.5</v>
      </c>
      <c r="S83" s="41">
        <v>77.5</v>
      </c>
      <c r="T83" s="41">
        <v>98.75</v>
      </c>
      <c r="U83" s="41">
        <v>52.5</v>
      </c>
      <c r="V83" s="41">
        <v>52.25</v>
      </c>
    </row>
    <row r="84" spans="7:22" x14ac:dyDescent="0.4">
      <c r="G84" s="20"/>
      <c r="H84" s="20"/>
      <c r="I84" s="20"/>
      <c r="J84" s="20" t="str">
        <f xml:space="preserve"> _xll.EPMOlapMemberO("[KEY_FIGURES].[].[DEMANDPLANNINGQTY]","","Demand Planning Qty","","000")</f>
        <v>Demand Planning Qty</v>
      </c>
      <c r="K84" s="23">
        <v>0</v>
      </c>
      <c r="L84" s="23">
        <v>0</v>
      </c>
      <c r="M84" s="23">
        <v>0</v>
      </c>
      <c r="N84" s="23">
        <v>0</v>
      </c>
      <c r="O84" s="23">
        <v>0</v>
      </c>
      <c r="P84" s="23"/>
      <c r="Q84" s="23"/>
      <c r="R84" s="23"/>
      <c r="S84" s="23"/>
      <c r="T84" s="23"/>
      <c r="U84" s="23"/>
      <c r="V84" s="23"/>
    </row>
    <row r="85" spans="7:22" x14ac:dyDescent="0.4">
      <c r="G85" s="20"/>
      <c r="H85" s="20"/>
      <c r="I85" s="20"/>
      <c r="J85" s="20" t="str">
        <f xml:space="preserve"> _xll.EPMOlapMemberO("[KEY_FIGURES].[].[FINALCONSENSUSDEMAND]","","Consensus Demand","","000")</f>
        <v>Consensus Demand</v>
      </c>
      <c r="K85" s="23">
        <v>76.5</v>
      </c>
      <c r="L85" s="23">
        <v>99.251999999999995</v>
      </c>
      <c r="M85" s="23">
        <v>69.75</v>
      </c>
      <c r="N85" s="23">
        <v>95.5</v>
      </c>
      <c r="O85" s="23">
        <v>71.754000000000005</v>
      </c>
      <c r="P85" s="23">
        <v>30.5</v>
      </c>
      <c r="Q85" s="23">
        <v>48.25</v>
      </c>
      <c r="R85" s="23">
        <v>47.5</v>
      </c>
      <c r="S85" s="23">
        <v>77.5</v>
      </c>
      <c r="T85" s="23">
        <v>98.75</v>
      </c>
      <c r="U85" s="23">
        <v>52.5</v>
      </c>
      <c r="V85" s="23">
        <v>52.25</v>
      </c>
    </row>
    <row r="86" spans="7:22" x14ac:dyDescent="0.4">
      <c r="G86" s="20"/>
      <c r="H86" s="20"/>
      <c r="I86" s="20"/>
      <c r="J86" s="20" t="str">
        <f xml:space="preserve"> _xll.EPMOlapMemberO("[KEY_FIGURES].[].[ADJDELIVQTY]","","Delivered Qty Adjusted","","000")</f>
        <v>Delivered Qty Adjusted</v>
      </c>
      <c r="K86" s="41">
        <v>62</v>
      </c>
      <c r="L86" s="41">
        <v>28</v>
      </c>
      <c r="M86" s="41">
        <v>93</v>
      </c>
      <c r="N86" s="41">
        <v>84</v>
      </c>
      <c r="O86" s="41">
        <v>31</v>
      </c>
      <c r="P86" s="41">
        <v>45</v>
      </c>
      <c r="Q86" s="41">
        <v>59</v>
      </c>
      <c r="R86" s="41">
        <v>27</v>
      </c>
      <c r="S86" s="41">
        <v>51</v>
      </c>
      <c r="T86" s="41">
        <v>93</v>
      </c>
      <c r="U86" s="41">
        <v>54</v>
      </c>
      <c r="V86" s="41">
        <v>44</v>
      </c>
    </row>
    <row r="87" spans="7:22" x14ac:dyDescent="0.4">
      <c r="G87" s="20"/>
      <c r="H87" s="20"/>
      <c r="I87" s="20"/>
      <c r="J87" s="20" t="str">
        <f xml:space="preserve"> _xll.EPMOlapMemberO("[KEY_FIGURES].[].[ACTUALSREV]","","Actuals Revenue","","000")</f>
        <v>Actuals Revenue</v>
      </c>
      <c r="K87" s="41"/>
      <c r="L87" s="41"/>
      <c r="M87" s="41"/>
      <c r="N87" s="41"/>
      <c r="O87" s="41"/>
      <c r="P87" s="41"/>
      <c r="Q87" s="41"/>
      <c r="R87" s="41"/>
      <c r="S87" s="41"/>
      <c r="T87" s="41"/>
      <c r="U87" s="41"/>
      <c r="V87" s="41"/>
    </row>
    <row r="88" spans="7:22" x14ac:dyDescent="0.4">
      <c r="G88" s="20"/>
      <c r="H88" s="20"/>
      <c r="I88" s="20"/>
      <c r="J88" s="20" t="str">
        <f xml:space="preserve"> _xll.EPMOlapMemberO("[KEY_FIGURES].[].[CONFQTY]","","Confirmed Qty","","000")</f>
        <v>Confirmed Qty</v>
      </c>
      <c r="K88" s="23"/>
      <c r="L88" s="23"/>
      <c r="M88" s="23"/>
      <c r="N88" s="23"/>
      <c r="O88" s="23"/>
      <c r="P88" s="23"/>
      <c r="Q88" s="23"/>
      <c r="R88" s="23"/>
      <c r="S88" s="23"/>
      <c r="T88" s="23"/>
      <c r="U88" s="23"/>
      <c r="V88" s="23"/>
    </row>
    <row r="89" spans="7:22" x14ac:dyDescent="0.4">
      <c r="G89" s="20"/>
      <c r="H89" s="20" t="str">
        <f xml:space="preserve"> _xll.EPMOlapMemberO("[LOCID].[].[HD_DC_US_E]","","HD_DC_US_E","","000")</f>
        <v>HD_DC_US_E</v>
      </c>
      <c r="I89" s="20" t="str">
        <f xml:space="preserve"> _xll.EPMOlapMemberO("[ABCID].[].[C]","","C","","000")</f>
        <v>C</v>
      </c>
      <c r="J89" s="20" t="str">
        <f xml:space="preserve"> _xll.EPMOlapMemberO("[KEY_FIGURES].[].[CONSENSUSDEMAND]","","Consensus Demand without Promotion","","000")</f>
        <v>Consensus Demand without Promotion</v>
      </c>
      <c r="K89" s="41">
        <v>76.5</v>
      </c>
      <c r="L89" s="41">
        <v>99.248000000000005</v>
      </c>
      <c r="M89" s="41">
        <v>69.75</v>
      </c>
      <c r="N89" s="41">
        <v>95.5</v>
      </c>
      <c r="O89" s="41">
        <v>71.75</v>
      </c>
      <c r="P89" s="41">
        <v>30.5</v>
      </c>
      <c r="Q89" s="41">
        <v>48.25</v>
      </c>
      <c r="R89" s="41">
        <v>47.496000000000002</v>
      </c>
      <c r="S89" s="41">
        <v>77.5</v>
      </c>
      <c r="T89" s="41">
        <v>98.75</v>
      </c>
      <c r="U89" s="41">
        <v>52.5</v>
      </c>
      <c r="V89" s="41">
        <v>52.25</v>
      </c>
    </row>
    <row r="90" spans="7:22" x14ac:dyDescent="0.4">
      <c r="G90" s="20"/>
      <c r="H90" s="20"/>
      <c r="I90" s="20"/>
      <c r="J90" s="20" t="str">
        <f xml:space="preserve"> _xll.EPMOlapMemberO("[KEY_FIGURES].[].[DEMANDPLANNINGQTY]","","Demand Planning Qty","","000")</f>
        <v>Demand Planning Qty</v>
      </c>
      <c r="K90" s="23">
        <v>0</v>
      </c>
      <c r="L90" s="23">
        <v>0</v>
      </c>
      <c r="M90" s="23">
        <v>0</v>
      </c>
      <c r="N90" s="23">
        <v>0</v>
      </c>
      <c r="O90" s="23">
        <v>0</v>
      </c>
      <c r="P90" s="23"/>
      <c r="Q90" s="23"/>
      <c r="R90" s="23"/>
      <c r="S90" s="23"/>
      <c r="T90" s="23"/>
      <c r="U90" s="23"/>
      <c r="V90" s="23"/>
    </row>
    <row r="91" spans="7:22" x14ac:dyDescent="0.4">
      <c r="G91" s="20"/>
      <c r="H91" s="20"/>
      <c r="I91" s="20"/>
      <c r="J91" s="20" t="str">
        <f xml:space="preserve"> _xll.EPMOlapMemberO("[KEY_FIGURES].[].[FINALCONSENSUSDEMAND]","","Consensus Demand","","000")</f>
        <v>Consensus Demand</v>
      </c>
      <c r="K91" s="23">
        <v>76.5</v>
      </c>
      <c r="L91" s="23">
        <v>99.248000000000005</v>
      </c>
      <c r="M91" s="23">
        <v>69.75</v>
      </c>
      <c r="N91" s="23">
        <v>95.5</v>
      </c>
      <c r="O91" s="23">
        <v>71.75</v>
      </c>
      <c r="P91" s="23">
        <v>30.5</v>
      </c>
      <c r="Q91" s="23">
        <v>48.25</v>
      </c>
      <c r="R91" s="23">
        <v>47.496000000000002</v>
      </c>
      <c r="S91" s="23">
        <v>77.5</v>
      </c>
      <c r="T91" s="23">
        <v>98.75</v>
      </c>
      <c r="U91" s="23">
        <v>52.5</v>
      </c>
      <c r="V91" s="23">
        <v>52.25</v>
      </c>
    </row>
    <row r="92" spans="7:22" x14ac:dyDescent="0.4">
      <c r="G92" s="20"/>
      <c r="H92" s="20"/>
      <c r="I92" s="20"/>
      <c r="J92" s="20" t="str">
        <f xml:space="preserve"> _xll.EPMOlapMemberO("[KEY_FIGURES].[].[ADJDELIVQTY]","","Delivered Qty Adjusted","","000")</f>
        <v>Delivered Qty Adjusted</v>
      </c>
      <c r="K92" s="41">
        <v>93</v>
      </c>
      <c r="L92" s="41">
        <v>56</v>
      </c>
      <c r="M92" s="41">
        <v>93</v>
      </c>
      <c r="N92" s="41">
        <v>90</v>
      </c>
      <c r="O92" s="41">
        <v>62</v>
      </c>
      <c r="P92" s="41">
        <v>45</v>
      </c>
      <c r="Q92" s="41">
        <v>59</v>
      </c>
      <c r="R92" s="41">
        <v>27</v>
      </c>
      <c r="S92" s="41">
        <v>50</v>
      </c>
      <c r="T92" s="41">
        <v>93</v>
      </c>
      <c r="U92" s="41">
        <v>54</v>
      </c>
      <c r="V92" s="41">
        <v>44</v>
      </c>
    </row>
    <row r="93" spans="7:22" x14ac:dyDescent="0.4">
      <c r="G93" s="20"/>
      <c r="H93" s="20"/>
      <c r="I93" s="20"/>
      <c r="J93" s="20" t="str">
        <f xml:space="preserve"> _xll.EPMOlapMemberO("[KEY_FIGURES].[].[ACTUALSREV]","","Actuals Revenue","","000")</f>
        <v>Actuals Revenue</v>
      </c>
      <c r="K93" s="41"/>
      <c r="L93" s="41"/>
      <c r="M93" s="41"/>
      <c r="N93" s="41"/>
      <c r="O93" s="41"/>
      <c r="P93" s="41"/>
      <c r="Q93" s="41"/>
      <c r="R93" s="41"/>
      <c r="S93" s="41"/>
      <c r="T93" s="41"/>
      <c r="U93" s="41"/>
      <c r="V93" s="41"/>
    </row>
    <row r="94" spans="7:22" x14ac:dyDescent="0.4">
      <c r="G94" s="20"/>
      <c r="H94" s="20"/>
      <c r="I94" s="20"/>
      <c r="J94" s="20" t="str">
        <f xml:space="preserve"> _xll.EPMOlapMemberO("[KEY_FIGURES].[].[CONFQTY]","","Confirmed Qty","","000")</f>
        <v>Confirmed Qty</v>
      </c>
      <c r="K94" s="23"/>
      <c r="L94" s="23"/>
      <c r="M94" s="23"/>
      <c r="N94" s="23"/>
      <c r="O94" s="23"/>
      <c r="P94" s="23"/>
      <c r="Q94" s="23"/>
      <c r="R94" s="23"/>
      <c r="S94" s="23"/>
      <c r="T94" s="23"/>
      <c r="U94" s="23"/>
      <c r="V94" s="23"/>
    </row>
    <row r="95" spans="7:22" x14ac:dyDescent="0.4">
      <c r="G95" s="20"/>
      <c r="H95" s="20" t="str">
        <f xml:space="preserve"> _xll.EPMOlapMemberO("[LOCID].[].[HD_DC_US_W]","","HD_DC_US_W","","000")</f>
        <v>HD_DC_US_W</v>
      </c>
      <c r="I95" s="20" t="str">
        <f xml:space="preserve"> _xll.EPMOlapMemberO("[ABCID].[].[C]","","C","","000")</f>
        <v>C</v>
      </c>
      <c r="J95" s="20" t="str">
        <f xml:space="preserve"> _xll.EPMOlapMemberO("[KEY_FIGURES].[].[CONSENSUSDEMAND]","","Consensus Demand without Promotion","","000")</f>
        <v>Consensus Demand without Promotion</v>
      </c>
      <c r="K95" s="41">
        <v>76.5</v>
      </c>
      <c r="L95" s="41">
        <v>99.248000000000005</v>
      </c>
      <c r="M95" s="41">
        <v>69.75</v>
      </c>
      <c r="N95" s="41">
        <v>95.504999999999995</v>
      </c>
      <c r="O95" s="41">
        <v>71.748000000000005</v>
      </c>
      <c r="P95" s="41">
        <v>30.5</v>
      </c>
      <c r="Q95" s="41">
        <v>48.25</v>
      </c>
      <c r="R95" s="41">
        <v>47.502000000000002</v>
      </c>
      <c r="S95" s="41">
        <v>77.5</v>
      </c>
      <c r="T95" s="41">
        <v>98.76</v>
      </c>
      <c r="U95" s="41">
        <v>52.505000000000003</v>
      </c>
      <c r="V95" s="41">
        <v>52.25</v>
      </c>
    </row>
    <row r="96" spans="7:22" x14ac:dyDescent="0.4">
      <c r="G96" s="20"/>
      <c r="H96" s="20"/>
      <c r="I96" s="20"/>
      <c r="J96" s="20" t="str">
        <f xml:space="preserve"> _xll.EPMOlapMemberO("[KEY_FIGURES].[].[DEMANDPLANNINGQTY]","","Demand Planning Qty","","000")</f>
        <v>Demand Planning Qty</v>
      </c>
      <c r="K96" s="23">
        <v>0</v>
      </c>
      <c r="L96" s="23">
        <v>0</v>
      </c>
      <c r="M96" s="23">
        <v>0</v>
      </c>
      <c r="N96" s="23">
        <v>0</v>
      </c>
      <c r="O96" s="23">
        <v>0</v>
      </c>
      <c r="P96" s="23"/>
      <c r="Q96" s="23"/>
      <c r="R96" s="23"/>
      <c r="S96" s="23"/>
      <c r="T96" s="23"/>
      <c r="U96" s="23"/>
      <c r="V96" s="23"/>
    </row>
    <row r="97" spans="7:22" x14ac:dyDescent="0.4">
      <c r="G97" s="20"/>
      <c r="H97" s="20"/>
      <c r="I97" s="20"/>
      <c r="J97" s="20" t="str">
        <f xml:space="preserve"> _xll.EPMOlapMemberO("[KEY_FIGURES].[].[FINALCONSENSUSDEMAND]","","Consensus Demand","","000")</f>
        <v>Consensus Demand</v>
      </c>
      <c r="K97" s="23">
        <v>76.5</v>
      </c>
      <c r="L97" s="23">
        <v>99.248000000000005</v>
      </c>
      <c r="M97" s="23">
        <v>69.75</v>
      </c>
      <c r="N97" s="23">
        <v>95.504999999999995</v>
      </c>
      <c r="O97" s="23">
        <v>71.748000000000005</v>
      </c>
      <c r="P97" s="23">
        <v>30.5</v>
      </c>
      <c r="Q97" s="23">
        <v>48.25</v>
      </c>
      <c r="R97" s="23">
        <v>47.502000000000002</v>
      </c>
      <c r="S97" s="23">
        <v>77.5</v>
      </c>
      <c r="T97" s="23">
        <v>98.76</v>
      </c>
      <c r="U97" s="23">
        <v>52.505000000000003</v>
      </c>
      <c r="V97" s="23">
        <v>52.25</v>
      </c>
    </row>
    <row r="98" spans="7:22" x14ac:dyDescent="0.4">
      <c r="G98" s="20"/>
      <c r="H98" s="20"/>
      <c r="I98" s="20"/>
      <c r="J98" s="20" t="str">
        <f xml:space="preserve"> _xll.EPMOlapMemberO("[KEY_FIGURES].[].[ADJDELIVQTY]","","Delivered Qty Adjusted","","000")</f>
        <v>Delivered Qty Adjusted</v>
      </c>
      <c r="K98" s="41">
        <v>93</v>
      </c>
      <c r="L98" s="41">
        <v>56</v>
      </c>
      <c r="M98" s="41">
        <v>93</v>
      </c>
      <c r="N98" s="41">
        <v>112</v>
      </c>
      <c r="O98" s="41">
        <v>62</v>
      </c>
      <c r="P98" s="41">
        <v>45</v>
      </c>
      <c r="Q98" s="41">
        <v>58</v>
      </c>
      <c r="R98" s="41">
        <v>26</v>
      </c>
      <c r="S98" s="41">
        <v>50</v>
      </c>
      <c r="T98" s="41">
        <v>92</v>
      </c>
      <c r="U98" s="41">
        <v>54</v>
      </c>
      <c r="V98" s="41">
        <v>44</v>
      </c>
    </row>
    <row r="99" spans="7:22" x14ac:dyDescent="0.4">
      <c r="G99" s="20"/>
      <c r="H99" s="20"/>
      <c r="I99" s="20"/>
      <c r="J99" s="20" t="str">
        <f xml:space="preserve"> _xll.EPMOlapMemberO("[KEY_FIGURES].[].[ACTUALSREV]","","Actuals Revenue","","000")</f>
        <v>Actuals Revenue</v>
      </c>
      <c r="K99" s="41"/>
      <c r="L99" s="41"/>
      <c r="M99" s="41"/>
      <c r="N99" s="41"/>
      <c r="O99" s="41"/>
      <c r="P99" s="41"/>
      <c r="Q99" s="41"/>
      <c r="R99" s="41"/>
      <c r="S99" s="41"/>
      <c r="T99" s="41"/>
      <c r="U99" s="41"/>
      <c r="V99" s="41"/>
    </row>
    <row r="100" spans="7:22" x14ac:dyDescent="0.4">
      <c r="G100" s="20"/>
      <c r="H100" s="20"/>
      <c r="I100" s="20"/>
      <c r="J100" s="20" t="str">
        <f xml:space="preserve"> _xll.EPMOlapMemberO("[KEY_FIGURES].[].[CONFQTY]","","Confirmed Qty","","000")</f>
        <v>Confirmed Qty</v>
      </c>
      <c r="K100" s="23"/>
      <c r="L100" s="23"/>
      <c r="M100" s="23"/>
      <c r="N100" s="23"/>
      <c r="O100" s="23"/>
      <c r="P100" s="23"/>
      <c r="Q100" s="23"/>
      <c r="R100" s="23"/>
      <c r="S100" s="23"/>
      <c r="T100" s="23"/>
      <c r="U100" s="23"/>
      <c r="V100" s="23"/>
    </row>
    <row r="101" spans="7:22" x14ac:dyDescent="0.4">
      <c r="G101" s="20" t="str">
        <f xml:space="preserve"> _xll.EPMOlapMemberO("[PRDID].[].[HT_005]","","HT_005","","000")</f>
        <v>HT_005</v>
      </c>
      <c r="H101" s="20" t="str">
        <f xml:space="preserve"> _xll.EPMOlapMemberO("[LOCID].[].[HD_DC_CA_E]","","HD_DC_CA_E","","000")</f>
        <v>HD_DC_CA_E</v>
      </c>
      <c r="I101" s="20" t="str">
        <f xml:space="preserve"> _xll.EPMOlapMemberO("[ABCID].[].[C]","","C","","000")</f>
        <v>C</v>
      </c>
      <c r="J101" s="20" t="str">
        <f xml:space="preserve"> _xll.EPMOlapMemberO("[KEY_FIGURES].[].[CONSENSUSDEMAND]","","Consensus Demand without Promotion","","000")</f>
        <v>Consensus Demand without Promotion</v>
      </c>
      <c r="K101" s="41"/>
      <c r="L101" s="41"/>
      <c r="M101" s="41"/>
      <c r="N101" s="41"/>
      <c r="O101" s="41"/>
      <c r="P101" s="41"/>
      <c r="Q101" s="41"/>
      <c r="R101" s="41"/>
      <c r="S101" s="41"/>
      <c r="T101" s="41"/>
      <c r="U101" s="41"/>
      <c r="V101" s="41"/>
    </row>
    <row r="102" spans="7:22" x14ac:dyDescent="0.4">
      <c r="G102" s="20"/>
      <c r="H102" s="20"/>
      <c r="I102" s="20"/>
      <c r="J102" s="20" t="str">
        <f xml:space="preserve"> _xll.EPMOlapMemberO("[KEY_FIGURES].[].[DEMANDPLANNINGQTY]","","Demand Planning Qty","","000")</f>
        <v>Demand Planning Qty</v>
      </c>
      <c r="K102" s="23">
        <v>0</v>
      </c>
      <c r="L102" s="23">
        <v>0</v>
      </c>
      <c r="M102" s="23">
        <v>0</v>
      </c>
      <c r="N102" s="23">
        <v>0</v>
      </c>
      <c r="O102" s="23">
        <v>0</v>
      </c>
      <c r="P102" s="23"/>
      <c r="Q102" s="23"/>
      <c r="R102" s="23"/>
      <c r="S102" s="23"/>
      <c r="T102" s="23"/>
      <c r="U102" s="23"/>
      <c r="V102" s="23"/>
    </row>
    <row r="103" spans="7:22" x14ac:dyDescent="0.4">
      <c r="G103" s="20"/>
      <c r="H103" s="20"/>
      <c r="I103" s="20"/>
      <c r="J103" s="20" t="str">
        <f xml:space="preserve"> _xll.EPMOlapMemberO("[KEY_FIGURES].[].[FINALCONSENSUSDEMAND]","","Consensus Demand","","000")</f>
        <v>Consensus Demand</v>
      </c>
      <c r="K103" s="23">
        <v>0</v>
      </c>
      <c r="L103" s="23">
        <v>0</v>
      </c>
      <c r="M103" s="23">
        <v>0</v>
      </c>
      <c r="N103" s="23">
        <v>0</v>
      </c>
      <c r="O103" s="23">
        <v>0</v>
      </c>
      <c r="P103" s="23"/>
      <c r="Q103" s="23"/>
      <c r="R103" s="23"/>
      <c r="S103" s="23"/>
      <c r="T103" s="23"/>
      <c r="U103" s="23"/>
      <c r="V103" s="23"/>
    </row>
    <row r="104" spans="7:22" x14ac:dyDescent="0.4">
      <c r="G104" s="20"/>
      <c r="H104" s="20"/>
      <c r="I104" s="20"/>
      <c r="J104" s="20" t="str">
        <f xml:space="preserve"> _xll.EPMOlapMemberO("[KEY_FIGURES].[].[ADJDELIVQTY]","","Delivered Qty Adjusted","","000")</f>
        <v>Delivered Qty Adjusted</v>
      </c>
      <c r="K104" s="41"/>
      <c r="L104" s="41"/>
      <c r="M104" s="41"/>
      <c r="N104" s="41"/>
      <c r="O104" s="41"/>
      <c r="P104" s="41"/>
      <c r="Q104" s="41"/>
      <c r="R104" s="41"/>
      <c r="S104" s="41"/>
      <c r="T104" s="41"/>
      <c r="U104" s="41"/>
      <c r="V104" s="41"/>
    </row>
    <row r="105" spans="7:22" x14ac:dyDescent="0.4">
      <c r="G105" s="20"/>
      <c r="H105" s="20"/>
      <c r="I105" s="20"/>
      <c r="J105" s="20" t="str">
        <f xml:space="preserve"> _xll.EPMOlapMemberO("[KEY_FIGURES].[].[ACTUALSREV]","","Actuals Revenue","","000")</f>
        <v>Actuals Revenue</v>
      </c>
      <c r="K105" s="41"/>
      <c r="L105" s="41"/>
      <c r="M105" s="41"/>
      <c r="N105" s="41"/>
      <c r="O105" s="41"/>
      <c r="P105" s="41"/>
      <c r="Q105" s="41"/>
      <c r="R105" s="41"/>
      <c r="S105" s="41"/>
      <c r="T105" s="41"/>
      <c r="U105" s="41"/>
      <c r="V105" s="41"/>
    </row>
    <row r="106" spans="7:22" x14ac:dyDescent="0.4">
      <c r="G106" s="20"/>
      <c r="H106" s="20"/>
      <c r="I106" s="20"/>
      <c r="J106" s="20" t="str">
        <f xml:space="preserve"> _xll.EPMOlapMemberO("[KEY_FIGURES].[].[CONFQTY]","","Confirmed Qty","","000")</f>
        <v>Confirmed Qty</v>
      </c>
      <c r="K106" s="23"/>
      <c r="L106" s="23"/>
      <c r="M106" s="23"/>
      <c r="N106" s="23"/>
      <c r="O106" s="23"/>
      <c r="P106" s="23"/>
      <c r="Q106" s="23"/>
      <c r="R106" s="23"/>
      <c r="S106" s="23"/>
      <c r="T106" s="23"/>
      <c r="U106" s="23"/>
      <c r="V106" s="23"/>
    </row>
    <row r="107" spans="7:22" x14ac:dyDescent="0.4">
      <c r="G107" s="20"/>
      <c r="H107" s="20" t="str">
        <f xml:space="preserve"> _xll.EPMOlapMemberO("[LOCID].[].[HD_DC_FR]","","HD_DC_FR","","000")</f>
        <v>HD_DC_FR</v>
      </c>
      <c r="I107" s="20" t="str">
        <f xml:space="preserve"> _xll.EPMOlapMemberO("[ABCID].[].[C]","","C","","000")</f>
        <v>C</v>
      </c>
      <c r="J107" s="20" t="str">
        <f xml:space="preserve"> _xll.EPMOlapMemberO("[KEY_FIGURES].[].[CONSENSUSDEMAND]","","Consensus Demand without Promotion","","000")</f>
        <v>Consensus Demand without Promotion</v>
      </c>
      <c r="K107" s="41"/>
      <c r="L107" s="41"/>
      <c r="M107" s="41"/>
      <c r="N107" s="41"/>
      <c r="O107" s="41"/>
      <c r="P107" s="41"/>
      <c r="Q107" s="41"/>
      <c r="R107" s="41"/>
      <c r="S107" s="41"/>
      <c r="T107" s="41"/>
      <c r="U107" s="41"/>
      <c r="V107" s="41"/>
    </row>
    <row r="108" spans="7:22" x14ac:dyDescent="0.4">
      <c r="G108" s="20"/>
      <c r="H108" s="20"/>
      <c r="I108" s="20"/>
      <c r="J108" s="20" t="str">
        <f xml:space="preserve"> _xll.EPMOlapMemberO("[KEY_FIGURES].[].[DEMANDPLANNINGQTY]","","Demand Planning Qty","","000")</f>
        <v>Demand Planning Qty</v>
      </c>
      <c r="K108" s="23">
        <v>0</v>
      </c>
      <c r="L108" s="23">
        <v>0</v>
      </c>
      <c r="M108" s="23">
        <v>0</v>
      </c>
      <c r="N108" s="23">
        <v>0</v>
      </c>
      <c r="O108" s="23">
        <v>0</v>
      </c>
      <c r="P108" s="23"/>
      <c r="Q108" s="23"/>
      <c r="R108" s="23"/>
      <c r="S108" s="23"/>
      <c r="T108" s="23"/>
      <c r="U108" s="23"/>
      <c r="V108" s="23"/>
    </row>
    <row r="109" spans="7:22" x14ac:dyDescent="0.4">
      <c r="G109" s="20"/>
      <c r="H109" s="20"/>
      <c r="I109" s="20"/>
      <c r="J109" s="20" t="str">
        <f xml:space="preserve"> _xll.EPMOlapMemberO("[KEY_FIGURES].[].[FINALCONSENSUSDEMAND]","","Consensus Demand","","000")</f>
        <v>Consensus Demand</v>
      </c>
      <c r="K109" s="23">
        <v>0</v>
      </c>
      <c r="L109" s="23">
        <v>0</v>
      </c>
      <c r="M109" s="23">
        <v>0</v>
      </c>
      <c r="N109" s="23">
        <v>0</v>
      </c>
      <c r="O109" s="23">
        <v>0</v>
      </c>
      <c r="P109" s="23"/>
      <c r="Q109" s="23"/>
      <c r="R109" s="23"/>
      <c r="S109" s="23"/>
      <c r="T109" s="23"/>
      <c r="U109" s="23"/>
      <c r="V109" s="23"/>
    </row>
    <row r="110" spans="7:22" x14ac:dyDescent="0.4">
      <c r="G110" s="20"/>
      <c r="H110" s="20"/>
      <c r="I110" s="20"/>
      <c r="J110" s="20" t="str">
        <f xml:space="preserve"> _xll.EPMOlapMemberO("[KEY_FIGURES].[].[ADJDELIVQTY]","","Delivered Qty Adjusted","","000")</f>
        <v>Delivered Qty Adjusted</v>
      </c>
      <c r="K110" s="41"/>
      <c r="L110" s="41"/>
      <c r="M110" s="41"/>
      <c r="N110" s="41"/>
      <c r="O110" s="41"/>
      <c r="P110" s="41"/>
      <c r="Q110" s="41"/>
      <c r="R110" s="41"/>
      <c r="S110" s="41"/>
      <c r="T110" s="41"/>
      <c r="U110" s="41"/>
      <c r="V110" s="41"/>
    </row>
    <row r="111" spans="7:22" x14ac:dyDescent="0.4">
      <c r="G111" s="20"/>
      <c r="H111" s="20"/>
      <c r="I111" s="20"/>
      <c r="J111" s="20" t="str">
        <f xml:space="preserve"> _xll.EPMOlapMemberO("[KEY_FIGURES].[].[ACTUALSREV]","","Actuals Revenue","","000")</f>
        <v>Actuals Revenue</v>
      </c>
      <c r="K111" s="41"/>
      <c r="L111" s="41"/>
      <c r="M111" s="41"/>
      <c r="N111" s="41"/>
      <c r="O111" s="41"/>
      <c r="P111" s="41"/>
      <c r="Q111" s="41"/>
      <c r="R111" s="41"/>
      <c r="S111" s="41"/>
      <c r="T111" s="41"/>
      <c r="U111" s="41"/>
      <c r="V111" s="41"/>
    </row>
    <row r="112" spans="7:22" x14ac:dyDescent="0.4">
      <c r="G112" s="20"/>
      <c r="H112" s="20"/>
      <c r="I112" s="20"/>
      <c r="J112" s="20" t="str">
        <f xml:space="preserve"> _xll.EPMOlapMemberO("[KEY_FIGURES].[].[CONFQTY]","","Confirmed Qty","","000")</f>
        <v>Confirmed Qty</v>
      </c>
      <c r="K112" s="23"/>
      <c r="L112" s="23"/>
      <c r="M112" s="23"/>
      <c r="N112" s="23"/>
      <c r="O112" s="23"/>
      <c r="P112" s="23"/>
      <c r="Q112" s="23"/>
      <c r="R112" s="23"/>
      <c r="S112" s="23"/>
      <c r="T112" s="23"/>
      <c r="U112" s="23"/>
      <c r="V112" s="23"/>
    </row>
    <row r="113" spans="7:22" x14ac:dyDescent="0.4">
      <c r="G113" s="20"/>
      <c r="H113" s="20" t="str">
        <f xml:space="preserve"> _xll.EPMOlapMemberO("[LOCID].[].[HD_DC_US_E]","","HD_DC_US_E","","000")</f>
        <v>HD_DC_US_E</v>
      </c>
      <c r="I113" s="20" t="str">
        <f xml:space="preserve"> _xll.EPMOlapMemberO("[ABCID].[].[C]","","C","","000")</f>
        <v>C</v>
      </c>
      <c r="J113" s="20" t="str">
        <f xml:space="preserve"> _xll.EPMOlapMemberO("[KEY_FIGURES].[].[CONSENSUSDEMAND]","","Consensus Demand without Promotion","","000")</f>
        <v>Consensus Demand without Promotion</v>
      </c>
      <c r="K113" s="41"/>
      <c r="L113" s="41"/>
      <c r="M113" s="41"/>
      <c r="N113" s="41"/>
      <c r="O113" s="41"/>
      <c r="P113" s="41"/>
      <c r="Q113" s="41"/>
      <c r="R113" s="41"/>
      <c r="S113" s="41"/>
      <c r="T113" s="41"/>
      <c r="U113" s="41"/>
      <c r="V113" s="41"/>
    </row>
    <row r="114" spans="7:22" x14ac:dyDescent="0.4">
      <c r="G114" s="20"/>
      <c r="H114" s="20"/>
      <c r="I114" s="20"/>
      <c r="J114" s="20" t="str">
        <f xml:space="preserve"> _xll.EPMOlapMemberO("[KEY_FIGURES].[].[DEMANDPLANNINGQTY]","","Demand Planning Qty","","000")</f>
        <v>Demand Planning Qty</v>
      </c>
      <c r="K114" s="23">
        <v>0</v>
      </c>
      <c r="L114" s="23">
        <v>0</v>
      </c>
      <c r="M114" s="23">
        <v>0</v>
      </c>
      <c r="N114" s="23">
        <v>0</v>
      </c>
      <c r="O114" s="23">
        <v>0</v>
      </c>
      <c r="P114" s="23"/>
      <c r="Q114" s="23"/>
      <c r="R114" s="23"/>
      <c r="S114" s="23"/>
      <c r="T114" s="23"/>
      <c r="U114" s="23"/>
      <c r="V114" s="23"/>
    </row>
    <row r="115" spans="7:22" x14ac:dyDescent="0.4">
      <c r="G115" s="20"/>
      <c r="H115" s="20"/>
      <c r="I115" s="20"/>
      <c r="J115" s="20" t="str">
        <f xml:space="preserve"> _xll.EPMOlapMemberO("[KEY_FIGURES].[].[FINALCONSENSUSDEMAND]","","Consensus Demand","","000")</f>
        <v>Consensus Demand</v>
      </c>
      <c r="K115" s="23">
        <v>0</v>
      </c>
      <c r="L115" s="23">
        <v>0</v>
      </c>
      <c r="M115" s="23">
        <v>0</v>
      </c>
      <c r="N115" s="23">
        <v>0</v>
      </c>
      <c r="O115" s="23">
        <v>0</v>
      </c>
      <c r="P115" s="23"/>
      <c r="Q115" s="23"/>
      <c r="R115" s="23"/>
      <c r="S115" s="23"/>
      <c r="T115" s="23"/>
      <c r="U115" s="23"/>
      <c r="V115" s="23"/>
    </row>
    <row r="116" spans="7:22" x14ac:dyDescent="0.4">
      <c r="G116" s="20"/>
      <c r="H116" s="20"/>
      <c r="I116" s="20"/>
      <c r="J116" s="20" t="str">
        <f xml:space="preserve"> _xll.EPMOlapMemberO("[KEY_FIGURES].[].[ADJDELIVQTY]","","Delivered Qty Adjusted","","000")</f>
        <v>Delivered Qty Adjusted</v>
      </c>
      <c r="K116" s="41"/>
      <c r="L116" s="41"/>
      <c r="M116" s="41"/>
      <c r="N116" s="41"/>
      <c r="O116" s="41"/>
      <c r="P116" s="41"/>
      <c r="Q116" s="41"/>
      <c r="R116" s="41"/>
      <c r="S116" s="41"/>
      <c r="T116" s="41"/>
      <c r="U116" s="41"/>
      <c r="V116" s="41"/>
    </row>
    <row r="117" spans="7:22" x14ac:dyDescent="0.4">
      <c r="G117" s="20"/>
      <c r="H117" s="20"/>
      <c r="I117" s="20"/>
      <c r="J117" s="20" t="str">
        <f xml:space="preserve"> _xll.EPMOlapMemberO("[KEY_FIGURES].[].[ACTUALSREV]","","Actuals Revenue","","000")</f>
        <v>Actuals Revenue</v>
      </c>
      <c r="K117" s="41"/>
      <c r="L117" s="41"/>
      <c r="M117" s="41"/>
      <c r="N117" s="41"/>
      <c r="O117" s="41"/>
      <c r="P117" s="41"/>
      <c r="Q117" s="41"/>
      <c r="R117" s="41"/>
      <c r="S117" s="41"/>
      <c r="T117" s="41"/>
      <c r="U117" s="41"/>
      <c r="V117" s="41"/>
    </row>
    <row r="118" spans="7:22" x14ac:dyDescent="0.4">
      <c r="G118" s="20"/>
      <c r="H118" s="20"/>
      <c r="I118" s="20"/>
      <c r="J118" s="20" t="str">
        <f xml:space="preserve"> _xll.EPMOlapMemberO("[KEY_FIGURES].[].[CONFQTY]","","Confirmed Qty","","000")</f>
        <v>Confirmed Qty</v>
      </c>
      <c r="K118" s="23"/>
      <c r="L118" s="23"/>
      <c r="M118" s="23"/>
      <c r="N118" s="23"/>
      <c r="O118" s="23"/>
      <c r="P118" s="23"/>
      <c r="Q118" s="23"/>
      <c r="R118" s="23"/>
      <c r="S118" s="23"/>
      <c r="T118" s="23"/>
      <c r="U118" s="23"/>
      <c r="V118" s="23"/>
    </row>
    <row r="119" spans="7:22" x14ac:dyDescent="0.4">
      <c r="G119" s="20"/>
      <c r="H119" s="20" t="str">
        <f xml:space="preserve"> _xll.EPMOlapMemberO("[LOCID].[].[HD_DC_US_W]","","HD_DC_US_W","","000")</f>
        <v>HD_DC_US_W</v>
      </c>
      <c r="I119" s="20" t="str">
        <f xml:space="preserve"> _xll.EPMOlapMemberO("[ABCID].[].[C]","","C","","000")</f>
        <v>C</v>
      </c>
      <c r="J119" s="20" t="str">
        <f xml:space="preserve"> _xll.EPMOlapMemberO("[KEY_FIGURES].[].[CONSENSUSDEMAND]","","Consensus Demand without Promotion","","000")</f>
        <v>Consensus Demand without Promotion</v>
      </c>
      <c r="K119" s="41"/>
      <c r="L119" s="41"/>
      <c r="M119" s="41"/>
      <c r="N119" s="41"/>
      <c r="O119" s="41"/>
      <c r="P119" s="41"/>
      <c r="Q119" s="41"/>
      <c r="R119" s="41"/>
      <c r="S119" s="41"/>
      <c r="T119" s="41"/>
      <c r="U119" s="41"/>
      <c r="V119" s="41"/>
    </row>
    <row r="120" spans="7:22" x14ac:dyDescent="0.4">
      <c r="G120" s="20"/>
      <c r="H120" s="20"/>
      <c r="I120" s="20"/>
      <c r="J120" s="20" t="str">
        <f xml:space="preserve"> _xll.EPMOlapMemberO("[KEY_FIGURES].[].[DEMANDPLANNINGQTY]","","Demand Planning Qty","","000")</f>
        <v>Demand Planning Qty</v>
      </c>
      <c r="K120" s="23">
        <v>0</v>
      </c>
      <c r="L120" s="23">
        <v>0</v>
      </c>
      <c r="M120" s="23">
        <v>0</v>
      </c>
      <c r="N120" s="23">
        <v>0</v>
      </c>
      <c r="O120" s="23">
        <v>0</v>
      </c>
      <c r="P120" s="23"/>
      <c r="Q120" s="23"/>
      <c r="R120" s="23"/>
      <c r="S120" s="23"/>
      <c r="T120" s="23"/>
      <c r="U120" s="23"/>
      <c r="V120" s="23"/>
    </row>
    <row r="121" spans="7:22" x14ac:dyDescent="0.4">
      <c r="G121" s="20"/>
      <c r="H121" s="20"/>
      <c r="I121" s="20"/>
      <c r="J121" s="20" t="str">
        <f xml:space="preserve"> _xll.EPMOlapMemberO("[KEY_FIGURES].[].[FINALCONSENSUSDEMAND]","","Consensus Demand","","000")</f>
        <v>Consensus Demand</v>
      </c>
      <c r="K121" s="23">
        <v>0</v>
      </c>
      <c r="L121" s="23">
        <v>0</v>
      </c>
      <c r="M121" s="23">
        <v>0</v>
      </c>
      <c r="N121" s="23">
        <v>0</v>
      </c>
      <c r="O121" s="23">
        <v>0</v>
      </c>
      <c r="P121" s="23"/>
      <c r="Q121" s="23"/>
      <c r="R121" s="23"/>
      <c r="S121" s="23"/>
      <c r="T121" s="23"/>
      <c r="U121" s="23"/>
      <c r="V121" s="23"/>
    </row>
    <row r="122" spans="7:22" x14ac:dyDescent="0.4">
      <c r="G122" s="20"/>
      <c r="H122" s="20"/>
      <c r="I122" s="20"/>
      <c r="J122" s="20" t="str">
        <f xml:space="preserve"> _xll.EPMOlapMemberO("[KEY_FIGURES].[].[ADJDELIVQTY]","","Delivered Qty Adjusted","","000")</f>
        <v>Delivered Qty Adjusted</v>
      </c>
      <c r="K122" s="41"/>
      <c r="L122" s="41"/>
      <c r="M122" s="41"/>
      <c r="N122" s="41"/>
      <c r="O122" s="41"/>
      <c r="P122" s="41"/>
      <c r="Q122" s="41"/>
      <c r="R122" s="41"/>
      <c r="S122" s="41"/>
      <c r="T122" s="41"/>
      <c r="U122" s="41"/>
      <c r="V122" s="41"/>
    </row>
    <row r="123" spans="7:22" x14ac:dyDescent="0.4">
      <c r="G123" s="20"/>
      <c r="H123" s="20"/>
      <c r="I123" s="20"/>
      <c r="J123" s="20" t="str">
        <f xml:space="preserve"> _xll.EPMOlapMemberO("[KEY_FIGURES].[].[ACTUALSREV]","","Actuals Revenue","","000")</f>
        <v>Actuals Revenue</v>
      </c>
      <c r="K123" s="41"/>
      <c r="L123" s="41"/>
      <c r="M123" s="41"/>
      <c r="N123" s="41"/>
      <c r="O123" s="41"/>
      <c r="P123" s="41"/>
      <c r="Q123" s="41"/>
      <c r="R123" s="41"/>
      <c r="S123" s="41"/>
      <c r="T123" s="41"/>
      <c r="U123" s="41"/>
      <c r="V123" s="41"/>
    </row>
    <row r="124" spans="7:22" x14ac:dyDescent="0.4">
      <c r="G124" s="20"/>
      <c r="H124" s="20"/>
      <c r="I124" s="20"/>
      <c r="J124" s="20" t="str">
        <f xml:space="preserve"> _xll.EPMOlapMemberO("[KEY_FIGURES].[].[CONFQTY]","","Confirmed Qty","","000")</f>
        <v>Confirmed Qty</v>
      </c>
      <c r="K124" s="23"/>
      <c r="L124" s="23"/>
      <c r="M124" s="23"/>
      <c r="N124" s="23"/>
      <c r="O124" s="23"/>
      <c r="P124" s="23"/>
      <c r="Q124" s="23"/>
      <c r="R124" s="23"/>
      <c r="S124" s="23"/>
      <c r="T124" s="23"/>
      <c r="U124" s="23"/>
      <c r="V124" s="23"/>
    </row>
  </sheetData>
  <sheetProtection autoFilter="0"/>
  <mergeCells count="5">
    <mergeCell ref="A1:J1"/>
    <mergeCell ref="K1:P1"/>
    <mergeCell ref="Q1:V1"/>
    <mergeCell ref="A2:J2"/>
    <mergeCell ref="K2:V2"/>
  </mergeCells>
  <pageMargins left="0.7" right="0.7" top="0.75" bottom="0.75" header="0.3" footer="0.3"/>
  <pageSetup orientation="portrait" horizontalDpi="300" r:id="rId1"/>
  <customProperties>
    <customPr name="EpmWorksheetKeyString_GUID" r:id="rId2"/>
    <customPr name="FPMExcelClientRefreshTime" r:id="rId3"/>
    <customPr name="IbpWorksheetKeyString_GUID" r:id="rId4"/>
  </customProperties>
  <drawing r:id="rId5"/>
  <legacyDrawing r:id="rId6"/>
  <picture r:id="rId7"/>
  <controls>
    <mc:AlternateContent xmlns:mc="http://schemas.openxmlformats.org/markup-compatibility/2006">
      <mc:Choice Requires="x14">
        <control shapeId="3134" r:id="rId8" name="ReportSubmitControl_1tb1">
          <controlPr defaultSize="0" autoLine="0" autoPict="0" r:id="rId9">
            <anchor moveWithCells="1" sizeWithCells="1">
              <from>
                <xdr:col>0</xdr:col>
                <xdr:colOff>0</xdr:colOff>
                <xdr:row>0</xdr:row>
                <xdr:rowOff>0</xdr:rowOff>
              </from>
              <to>
                <xdr:col>5</xdr:col>
                <xdr:colOff>97971</xdr:colOff>
                <xdr:row>0</xdr:row>
                <xdr:rowOff>0</xdr:rowOff>
              </to>
            </anchor>
          </controlPr>
        </control>
      </mc:Choice>
      <mc:Fallback>
        <control shapeId="3134" r:id="rId8" name="ReportSubmitControl_1tb1"/>
      </mc:Fallback>
    </mc:AlternateContent>
    <mc:AlternateContent xmlns:mc="http://schemas.openxmlformats.org/markup-compatibility/2006">
      <mc:Choice Requires="x14">
        <control shapeId="3133" r:id="rId10" name="ReportSubmitManagerControltb1">
          <controlPr defaultSize="0" autoLine="0" autoPict="0" r:id="rId11">
            <anchor moveWithCells="1" sizeWithCells="1">
              <from>
                <xdr:col>0</xdr:col>
                <xdr:colOff>0</xdr:colOff>
                <xdr:row>0</xdr:row>
                <xdr:rowOff>0</xdr:rowOff>
              </from>
              <to>
                <xdr:col>5</xdr:col>
                <xdr:colOff>97971</xdr:colOff>
                <xdr:row>0</xdr:row>
                <xdr:rowOff>0</xdr:rowOff>
              </to>
            </anchor>
          </controlPr>
        </control>
      </mc:Choice>
      <mc:Fallback>
        <control shapeId="3133" r:id="rId10" name="ReportSubmitManagerControltb1"/>
      </mc:Fallback>
    </mc:AlternateContent>
    <mc:AlternateContent xmlns:mc="http://schemas.openxmlformats.org/markup-compatibility/2006">
      <mc:Choice Requires="x14">
        <control shapeId="3132" r:id="rId12" name="MultipleReportManagerInfotb1">
          <controlPr defaultSize="0" autoLine="0" autoPict="0" r:id="rId13">
            <anchor moveWithCells="1" sizeWithCells="1">
              <from>
                <xdr:col>0</xdr:col>
                <xdr:colOff>0</xdr:colOff>
                <xdr:row>0</xdr:row>
                <xdr:rowOff>0</xdr:rowOff>
              </from>
              <to>
                <xdr:col>5</xdr:col>
                <xdr:colOff>97971</xdr:colOff>
                <xdr:row>0</xdr:row>
                <xdr:rowOff>0</xdr:rowOff>
              </to>
            </anchor>
          </controlPr>
        </control>
      </mc:Choice>
      <mc:Fallback>
        <control shapeId="3132" r:id="rId12" name="MultipleReportManagerInfotb1"/>
      </mc:Fallback>
    </mc:AlternateContent>
    <mc:AlternateContent xmlns:mc="http://schemas.openxmlformats.org/markup-compatibility/2006">
      <mc:Choice Requires="x14">
        <control shapeId="3131" r:id="rId14" name="ConnectionDescriptorsInfotb1">
          <controlPr defaultSize="0" autoLine="0" autoPict="0" r:id="rId15">
            <anchor moveWithCells="1" sizeWithCells="1">
              <from>
                <xdr:col>0</xdr:col>
                <xdr:colOff>0</xdr:colOff>
                <xdr:row>0</xdr:row>
                <xdr:rowOff>0</xdr:rowOff>
              </from>
              <to>
                <xdr:col>5</xdr:col>
                <xdr:colOff>97971</xdr:colOff>
                <xdr:row>0</xdr:row>
                <xdr:rowOff>0</xdr:rowOff>
              </to>
            </anchor>
          </controlPr>
        </control>
      </mc:Choice>
      <mc:Fallback>
        <control shapeId="3131" r:id="rId14" name="ConnectionDescriptorsInfotb1"/>
      </mc:Fallback>
    </mc:AlternateContent>
    <mc:AlternateContent xmlns:mc="http://schemas.openxmlformats.org/markup-compatibility/2006">
      <mc:Choice Requires="x14">
        <control shapeId="3130" r:id="rId16" name="AnalyzerDynReport000tb1">
          <controlPr defaultSize="0" autoLine="0" autoPict="0" r:id="rId17">
            <anchor moveWithCells="1" sizeWithCells="1">
              <from>
                <xdr:col>0</xdr:col>
                <xdr:colOff>0</xdr:colOff>
                <xdr:row>0</xdr:row>
                <xdr:rowOff>0</xdr:rowOff>
              </from>
              <to>
                <xdr:col>5</xdr:col>
                <xdr:colOff>97971</xdr:colOff>
                <xdr:row>0</xdr:row>
                <xdr:rowOff>0</xdr:rowOff>
              </to>
            </anchor>
          </controlPr>
        </control>
      </mc:Choice>
      <mc:Fallback>
        <control shapeId="3130" r:id="rId16" name="AnalyzerDynReport000tb1"/>
      </mc:Fallback>
    </mc:AlternateContent>
    <mc:AlternateContent xmlns:mc="http://schemas.openxmlformats.org/markup-compatibility/2006">
      <mc:Choice Requires="x14">
        <control shapeId="3119" r:id="rId18" name="TextBox2">
          <controlPr defaultSize="0" disabled="1" autoLine="0" r:id="rId19">
            <anchor>
              <from>
                <xdr:col>7</xdr:col>
                <xdr:colOff>887186</xdr:colOff>
                <xdr:row>2</xdr:row>
                <xdr:rowOff>152400</xdr:rowOff>
              </from>
              <to>
                <xdr:col>8</xdr:col>
                <xdr:colOff>0</xdr:colOff>
                <xdr:row>2</xdr:row>
                <xdr:rowOff>157843</xdr:rowOff>
              </to>
            </anchor>
          </controlPr>
        </control>
      </mc:Choice>
      <mc:Fallback>
        <control shapeId="3119" r:id="rId18" name="TextBox2"/>
      </mc:Fallback>
    </mc:AlternateContent>
    <mc:AlternateContent xmlns:mc="http://schemas.openxmlformats.org/markup-compatibility/2006">
      <mc:Choice Requires="x14">
        <control shapeId="3115" r:id="rId20" name="TextBox1">
          <controlPr defaultSize="0" disabled="1" autoLine="0" r:id="rId21">
            <anchor>
              <from>
                <xdr:col>0</xdr:col>
                <xdr:colOff>38100</xdr:colOff>
                <xdr:row>2</xdr:row>
                <xdr:rowOff>152400</xdr:rowOff>
              </from>
              <to>
                <xdr:col>0</xdr:col>
                <xdr:colOff>43543</xdr:colOff>
                <xdr:row>2</xdr:row>
                <xdr:rowOff>157843</xdr:rowOff>
              </to>
            </anchor>
          </controlPr>
        </control>
      </mc:Choice>
      <mc:Fallback>
        <control shapeId="3115" r:id="rId20" name="TextBox1"/>
      </mc:Fallback>
    </mc:AlternateContent>
    <mc:AlternateContent xmlns:mc="http://schemas.openxmlformats.org/markup-compatibility/2006">
      <mc:Choice Requires="x14">
        <control shapeId="3093" r:id="rId22" name="FPMExcelClientSheetOptionstb1">
          <controlPr defaultSize="0" autoLine="0" r:id="rId23">
            <anchor moveWithCells="1" sizeWithCells="1">
              <from>
                <xdr:col>0</xdr:col>
                <xdr:colOff>0</xdr:colOff>
                <xdr:row>0</xdr:row>
                <xdr:rowOff>0</xdr:rowOff>
              </from>
              <to>
                <xdr:col>0</xdr:col>
                <xdr:colOff>0</xdr:colOff>
                <xdr:row>0</xdr:row>
                <xdr:rowOff>0</xdr:rowOff>
              </to>
            </anchor>
          </controlPr>
        </control>
      </mc:Choice>
      <mc:Fallback>
        <control shapeId="3093" r:id="rId22" name="FPMExcelClientSheetOptionstb1"/>
      </mc:Fallback>
    </mc:AlternateContent>
    <mc:AlternateContent xmlns:mc="http://schemas.openxmlformats.org/markup-compatibility/2006">
      <mc:Choice Requires="x14">
        <control shapeId="3135" r:id="rId24" name="ConnectionDescriptorsInfoHCtb1">
          <controlPr defaultSize="0" autoLine="0" r:id="rId25">
            <anchor moveWithCells="1">
              <from>
                <xdr:col>10</xdr:col>
                <xdr:colOff>0</xdr:colOff>
                <xdr:row>4</xdr:row>
                <xdr:rowOff>0</xdr:rowOff>
              </from>
              <to>
                <xdr:col>11</xdr:col>
                <xdr:colOff>310243</xdr:colOff>
                <xdr:row>4</xdr:row>
                <xdr:rowOff>5443</xdr:rowOff>
              </to>
            </anchor>
          </controlPr>
        </control>
      </mc:Choice>
      <mc:Fallback>
        <control shapeId="3135" r:id="rId24" name="ConnectionDescriptorsInfoHCtb1"/>
      </mc:Fallback>
    </mc:AlternateContent>
    <mc:AlternateContent xmlns:mc="http://schemas.openxmlformats.org/markup-compatibility/2006">
      <mc:Choice Requires="x14">
        <control shapeId="3136" r:id="rId26" name="ConnectionDescriptorsInfoDCtb1">
          <controlPr defaultSize="0" autoLine="0" r:id="rId27">
            <anchor moveWithCells="1">
              <from>
                <xdr:col>10</xdr:col>
                <xdr:colOff>0</xdr:colOff>
                <xdr:row>4</xdr:row>
                <xdr:rowOff>0</xdr:rowOff>
              </from>
              <to>
                <xdr:col>11</xdr:col>
                <xdr:colOff>310243</xdr:colOff>
                <xdr:row>4</xdr:row>
                <xdr:rowOff>5443</xdr:rowOff>
              </to>
            </anchor>
          </controlPr>
        </control>
      </mc:Choice>
      <mc:Fallback>
        <control shapeId="3136" r:id="rId26" name="ConnectionDescriptorsInfoDCtb1"/>
      </mc:Fallback>
    </mc:AlternateContent>
    <mc:AlternateContent xmlns:mc="http://schemas.openxmlformats.org/markup-compatibility/2006">
      <mc:Choice Requires="x14">
        <control shapeId="3137" r:id="rId28" name="MultipleReportManagerInfoHCtb1">
          <controlPr defaultSize="0" autoLine="0" r:id="rId29">
            <anchor moveWithCells="1">
              <from>
                <xdr:col>10</xdr:col>
                <xdr:colOff>0</xdr:colOff>
                <xdr:row>4</xdr:row>
                <xdr:rowOff>0</xdr:rowOff>
              </from>
              <to>
                <xdr:col>11</xdr:col>
                <xdr:colOff>310243</xdr:colOff>
                <xdr:row>4</xdr:row>
                <xdr:rowOff>5443</xdr:rowOff>
              </to>
            </anchor>
          </controlPr>
        </control>
      </mc:Choice>
      <mc:Fallback>
        <control shapeId="3137" r:id="rId28" name="MultipleReportManagerInfoHCtb1"/>
      </mc:Fallback>
    </mc:AlternateContent>
    <mc:AlternateContent xmlns:mc="http://schemas.openxmlformats.org/markup-compatibility/2006">
      <mc:Choice Requires="x14">
        <control shapeId="3138" r:id="rId30" name="MultipleReportManagerInfoDCtb1">
          <controlPr defaultSize="0" autoLine="0" r:id="rId31">
            <anchor moveWithCells="1">
              <from>
                <xdr:col>10</xdr:col>
                <xdr:colOff>0</xdr:colOff>
                <xdr:row>4</xdr:row>
                <xdr:rowOff>0</xdr:rowOff>
              </from>
              <to>
                <xdr:col>11</xdr:col>
                <xdr:colOff>310243</xdr:colOff>
                <xdr:row>4</xdr:row>
                <xdr:rowOff>5443</xdr:rowOff>
              </to>
            </anchor>
          </controlPr>
        </control>
      </mc:Choice>
      <mc:Fallback>
        <control shapeId="3138" r:id="rId30" name="MultipleReportManagerInfoDCtb1"/>
      </mc:Fallback>
    </mc:AlternateContent>
    <mc:AlternateContent xmlns:mc="http://schemas.openxmlformats.org/markup-compatibility/2006">
      <mc:Choice Requires="x14">
        <control shapeId="3139" r:id="rId32" name="ReportSubmitManagerControlHCtb1">
          <controlPr defaultSize="0" autoLine="0" r:id="rId33">
            <anchor moveWithCells="1">
              <from>
                <xdr:col>10</xdr:col>
                <xdr:colOff>0</xdr:colOff>
                <xdr:row>4</xdr:row>
                <xdr:rowOff>0</xdr:rowOff>
              </from>
              <to>
                <xdr:col>11</xdr:col>
                <xdr:colOff>310243</xdr:colOff>
                <xdr:row>4</xdr:row>
                <xdr:rowOff>5443</xdr:rowOff>
              </to>
            </anchor>
          </controlPr>
        </control>
      </mc:Choice>
      <mc:Fallback>
        <control shapeId="3139" r:id="rId32" name="ReportSubmitManagerControlHCtb1"/>
      </mc:Fallback>
    </mc:AlternateContent>
    <mc:AlternateContent xmlns:mc="http://schemas.openxmlformats.org/markup-compatibility/2006">
      <mc:Choice Requires="x14">
        <control shapeId="3140" r:id="rId34" name="ReportSubmitManagerControlDCtb1">
          <controlPr defaultSize="0" autoLine="0" r:id="rId35">
            <anchor moveWithCells="1">
              <from>
                <xdr:col>10</xdr:col>
                <xdr:colOff>0</xdr:colOff>
                <xdr:row>4</xdr:row>
                <xdr:rowOff>0</xdr:rowOff>
              </from>
              <to>
                <xdr:col>11</xdr:col>
                <xdr:colOff>310243</xdr:colOff>
                <xdr:row>4</xdr:row>
                <xdr:rowOff>5443</xdr:rowOff>
              </to>
            </anchor>
          </controlPr>
        </control>
      </mc:Choice>
      <mc:Fallback>
        <control shapeId="3140" r:id="rId34" name="ReportSubmitManagerControlDCtb1"/>
      </mc:Fallback>
    </mc:AlternateContent>
    <mc:AlternateContent xmlns:mc="http://schemas.openxmlformats.org/markup-compatibility/2006">
      <mc:Choice Requires="x14">
        <control shapeId="3141" r:id="rId36" name="ReportSubmitControl_1HCtb1">
          <controlPr defaultSize="0" autoLine="0" r:id="rId37">
            <anchor moveWithCells="1">
              <from>
                <xdr:col>10</xdr:col>
                <xdr:colOff>0</xdr:colOff>
                <xdr:row>4</xdr:row>
                <xdr:rowOff>0</xdr:rowOff>
              </from>
              <to>
                <xdr:col>11</xdr:col>
                <xdr:colOff>310243</xdr:colOff>
                <xdr:row>4</xdr:row>
                <xdr:rowOff>5443</xdr:rowOff>
              </to>
            </anchor>
          </controlPr>
        </control>
      </mc:Choice>
      <mc:Fallback>
        <control shapeId="3141" r:id="rId36" name="ReportSubmitControl_1HCtb1"/>
      </mc:Fallback>
    </mc:AlternateContent>
    <mc:AlternateContent xmlns:mc="http://schemas.openxmlformats.org/markup-compatibility/2006">
      <mc:Choice Requires="x14">
        <control shapeId="3142" r:id="rId38" name="ReportSubmitControl_1DCtb1">
          <controlPr defaultSize="0" autoLine="0" r:id="rId39">
            <anchor moveWithCells="1">
              <from>
                <xdr:col>10</xdr:col>
                <xdr:colOff>0</xdr:colOff>
                <xdr:row>4</xdr:row>
                <xdr:rowOff>0</xdr:rowOff>
              </from>
              <to>
                <xdr:col>11</xdr:col>
                <xdr:colOff>310243</xdr:colOff>
                <xdr:row>4</xdr:row>
                <xdr:rowOff>5443</xdr:rowOff>
              </to>
            </anchor>
          </controlPr>
        </control>
      </mc:Choice>
      <mc:Fallback>
        <control shapeId="3142" r:id="rId38" name="ReportSubmitControl_1DCtb1"/>
      </mc:Fallback>
    </mc:AlternateContent>
    <mc:AlternateContent xmlns:mc="http://schemas.openxmlformats.org/markup-compatibility/2006">
      <mc:Choice Requires="x14">
        <control shapeId="3146" r:id="rId40" name="AnalyzerDynReportHC000tb1">
          <controlPr defaultSize="0" autoLine="0" r:id="rId41">
            <anchor moveWithCells="1">
              <from>
                <xdr:col>10</xdr:col>
                <xdr:colOff>0</xdr:colOff>
                <xdr:row>4</xdr:row>
                <xdr:rowOff>0</xdr:rowOff>
              </from>
              <to>
                <xdr:col>11</xdr:col>
                <xdr:colOff>310243</xdr:colOff>
                <xdr:row>4</xdr:row>
                <xdr:rowOff>5443</xdr:rowOff>
              </to>
            </anchor>
          </controlPr>
        </control>
      </mc:Choice>
      <mc:Fallback>
        <control shapeId="3146" r:id="rId40" name="AnalyzerDynReportHC000tb1"/>
      </mc:Fallback>
    </mc:AlternateContent>
    <mc:AlternateContent xmlns:mc="http://schemas.openxmlformats.org/markup-compatibility/2006">
      <mc:Choice Requires="x14">
        <control shapeId="3147" r:id="rId42" name="AnalyzerDynReportDC000tb1">
          <controlPr defaultSize="0" autoLine="0" r:id="rId43">
            <anchor moveWithCells="1">
              <from>
                <xdr:col>10</xdr:col>
                <xdr:colOff>0</xdr:colOff>
                <xdr:row>4</xdr:row>
                <xdr:rowOff>0</xdr:rowOff>
              </from>
              <to>
                <xdr:col>11</xdr:col>
                <xdr:colOff>310243</xdr:colOff>
                <xdr:row>4</xdr:row>
                <xdr:rowOff>5443</xdr:rowOff>
              </to>
            </anchor>
          </controlPr>
        </control>
      </mc:Choice>
      <mc:Fallback>
        <control shapeId="3147" r:id="rId42" name="AnalyzerDynReportDC000tb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nfig xmlns="http://com.sap.sop/sopconfig">
  <ReportType xmlns="">SOP</ReportType>
  <template xmlns="">0001 Balazs Refernce Template</template>
  <favorite xmlns="">Change ABC Code</favorite>
  <bookSettings xmlns="">
    <scenarios>
      <value>__BASELINE</value>
    </scenarios>
    <simulations>
      <value>__PLAN</value>
    </simulations>
    <planningUnits>
      <planningVersion>__BASELINE</planningVersion>
      <planningScenario>__PLAN</planningScenario>
      <timeRelativeFromDays>0</timeRelativeFromDays>
      <timeRelativeToDays>0</timeRelativeToDays>
    </planningUnits>
  </bookSettings>
  <report_Sheet2 xmlns="">
    <settings>
      <time>
        <dimension>PERIODID3</dimension>
        <rolling>false</rolling>
        <realTime>false</realTime>
        <fromAbsolute>70613</fromAbsolute>
        <toAbsolute>70624</toAbsolute>
        <fromRelative>-30</fromRelative>
        <toRelative>29</toRelative>
        <fromTimeAbsolute>0001-01-01T00:00:00</fromTimeAbsolute>
        <toTimeAbsolute>0001-01-01T00:00:00</toTimeAbsolute>
        <fromTimeRelativeInDays>-30</fromTimeRelativeInDays>
        <toTimeRelativeInDays>29</toTimeRelativeInDays>
      </time>
      <planningLevels>
        <value>PRDID</value>
        <value>LOCID</value>
        <value>ABCID</value>
      </planningLevels>
      <keyFigures>
        <value>CONSENSUSDEMAND</value>
        <value>DEMANDPLANNINGQTY</value>
        <value>FINALCONSENSUSDEMAND</value>
        <value>ADJDELIVQTY</value>
        <value>ACTUALSREV</value>
        <value>CONFQTY</value>
      </keyFigures>
      <conversions>
        <conversion>
          <dimension>CURRTOID</dimension>
          <member>EUR</member>
        </conversion>
        <conversion>
          <dimension>UOMTOID</dimension>
          <member>PC</member>
        </conversion>
      </conversions>
      <rowAxis>
        <value>PRDID</value>
        <value>LOCID</value>
        <value>ABCID</value>
        <value>KEY_FIGURES</value>
      </rowAxis>
      <columnAxis>
        <value>PERIODID3</value>
      </columnAxis>
      <alerts/>
      <dimsDispOptnId>
        <value>LOCID</value>
      </dimsDispOptnId>
      <dimsDispOptnBoth/>
      <dimsTmpltFltrMandatory/>
      <dimsTmpltFltrOptional/>
      <alertsOnly>false</alertsOnly>
      <attributeSortings>
        <attributeSorting>
          <sortOrder>
            <sortOrderItem>__AZ</sortOrderItem>
          </sortOrder>
          <sortByDimension/>
          <dimensionId>PRDID</dimensionId>
          <description>Ascending</description>
          <name>A-Z</name>
          <id>-11</id>
        </attributeSorting>
        <attributeSorting>
          <sortOrder>
            <sortOrderItem>__AZ</sortOrderItem>
          </sortOrder>
          <sortByDimension/>
          <dimensionId>LOCID</dimensionId>
          <description>Ascending</description>
          <name>A-Z</name>
          <id>-11</id>
        </attributeSorting>
        <attributeSorting>
          <sortOrder>
            <sortOrderItem>__AZ</sortOrderItem>
          </sortOrder>
          <sortByDimension/>
          <dimensionId>ABCID</dimensionId>
          <description>Ascending</description>
          <name>A-Z</name>
          <id>-11</id>
        </attributeSorting>
      </attributeSortings>
    </settings>
    <filter>
      <name/>
      <id>0</id>
      <conditions>
        <condition>
          <dimension>PRDID</dimension>
          <operator>EQ</operator>
          <values>
            <value>HT_001</value>
            <value>HT_002</value>
            <value>HT_003</value>
            <value>HT_004</value>
            <value>HT_005</value>
          </values>
          <relations/>
        </condition>
      </conditions>
    </filter>
    <fixingInfos>AAEAAAD/////AQAAAAAAAAAMAgAAAFdGUE1YTENsaWVudC5CUENQcm94eSwgVmVyc2lvbj0yLjAuMC4xLCBDdWx0dXJlPW5ldXRyYWwsIFB1YmxpY0tleVRva2VuPTY5MmZiZWE1NTIxZTEzMDQEAQAAALQBU3lzdGVtLkNvbGxlY3Rpb25zLkdlbmVyaWMuTGlzdGAxW1tJQlBYTENsaWVudC5CUENQcm94eS5JQlAuUHJveHlDbGFzc2VzLlR1bm5lbEZpeGluZ0luZm8sIEZQTVhMQ2xpZW50LkJQQ1Byb3h5LCBWZXJzaW9uPTIuMC4wLjEsIEN1bHR1cmU9bmV1dHJhbCwgUHVibGljS2V5VG9rZW49NjkyZmJlYTU1MjFlMTMwNF1dAwAAAAZfaXRlbXMFX3NpemUIX3ZlcnNpb24EAAA4SUJQWExDbGllbnQuQlBDUHJveHkuSUJQLlByb3h5Q2xhc3Nlcy5UdW5uZWxGaXhpbmdJbmZvW10CAAAACAgJAwAAABEAAAARAAAABwMAAAAAAQAAACAAAAAENklCUFhMQ2xpZW50LkJQQ1Byb3h5LklCUC5Qcm94eUNsYXNzZXMuVHVubmVsRml4aW5nSW5mbwIAAAAJBAAAAAkFAAAACQYAAAAJBwAAAAkIAAAACQkAAAAJCgAAAAkLAAAACQwAAAAJDQAAAAkOAAAACQ8AAAAJEAAAAAkRAAAACRIAAAAJEwAAAAkUAAAADQ8FBAAAADZJQlBYTENsaWVudC5CUENQcm94eS5JQlAuUHJveHlDbGFzc2VzLlR1bm5lbEZpeGluZ0luZm8DAAAACEVQTVR1cGxlEk9sZEZpeGluZ0luZGljYXRvchZDdXJyZW50Rml4aW5nSW5kaWNhdG9yAwEBf1N5c3RlbS5Db2xsZWN0aW9ucy5HZW5lcmljLkxpc3RgMVtbU3lzdGVtLlN0cmluZywgbXNjb3JsaWIsIFZlcnNpb249NC4wLjAuMCwgQ3VsdHVyZT1uZXV0cmFsLCBQdWJsaWNLZXlUb2tlbj1iNzdhNWM1NjE5MzRlMDg5XV0CAAAACRUAAAAGFgAAAAExCRYAAAABBQAAAAQAAAAJFwAAAAYYAAAAATIJGAAAAAEGAAAABAAAAAkZAAAABhoAAAABMgkaAAAAAQcAAAAEAAAACRsAAAAGHAAAAAEyCRwAAAABCAAAAAQAAAAJHQAAAAYeAAAAATIJHgAAAAEJAAAABAAAAAkfAAAABiAAAAABMQkgAAAAAQoAAAAEAAAACSEAAAAGIgAAAAExCSIAAAABCwAAAAQAAAAJIwAAAAYkAAAAATEJJAAAAAEMAAAABAAAAAklAAAABiYAAAABMgkmAAAAAQ0AAAAEAAAACScAAAAGKAAAAAEyCSgAAAABDgAAAAQAAAAJKQAAAAYqAAAAATIJKgAAAAEPAAAABAAAAAkrAAAABiwAAAABMgksAAAAARAAAAAEAAAACS0AAAAGLgAAAAEyCS4AAAABEQAAAAQAAAAJLwAAAAYwAAAAATIJMAAAAAESAAAABAAAAAkxAAAABjIAAAABMgkyAAAAARMAAAAEAAAACTMAAAAGNAAAAAEyCTQAAAABFAAAAAQAAAAJNQAAAAY2AAAAATIJNgAAAAQVAAAAf1N5c3RlbS5Db2xsZWN0aW9ucy5HZW5lcmljLkxpc3RgMVtbU3lzdGVtLlN0cmluZywgbXNjb3JsaWIsIFZlcnNpb249NC4wLjAuMCwgQ3VsdHVyZT1uZXV0cmFsLCBQdWJsaWNLZXlUb2tlbj1iNzdhNWM1NjE5MzRlMDg5XV0DAAAABl9pdGVtcwVfc2l6ZQhfdmVyc2lvbgYAAAgICTcAAAAFAAAABQAAAAEXAAAAFQAAAAk4AAAABQAAAAUAAAABGQAAABUAAAAJOQAAAAUAAAAFAAAAARsAAAAVAAAACToAAAAFAAAABQAAAAEdAAAAFQAAAAk7AAAABQAAAAUAAAABHwAAABUAAAAJPAAAAAUAAAAFAAAAASEAAAAVAAAACT0AAAAFAAAABQAAAAEjAAAAFQAAAAk+AAAABQAAAAUAAAABJQAAABUAAAAJPwAAAAUAAAAFAAAAAScAAAAVAAAACUAAAAAFAAAABQAAAAEpAAAAFQAAAAlBAAAABQAAAAUAAAABKwAAABUAAAAJQgAAAAUAAAAFAAAAAS0AAAAVAAAACUMAAAAFAAAABQAAAAEvAAAAFQAAAAlEAAAABQAAAAUAAAABMQAAABUAAAAJRQAAAAUAAAAFAAAAATMAAAAVAAAACUYAAAAFAAAABQAAAAE1AAAAFQAAAAlHAAAABQAAAAUAAAARNwAAAAgAAAAGSAAAABZbUEVSSU9ESUQzXS5bXS5bNzA2MTRdBkkAAAATW1BSRElEXS5bXS5bSFRfMDAxXQZKAAAAF1tMT0NJRF0uW10uW0hEX0RDX0NBX0VdBksAAAAOW0FCQ0lEXS5bXS5bQV0GTAAAACJbS0VZX0ZJR1VSRVNdLltdLltDT05TRU5TVVNERU1BTkRdDQMROAAAAAgAAAAGTQAAABZbUEVSSU9ESUQzXS5bXS5bNzA2MTddBk4AAAATW1BSRElEXS5bXS5bSFRfMDAxXQZPAAAAF1tMT0NJRF0uW10uW0hEX0RDX0NBX0VdBlAAAAAOW0FCQ0lEXS5bXS5bQV0GUQAAACJbS0VZX0ZJR1VSRVNdLltdLltDT05TRU5TVVNERU1BTkRdDQMROQAAAAgAAAAGUgAAABZbUEVSSU9ESUQzXS5bXS5bNzA2MThdBlMAAAATW1BSRElEXS5bXS5bSFRfMDAxXQZUAAAAF1tMT0NJRF0uW10uW0hEX0RDX0NBX0VdBlUAAAAOW0FCQ0lEXS5bXS5bQV0GVgAAACJbS0VZX0ZJR1VSRVNdLltdLltDT05TRU5TVVNERU1BTkRdDQMROgAAAAgAAAAGVwAAABZbUEVSSU9ESUQzXS5bXS5bNzA2MTldBlgAAAATW1BSRElEXS5bXS5bSFRfMDAxXQZZAAAAF1tMT0NJRF0uW10uW0hEX0RDX0NBX0VdBloAAAAOW0FCQ0lEXS5bXS5bQV0GWwAAACJbS0VZX0ZJR1VSRVNdLltdLltDT05TRU5TVVNERU1BTkRdDQMROwAAAAgAAAAGXAAAABZbUEVSSU9ESUQzXS5bXS5bNzA2MjBdBl0AAAATW1BSRElEXS5bXS5bSFRfMDAxXQZeAAAAF1tMT0NJRF0uW10uW0hEX0RDX0NBX0VdBl8AAAAOW0FCQ0lEXS5bXS5bQV0GYAAAACJbS0VZX0ZJR1VSRVNdLltdLltDT05TRU5TVVNERU1BTkRdDQMRPAAAAAgAAAAGYQAAABZbUEVSSU9ESUQzXS5bXS5bNzA2MjFdBmIAAAATW1BSRElEXS5bXS5bSFRfMDAxXQZjAAAAF1tMT0NJRF0uW10uW0hEX0RDX0NBX0VdBmQAAAAOW0FCQ0lEXS5bXS5bQV0GZQAAACJbS0VZX0ZJR1VSRVNdLltdLltDT05TRU5TVVNERU1BTkRdDQMRPQAAAAgAAAAGZgAAABZbUEVSSU9ESUQzXS5bXS5bNzA2MjJdBmcAAAATW1BSRElEXS5bXS5bSFRfMDAxXQZoAAAAF1tMT0NJRF0uW10uW0hEX0RDX0NBX0VdBmkAAAAOW0FCQ0lEXS5bXS5bQV0GagAAACJbS0VZX0ZJR1VSRVNdLltdLltDT05TRU5TVVNERU1BTkRdDQMRPgAAAAgAAAAGawAAABZbUEVSSU9ESUQzXS5bXS5bNzA2MjNdBmwAAAATW1BSRElEXS5bXS5bSFRfMDAxXQZtAAAAF1tMT0NJRF0uW10uW0hEX0RDX0NBX0VdBm4AAAAOW0FCQ0lEXS5bXS5bQV0GbwAAACJbS0VZX0ZJR1VSRVNdLltdLltDT05TRU5TVVNERU1BTkRdDQMRPwAAAAgAAAAGcAAAABZbUEVSSU9ESUQzXS5bXS5bNzA2MTNdBnEAAAATW1BSRElEXS5bXS5bSFRfMDAxXQZyAAAAFVtMT0NJRF0uW10uW0hEX0RDX0ZSXQZzAAAADltBQkNJRF0uW10uW0FdBnQAAAAiW0tFWV9GSUdVUkVTXS5bXS5bQ09OU0VOU1VTREVNQU5EXQ0DEUAAAAAIAAAABnUAAAAWW1BFUklPRElEM10uW10uWzcwNjE1XQZ2AAAAE1tQUkRJRF0uW10uW0hUXzAwMV0GdwAAABVbTE9DSURdLltdLltIRF9EQ19GUl0GeAAAAA5bQUJDSURdLltdLltBXQZ5AAAAIltLRVlfRklHVVJFU10uW10uW0NPTlNFTlNVU0RFTUFORF0NAxFBAAAACAAAAAZ6AAAAFltQRVJJT0RJRDNdLltdLls3MDYxNl0GewAAABNbUFJESURdLltdLltIVF8wMDFdBnwAAAAVW0xPQ0lEXS5bXS5bSERfRENfRlJdBn0AAAAOW0FCQ0lEXS5bXS5bQV0GfgAAACJbS0VZX0ZJR1VSRVNdLltdLltDT05TRU5TVVNERU1BTkRdDQMRQgAAAAgAAAAGfwAAABZbUEVSSU9ESUQzXS5bXS5bNzA2MTddBoAAAAATW1BSRElEXS5bXS5bSFRfMDAxXQaBAAAAFVtMT0NJRF0uW10uW0hEX0RDX0ZSXQaCAAAADltBQkNJRF0uW10uW0FdBoMAAAAiW0tFWV9GSUdVUkVTXS5bXS5bQ09OU0VOU1VTREVNQU5EXQ0DEUMAAAAIAAAABoQAAAAWW1BFUklPRElEM10uW10uWzcwNjE4XQaFAAAAE1tQUkRJRF0uW10uW0hUXzAwMV0GhgAAABVbTE9DSURdLltdLltIRF9EQ19GUl0GhwAAAA5bQUJDSURdLltdLltBXQaIAAAAIltLRVlfRklHVVJFU10uW10uW0NPTlNFTlNVU0RFTUFORF0NAxFEAAAACAAAAAaJAAAAFltQRVJJT0RJRDNdLltdLls3MDYxNF0GigAAABNbUFJESURdLltdLltIVF8wMDFdBosAAAAXW0xPQ0lEXS5bXS5bSERfRENfVVNfRV0GjAAAAA5bQUJDSURdLltdLltBXQaNAAAAIltLRVlfRklHVVJFU10uW10uW0NPTlNFTlNVU0RFTUFORF0NAxFFAAAACAAAAAaOAAAAFltQRVJJT0RJRDNdLltdLls3MDYxNl0GjwAAABNbUFJESURdLltdLltIVF8wMDFdBpAAAAAXW0xPQ0lEXS5bXS5bSERfRENfVVNfRV0GkQAAAA5bQUJDSURdLltdLltBXQaSAAAAIltLRVlfRklHVVJFU10uW10uW0NPTlNFTlNVU0RFTUFORF0NAxFGAAAACAAAAAaTAAAAFltQRVJJT0RJRDNdLltdLls3MDYxN10GlAAAABNbUFJESURdLltdLltIVF8wMDFdBpUAAAAXW0xPQ0lEXS5bXS5bSERfRENfVVNfRV0GlgAAAA5bQUJDSURdLltdLltBXQaXAAAAIltLRVlfRklHVVJFU10uW10uW0NPTlNFTlNVU0RFTUFORF0NAxFHAAAACAAAAAaYAAAAFltQRVJJT0RJRDNdLltdLls3MDYxOF0GmQAAABNbUFJESURdLltdLltIVF8wMDFdBpoAAAAXW0xPQ0lEXS5bXS5bSERfRENfVVNfRV0GmwAAAA5bQUJDSURdLltdLltBXQacAAAAIltLRVlfRklHVVJFU10uW10uW0NPTlNFTlNVU0RFTUFORF0NAws=</fixingInfos>
    <fixingInfosDCS>H4sIAAAAAAAACuyba28SQRSGz08hfi+3VtAGaXABbYRiqk00jWkaLi1J2RK2WvTHq88ZtroBbFFM3HFPNjM7O5fznjkzb+a6377W5EDmMpErycknGcpMIhnLtYTyTB5JSfJS5J0jJZQ+8QNSQ7lwqR/lRkayQ64KXwdSl5o0kDCTc/ksPdLekifkGSK/Tcl5XPoQf4S0XIwdgrpPmkq9ROqNTPku8Ny6J4/bxb9G9gWxZbQqgluQd9KVjrxBt0tQJiDvOIwIGedO56HT/yfOKkaUKB2BMuCtpbW+ISGtT5/3Mv4eoaJU8Q/lubxGl44EoIydtTS/xga4GSXn2CQf58wn4rSE4kaUitBNrfiQ3TRPQB619QJrOZe2U9/VQ3WuY6saev5emZq00LPrtJmiyXCpvQa0yRTJD1t04iRrjSPcyNlGrTv5YctdQiXeBdpSe+GYkmrJL06fRY8sJHrXnaXudNh3LT6La1OXUzRvyTH16kkTv0m+D6Cexn4VrArl9vhWy/xKzv0Ix7HspOSX2Oss7p9/LruD3sEa2U1kN0k5wzXwW1tgNOiLqxiNLSS+Qp/3aNVG6gs5wT4t2jMpPaBeR8S1nH+CaxLugnrk9LgfubDSIzW2R2iwIQM2y6s5N+Hg3+dp2Xi6lqdV42lGeLpggPHUz/H0ifHUeGrjaep5+tR4ajw1nqacp4pt61Ob96ZnfWr7SOt5us1ej+0j+bQ+LXmxPl1oafu9yzwtG08zMp4aT/09lym7WBtPjadpGU/tXGb9PpK/PG2Dbmendibz/99xeGwczcB8185NfeZoxThqHLW5bqo56u8dJJvr2jiajfu8/t4/att61Oa6meCov3fudT1nd+6Np9ngqb9rUuOp7R1l5x82f9elxlPjaXZ46u/a1Hh69c/PYpI9cpN/6+vyHQAA//8=</fixingInfosDCS>
  </report_Sheet2>
</config>
</file>

<file path=customXml/itemProps1.xml><?xml version="1.0" encoding="utf-8"?>
<ds:datastoreItem xmlns:ds="http://schemas.openxmlformats.org/officeDocument/2006/customXml" ds:itemID="{C7CB631A-40CF-4C8D-9220-784CC3D120C8}">
  <ds:schemaRefs>
    <ds:schemaRef ds:uri="http://com.sap.sop/sopconfig"/>
    <ds:schemaRef ds:uri=""/>
  </ds:schemaRefs>
</ds:datastoreItem>
</file>

<file path=docProps/app.xml><?xml version="1.0" encoding="utf-8"?>
<Properties xmlns="http://schemas.openxmlformats.org/officeDocument/2006/extended-properties" xmlns:vt="http://schemas.openxmlformats.org/officeDocument/2006/docPropsVTypes">
  <TotalTime>0</TotalTime>
  <DocSecurity>0</DocSecurity>
  <ScaleCrop>false</ScaleCrop>
  <HeadingPairs>
    <vt:vector size="2" baseType="variant">
      <vt:variant>
        <vt:lpstr>Worksheets</vt:lpstr>
      </vt:variant>
      <vt:variant>
        <vt:i4>2</vt:i4>
      </vt:variant>
    </vt:vector>
  </HeadingPairs>
  <TitlesOfParts>
    <vt:vector size="2" baseType="lpstr">
      <vt:lpstr>IBPFormattingSheet</vt:lpstr>
      <vt:lpstr>Planning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2012-11-19T20:56:01Z</dcterms:created>
  <dcterms:modified xsi:type="dcterms:W3CDTF">2023-08-16T13:28:24Z</dcterms:modified>
</cp:coreProperties>
</file>