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3_Change Master Data Attribute Value/"/>
    </mc:Choice>
  </mc:AlternateContent>
  <xr:revisionPtr revIDLastSave="197" documentId="8_{E016A6B0-1E0F-4BEA-881D-2EE9CDAE6470}" xr6:coauthVersionLast="47" xr6:coauthVersionMax="47" xr10:uidLastSave="{8DEE2149-0EA6-4BD3-B541-AC50B7EEFFBD}"/>
  <bookViews>
    <workbookView xWindow="-103" yWindow="-103" windowWidth="22149" windowHeight="11949" tabRatio="374" firstSheet="1" activeTab="1" xr2:uid="{00000000-000D-0000-FFFF-FFFF00000000}"/>
  </bookViews>
  <sheets>
    <sheet name="IBPFormattingSheet" sheetId="7"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Planning!$A$1:$V$124</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"System ID"</definedName>
    <definedName name="SOP_CurrencyToID" localSheetId="1">"EUR"</definedName>
    <definedName name="SOP_CURRTOID" localSheetId="1">"EUR"</definedName>
    <definedName name="SOP_Favorite_Name">"Change ABC Code"</definedName>
    <definedName name="SOP_Filter" localSheetId="1">{" "}</definedName>
    <definedName name="SOP_Filter">{" "}</definedName>
    <definedName name="SOP_Filter_Criteria_Count" localSheetId="1">0</definedName>
    <definedName name="SOP_Filter_Name" localSheetId="1">"(None)"</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"ABC Code"</definedName>
    <definedName name="SOP_Heading3" localSheetId="1">"Location ID"</definedName>
    <definedName name="SOP_Heading4" localSheetId="1">"Product ID"</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"SAP6"</definedName>
    <definedName name="SOP_Planning_Scope">"No selection: The system will plan the entire data set. | TW17a 2022 - TW22a 2024 | Baseline | Base Version"</definedName>
    <definedName name="SOP_Refresh_Timestamp">44677.3800810185</definedName>
    <definedName name="SOP_TargetCurrency" localSheetId="1">"EUR"</definedName>
    <definedName name="SOP_TargetUoM" localSheetId="1">"PC"</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5" l="1"/>
  <c r="H4" i="5"/>
  <c r="I4" i="5"/>
  <c r="A4" i="5"/>
  <c r="B4" i="5"/>
  <c r="C4" i="5"/>
  <c r="D4" i="5"/>
  <c r="E4" i="5"/>
  <c r="F4" i="5"/>
  <c r="G4" i="5"/>
  <c r="K2" i="5"/>
  <c r="K1" i="5"/>
  <c r="G29" i="5"/>
  <c r="J75" i="5"/>
  <c r="J121" i="5"/>
  <c r="H47" i="5"/>
  <c r="J11" i="5"/>
  <c r="H59" i="5"/>
  <c r="J105" i="5"/>
  <c r="J90" i="5"/>
  <c r="J116" i="5"/>
  <c r="J47" i="5"/>
  <c r="H95" i="5"/>
  <c r="J96" i="5"/>
  <c r="J93" i="5"/>
  <c r="J42" i="5"/>
  <c r="I89" i="5"/>
  <c r="J73" i="5"/>
  <c r="J8" i="5"/>
  <c r="J54" i="5"/>
  <c r="I101" i="5"/>
  <c r="J84" i="5"/>
  <c r="J110" i="5"/>
  <c r="Q4" i="5"/>
  <c r="J80" i="5"/>
  <c r="I5" i="5"/>
  <c r="G53" i="5"/>
  <c r="J17" i="5"/>
  <c r="H65" i="5"/>
  <c r="J111" i="5"/>
  <c r="J107" i="5"/>
  <c r="J6" i="5"/>
  <c r="I53" i="5"/>
  <c r="G101" i="5"/>
  <c r="J119" i="5"/>
  <c r="J101" i="5"/>
  <c r="I107" i="5"/>
  <c r="K4" i="5"/>
  <c r="J40" i="5"/>
  <c r="J23" i="5"/>
  <c r="J16" i="5"/>
  <c r="J106" i="5"/>
  <c r="J53" i="5"/>
  <c r="J66" i="5"/>
  <c r="J10" i="5"/>
  <c r="J124" i="5"/>
  <c r="J77" i="5"/>
  <c r="J34" i="5"/>
  <c r="J46" i="5"/>
  <c r="J92" i="5"/>
  <c r="I17" i="5"/>
  <c r="J64" i="5"/>
  <c r="I29" i="5"/>
  <c r="G77" i="5"/>
  <c r="J123" i="5"/>
  <c r="J39" i="5"/>
  <c r="J18" i="5"/>
  <c r="I65" i="5"/>
  <c r="J112" i="5"/>
  <c r="J28" i="5"/>
  <c r="J13" i="5"/>
  <c r="J59" i="5"/>
  <c r="H107" i="5"/>
  <c r="J45" i="5"/>
  <c r="J26" i="5"/>
  <c r="J72" i="5"/>
  <c r="I119" i="5"/>
  <c r="J33" i="5"/>
  <c r="O4" i="5"/>
  <c r="M4" i="5"/>
  <c r="H5" i="5"/>
  <c r="J52" i="5"/>
  <c r="J98" i="5"/>
  <c r="I23" i="5"/>
  <c r="J70" i="5"/>
  <c r="I35" i="5"/>
  <c r="J82" i="5"/>
  <c r="J118" i="5"/>
  <c r="J62" i="5"/>
  <c r="J24" i="5"/>
  <c r="I71" i="5"/>
  <c r="J51" i="5"/>
  <c r="J68" i="5"/>
  <c r="J9" i="5"/>
  <c r="H11" i="5"/>
  <c r="J57" i="5"/>
  <c r="J103" i="5"/>
  <c r="H29" i="5"/>
  <c r="J76" i="5"/>
  <c r="I41" i="5"/>
  <c r="J88" i="5"/>
  <c r="J15" i="5"/>
  <c r="J85" i="5"/>
  <c r="J29" i="5"/>
  <c r="H77" i="5"/>
  <c r="J27" i="5"/>
  <c r="J74" i="5"/>
  <c r="J25" i="5"/>
  <c r="J71" i="5"/>
  <c r="H119" i="5"/>
  <c r="J91" i="5"/>
  <c r="J37" i="5"/>
  <c r="J83" i="5"/>
  <c r="J32" i="5"/>
  <c r="J79" i="5"/>
  <c r="U4" i="5"/>
  <c r="Q1" i="5"/>
  <c r="J41" i="5"/>
  <c r="J120" i="5"/>
  <c r="J55" i="5"/>
  <c r="J49" i="5"/>
  <c r="J81" i="5"/>
  <c r="J122" i="5"/>
  <c r="J60" i="5"/>
  <c r="J58" i="5"/>
  <c r="J117" i="5"/>
  <c r="I59" i="5"/>
  <c r="H101" i="5"/>
  <c r="I113" i="5"/>
  <c r="N4" i="5"/>
  <c r="H113" i="5"/>
  <c r="T4" i="5"/>
  <c r="H17" i="5"/>
  <c r="J63" i="5"/>
  <c r="J109" i="5"/>
  <c r="H35" i="5"/>
  <c r="J104" i="5"/>
  <c r="I47" i="5"/>
  <c r="J94" i="5"/>
  <c r="J38" i="5"/>
  <c r="J108" i="5"/>
  <c r="J35" i="5"/>
  <c r="H83" i="5"/>
  <c r="J50" i="5"/>
  <c r="J97" i="5"/>
  <c r="J30" i="5"/>
  <c r="I77" i="5"/>
  <c r="J21" i="5"/>
  <c r="J114" i="5"/>
  <c r="J43" i="5"/>
  <c r="J89" i="5"/>
  <c r="J44" i="5"/>
  <c r="J102" i="5"/>
  <c r="V4" i="5"/>
  <c r="H89" i="5"/>
  <c r="J78" i="5"/>
  <c r="J36" i="5"/>
  <c r="J99" i="5"/>
  <c r="J95" i="5"/>
  <c r="P4" i="5"/>
  <c r="I95" i="5"/>
  <c r="J14" i="5"/>
  <c r="J113" i="5"/>
  <c r="I11" i="5"/>
  <c r="H71" i="5"/>
  <c r="J12" i="5"/>
  <c r="J7" i="5"/>
  <c r="J20" i="5"/>
  <c r="S4" i="5"/>
  <c r="J19" i="5"/>
  <c r="J31" i="5"/>
  <c r="J56" i="5"/>
  <c r="L4" i="5"/>
  <c r="H23" i="5"/>
  <c r="J69" i="5"/>
  <c r="J115" i="5"/>
  <c r="H41" i="5"/>
  <c r="J5" i="5"/>
  <c r="H53" i="5"/>
  <c r="J100" i="5"/>
  <c r="J61" i="5"/>
  <c r="J87" i="5"/>
  <c r="I83" i="5"/>
  <c r="J67" i="5"/>
  <c r="J48" i="5"/>
  <c r="R4" i="5"/>
  <c r="J86" i="5"/>
  <c r="J22" i="5"/>
  <c r="G5" i="5"/>
  <c r="J6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5" authorId="0" shapeId="0" xr:uid="{35C1F968-554E-4981-B2AB-D192582E5713}">
      <text>
        <r>
          <rPr>
            <sz val="9"/>
            <color indexed="81"/>
            <rFont val="Tahoma"/>
            <family val="2"/>
          </rPr>
          <t>1503 is fixed</t>
        </r>
      </text>
    </comment>
    <comment ref="S5" authorId="0" shapeId="0" xr:uid="{F4D40DCB-2594-493F-BCAD-9CD5D94BD8EB}">
      <text>
        <r>
          <rPr>
            <sz val="9"/>
            <color indexed="81"/>
            <rFont val="Tahoma"/>
            <family val="2"/>
          </rPr>
          <t>100 is fixed</t>
        </r>
      </text>
    </comment>
    <comment ref="T5" authorId="0" shapeId="0" xr:uid="{3266F35B-D5BC-4E0E-904D-2301C22E7F9A}">
      <text>
        <r>
          <rPr>
            <sz val="9"/>
            <color indexed="81"/>
            <rFont val="Tahoma"/>
            <family val="2"/>
          </rPr>
          <t>100 is fixed</t>
        </r>
      </text>
    </comment>
    <comment ref="U5" authorId="0" shapeId="0" xr:uid="{77424B50-3097-45C8-997E-FF57702A9DD0}">
      <text>
        <r>
          <rPr>
            <sz val="9"/>
            <color indexed="81"/>
            <rFont val="Tahoma"/>
            <family val="2"/>
          </rPr>
          <t>100 is fixed</t>
        </r>
      </text>
    </comment>
  </commentList>
</comments>
</file>

<file path=xl/sharedStrings.xml><?xml version="1.0" encoding="utf-8"?>
<sst xmlns="http://schemas.openxmlformats.org/spreadsheetml/2006/main" count="103" uniqueCount="31">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</sst>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xf numFmtId="3" fontId="23" fillId="11" borderId="0" xfId="0" applyNumberFormat="1" applyFont="1" applyFill="1" applyBorder="1" applyAlignment="1" applyProtection="1">
      <alignment horizontal="right" vertical="center"/>
      <protection locked="0"/>
    </xf>
    <xf numFmtId="164" fontId="23" fillId="11" borderId="0" xfId="0" applyNumberFormat="1" applyFont="1" applyFill="1" applyBorder="1" applyAlignment="1" applyProtection="1">
      <alignment horizontal="right" vertical="center"/>
      <protection locked="0"/>
    </xf>
    <xf numFmtId="165" fontId="23" fillId="11" borderId="0" xfId="0" applyNumberFormat="1" applyFont="1" applyFill="1" applyBorder="1" applyAlignment="1" applyProtection="1">
      <alignment horizontal="right" vertical="center"/>
      <protection locked="0"/>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1611086</xdr:colOff>
          <xdr:row>5</xdr:row>
          <xdr:rowOff>0</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451757</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185057</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185057</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2775857</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1137557</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908957</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908957</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1023257</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1023257</xdr:colOff>
          <xdr:row>19</xdr:row>
          <xdr:rowOff>185057</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1023257</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146957</xdr:rowOff>
        </xdr:from>
        <xdr:to>
          <xdr:col>11</xdr:col>
          <xdr:colOff>1137557</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908957</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908957</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1023257</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1023257</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1023257</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22</xdr:row>
          <xdr:rowOff>0</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451757</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1023257</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1023257</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1023257</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1023257</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1023257</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1023257</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1023257</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1023257</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1023257</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1023257</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1023257</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1023257</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70757</xdr:rowOff>
        </xdr:from>
        <xdr:to>
          <xdr:col>7</xdr:col>
          <xdr:colOff>1801586</xdr:colOff>
          <xdr:row>65</xdr:row>
          <xdr:rowOff>0</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65</xdr:row>
          <xdr:rowOff>70757</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70757</xdr:rowOff>
        </xdr:from>
        <xdr:to>
          <xdr:col>3</xdr:col>
          <xdr:colOff>451757</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1023257</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1023257</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1023257</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1023257</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1023257</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1023257</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718457</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19051</xdr:rowOff>
    </xdr:from>
    <xdr:to>
      <xdr:col>4</xdr:col>
      <xdr:colOff>74507</xdr:colOff>
      <xdr:row>0</xdr:row>
      <xdr:rowOff>209551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19051"/>
          <a:ext cx="466393"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887186</xdr:colOff>
          <xdr:row>2</xdr:row>
          <xdr:rowOff>152400</xdr:rowOff>
        </xdr:from>
        <xdr:to>
          <xdr:col>8</xdr:col>
          <xdr:colOff>0</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mments" Target="../comments2.xml"/><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23046875" style="1" customWidth="1"/>
    <col min="6" max="6" width="14.23046875" style="1" customWidth="1"/>
    <col min="7" max="7" width="3.23046875" style="1" customWidth="1"/>
    <col min="8" max="8" width="30.69140625" style="1" customWidth="1"/>
    <col min="9" max="9" width="3.23046875" style="1" customWidth="1"/>
    <col min="10" max="10" width="14.23046875" style="1" customWidth="1"/>
    <col min="11" max="11" width="3.2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6" t="s">
        <v>24</v>
      </c>
      <c r="C1" s="66"/>
      <c r="D1" s="66"/>
      <c r="E1" s="66"/>
      <c r="F1" s="66"/>
      <c r="G1" s="66"/>
      <c r="H1" s="66"/>
      <c r="I1" s="66"/>
      <c r="J1" s="66"/>
      <c r="K1" s="66"/>
      <c r="L1" s="66"/>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67" t="s">
        <v>25</v>
      </c>
      <c r="C5" s="68"/>
      <c r="D5" s="68"/>
      <c r="E5" s="68"/>
      <c r="F5" s="68"/>
      <c r="G5" s="68"/>
      <c r="H5" s="68"/>
      <c r="I5" s="68"/>
      <c r="J5" s="68"/>
      <c r="K5" s="68"/>
      <c r="L5" s="69"/>
      <c r="Q5" s="23" t="s">
        <v>16</v>
      </c>
    </row>
    <row r="6" spans="1:17" ht="28.4" customHeight="1" thickBot="1" x14ac:dyDescent="0.4">
      <c r="A6" s="2"/>
      <c r="B6" s="70"/>
      <c r="C6" s="71"/>
      <c r="D6" s="71"/>
      <c r="E6" s="71"/>
      <c r="F6" s="71"/>
      <c r="G6" s="71"/>
      <c r="H6" s="71"/>
      <c r="I6" s="71"/>
      <c r="J6" s="71"/>
      <c r="K6" s="71"/>
      <c r="L6" s="72"/>
      <c r="Q6" s="24" t="s">
        <v>17</v>
      </c>
    </row>
    <row r="7" spans="1:17" ht="22" customHeight="1" x14ac:dyDescent="0.35">
      <c r="A7" s="2"/>
      <c r="B7" s="73" t="s">
        <v>8</v>
      </c>
      <c r="C7" s="19"/>
      <c r="D7" s="19"/>
      <c r="E7" s="19"/>
      <c r="F7" s="19"/>
      <c r="G7" s="19"/>
      <c r="H7" s="19"/>
      <c r="I7" s="19"/>
      <c r="J7" s="19"/>
      <c r="K7" s="19"/>
      <c r="L7" s="20"/>
      <c r="Q7" s="65" t="s">
        <v>18</v>
      </c>
    </row>
    <row r="8" spans="1:17" ht="18" customHeight="1" x14ac:dyDescent="0.35">
      <c r="A8" s="2"/>
      <c r="B8" s="74"/>
      <c r="C8" s="10"/>
      <c r="D8" s="10"/>
      <c r="E8" s="10"/>
      <c r="F8" s="10"/>
      <c r="G8" s="10"/>
      <c r="H8" s="10"/>
      <c r="I8" s="10"/>
      <c r="J8" s="10"/>
      <c r="K8" s="10"/>
      <c r="L8" s="11"/>
      <c r="Q8" s="65"/>
    </row>
    <row r="9" spans="1:17" ht="17.149999999999999" customHeight="1" x14ac:dyDescent="0.35">
      <c r="A9" s="2"/>
      <c r="B9" s="74"/>
      <c r="C9" s="5"/>
      <c r="D9" s="6"/>
      <c r="E9" s="76" t="s">
        <v>1</v>
      </c>
      <c r="F9" s="77"/>
      <c r="G9" s="78"/>
      <c r="H9" s="4" t="s">
        <v>2</v>
      </c>
      <c r="I9" s="76" t="s">
        <v>3</v>
      </c>
      <c r="J9" s="77"/>
      <c r="K9" s="78"/>
      <c r="L9" s="12" t="s">
        <v>2</v>
      </c>
      <c r="Q9" s="65"/>
    </row>
    <row r="10" spans="1:17" ht="5.15" customHeight="1" x14ac:dyDescent="0.35">
      <c r="A10" s="2"/>
      <c r="B10" s="74"/>
      <c r="C10" s="79"/>
      <c r="D10" s="10"/>
      <c r="E10" s="13"/>
      <c r="F10" s="13"/>
      <c r="G10" s="13"/>
      <c r="H10" s="8"/>
      <c r="I10" s="13"/>
      <c r="J10" s="13"/>
      <c r="K10" s="13"/>
      <c r="L10" s="11"/>
      <c r="Q10" s="65"/>
    </row>
    <row r="11" spans="1:17" ht="16" customHeight="1" x14ac:dyDescent="0.35">
      <c r="A11" s="2"/>
      <c r="B11" s="74"/>
      <c r="C11" s="80"/>
      <c r="D11" s="40" t="s">
        <v>5</v>
      </c>
      <c r="E11" s="13"/>
      <c r="F11" s="34">
        <v>10000</v>
      </c>
      <c r="G11" s="13"/>
      <c r="H11" s="43" t="s">
        <v>6</v>
      </c>
      <c r="I11" s="13"/>
      <c r="J11" s="37" t="s">
        <v>7</v>
      </c>
      <c r="K11" s="13"/>
      <c r="L11" s="16" t="s">
        <v>6</v>
      </c>
      <c r="Q11" s="65"/>
    </row>
    <row r="12" spans="1:17" ht="5.15" customHeight="1" thickBot="1" x14ac:dyDescent="0.4">
      <c r="A12" s="2"/>
      <c r="B12" s="75"/>
      <c r="C12" s="81"/>
      <c r="D12" s="17"/>
      <c r="E12" s="22"/>
      <c r="F12" s="22"/>
      <c r="G12" s="22"/>
      <c r="H12" s="21"/>
      <c r="I12" s="22"/>
      <c r="J12" s="22"/>
      <c r="K12" s="22"/>
      <c r="L12" s="18"/>
      <c r="Q12" s="65"/>
    </row>
    <row r="13" spans="1:17" ht="22" customHeight="1" x14ac:dyDescent="0.35">
      <c r="A13" s="2"/>
      <c r="B13" s="74" t="s">
        <v>4</v>
      </c>
      <c r="C13" s="10"/>
      <c r="D13" s="10"/>
      <c r="E13" s="10"/>
      <c r="F13" s="10"/>
      <c r="G13" s="10"/>
      <c r="H13" s="10"/>
      <c r="I13" s="10"/>
      <c r="J13" s="10"/>
      <c r="K13" s="10"/>
      <c r="L13" s="11"/>
      <c r="Q13" s="65"/>
    </row>
    <row r="14" spans="1:17" ht="18" customHeight="1" x14ac:dyDescent="0.35">
      <c r="A14" s="2"/>
      <c r="B14" s="74"/>
      <c r="C14" s="10"/>
      <c r="D14" s="10"/>
      <c r="E14" s="10"/>
      <c r="F14" s="10"/>
      <c r="G14" s="10"/>
      <c r="H14" s="10"/>
      <c r="I14" s="10"/>
      <c r="J14" s="10"/>
      <c r="K14" s="10"/>
      <c r="L14" s="11"/>
      <c r="Q14" s="65"/>
    </row>
    <row r="15" spans="1:17" ht="17.149999999999999" customHeight="1" x14ac:dyDescent="0.35">
      <c r="A15" s="2"/>
      <c r="B15" s="74"/>
      <c r="C15" s="5"/>
      <c r="D15" s="6"/>
      <c r="E15" s="76" t="s">
        <v>1</v>
      </c>
      <c r="F15" s="77"/>
      <c r="G15" s="78"/>
      <c r="H15" s="4" t="s">
        <v>2</v>
      </c>
      <c r="I15" s="76" t="s">
        <v>3</v>
      </c>
      <c r="J15" s="77"/>
      <c r="K15" s="78"/>
      <c r="L15" s="12" t="s">
        <v>2</v>
      </c>
      <c r="Q15" s="65"/>
    </row>
    <row r="16" spans="1:17" ht="5.15" customHeight="1" x14ac:dyDescent="0.35">
      <c r="A16" s="2"/>
      <c r="B16" s="74"/>
      <c r="C16" s="79"/>
      <c r="D16" s="10"/>
      <c r="E16" s="13"/>
      <c r="F16" s="13"/>
      <c r="G16" s="13"/>
      <c r="H16" s="8"/>
      <c r="I16" s="13"/>
      <c r="J16" s="13"/>
      <c r="K16" s="13"/>
      <c r="L16" s="11"/>
      <c r="Q16" s="65"/>
    </row>
    <row r="17" spans="1:17" ht="16" customHeight="1" x14ac:dyDescent="0.35">
      <c r="A17" s="2"/>
      <c r="B17" s="74"/>
      <c r="C17" s="80"/>
      <c r="D17" s="40" t="s">
        <v>5</v>
      </c>
      <c r="E17" s="13"/>
      <c r="F17" s="34">
        <v>10000</v>
      </c>
      <c r="G17" s="13"/>
      <c r="H17" s="43" t="s">
        <v>6</v>
      </c>
      <c r="I17" s="13"/>
      <c r="J17" s="29" t="s">
        <v>7</v>
      </c>
      <c r="K17" s="13"/>
      <c r="L17" s="16" t="s">
        <v>6</v>
      </c>
      <c r="Q17" s="65"/>
    </row>
    <row r="18" spans="1:17" ht="5.15" customHeight="1" thickBot="1" x14ac:dyDescent="0.4">
      <c r="A18" s="2"/>
      <c r="B18" s="82"/>
      <c r="C18" s="83"/>
      <c r="D18" s="47"/>
      <c r="E18" s="48"/>
      <c r="F18" s="48"/>
      <c r="G18" s="48"/>
      <c r="H18" s="49"/>
      <c r="I18" s="48"/>
      <c r="J18" s="48"/>
      <c r="K18" s="48"/>
      <c r="L18" s="50"/>
      <c r="Q18" s="65"/>
    </row>
    <row r="19" spans="1:17" ht="9" customHeight="1" x14ac:dyDescent="0.35">
      <c r="A19" s="2"/>
      <c r="B19" s="2"/>
      <c r="C19" s="2"/>
      <c r="D19" s="2"/>
      <c r="E19" s="2"/>
      <c r="F19" s="2"/>
      <c r="G19" s="2"/>
      <c r="H19" s="2"/>
      <c r="I19" s="2"/>
      <c r="J19" s="2"/>
      <c r="K19" s="2"/>
      <c r="L19" s="2"/>
      <c r="Q19" s="65"/>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84" t="s">
        <v>9</v>
      </c>
      <c r="C22" s="85"/>
      <c r="D22" s="85"/>
      <c r="E22" s="85"/>
      <c r="F22" s="85"/>
      <c r="G22" s="85"/>
      <c r="H22" s="85"/>
      <c r="I22" s="85"/>
      <c r="J22" s="85"/>
      <c r="K22" s="85"/>
      <c r="L22" s="86"/>
      <c r="Q22" s="65" t="s">
        <v>28</v>
      </c>
    </row>
    <row r="23" spans="1:17" ht="28.4" customHeight="1" thickBot="1" x14ac:dyDescent="0.4">
      <c r="A23" s="2"/>
      <c r="B23" s="87"/>
      <c r="C23" s="88"/>
      <c r="D23" s="88"/>
      <c r="E23" s="88"/>
      <c r="F23" s="88"/>
      <c r="G23" s="88"/>
      <c r="H23" s="88"/>
      <c r="I23" s="88"/>
      <c r="J23" s="88"/>
      <c r="K23" s="88"/>
      <c r="L23" s="89"/>
      <c r="Q23" s="65"/>
    </row>
    <row r="24" spans="1:17" ht="16" customHeight="1" x14ac:dyDescent="0.35">
      <c r="A24" s="2"/>
      <c r="B24" s="73" t="s">
        <v>8</v>
      </c>
      <c r="C24" s="19"/>
      <c r="D24" s="19"/>
      <c r="E24" s="19"/>
      <c r="F24" s="19"/>
      <c r="G24" s="19"/>
      <c r="H24" s="19"/>
      <c r="I24" s="19"/>
      <c r="J24" s="19"/>
      <c r="K24" s="19"/>
      <c r="L24" s="20"/>
      <c r="Q24" s="65"/>
    </row>
    <row r="25" spans="1:17" ht="18" customHeight="1" x14ac:dyDescent="0.35">
      <c r="A25" s="2"/>
      <c r="B25" s="74"/>
      <c r="C25" s="5"/>
      <c r="D25" s="6"/>
      <c r="E25" s="76" t="s">
        <v>1</v>
      </c>
      <c r="F25" s="77"/>
      <c r="G25" s="78"/>
      <c r="H25" s="4" t="s">
        <v>2</v>
      </c>
      <c r="I25" s="76" t="s">
        <v>3</v>
      </c>
      <c r="J25" s="77"/>
      <c r="K25" s="78"/>
      <c r="L25" s="12" t="s">
        <v>2</v>
      </c>
      <c r="Q25" s="65"/>
    </row>
    <row r="26" spans="1:17" ht="5.15" customHeight="1" x14ac:dyDescent="0.35">
      <c r="A26" s="2"/>
      <c r="B26" s="74"/>
      <c r="C26" s="80"/>
      <c r="D26" s="10"/>
      <c r="E26" s="13"/>
      <c r="F26" s="13"/>
      <c r="G26" s="13"/>
      <c r="H26" s="9"/>
      <c r="I26" s="13"/>
      <c r="J26" s="13"/>
      <c r="K26" s="13"/>
      <c r="L26" s="11"/>
      <c r="Q26" s="65"/>
    </row>
    <row r="27" spans="1:17" ht="16" customHeight="1" x14ac:dyDescent="0.35">
      <c r="A27" s="2"/>
      <c r="B27" s="74"/>
      <c r="C27" s="80"/>
      <c r="D27" s="40" t="s">
        <v>26</v>
      </c>
      <c r="E27" s="13"/>
      <c r="F27" s="14">
        <v>10000</v>
      </c>
      <c r="G27" s="13"/>
      <c r="H27" s="43" t="s">
        <v>6</v>
      </c>
      <c r="I27" s="13"/>
      <c r="J27" s="15" t="s">
        <v>7</v>
      </c>
      <c r="K27" s="13"/>
      <c r="L27" s="16" t="s">
        <v>6</v>
      </c>
      <c r="Q27" s="65"/>
    </row>
    <row r="28" spans="1:17" ht="5.15" customHeight="1" x14ac:dyDescent="0.35">
      <c r="A28" s="2"/>
      <c r="B28" s="74"/>
      <c r="C28" s="90"/>
      <c r="D28" s="41"/>
      <c r="E28" s="7"/>
      <c r="F28" s="7"/>
      <c r="G28" s="7"/>
      <c r="H28" s="6"/>
      <c r="I28" s="7"/>
      <c r="J28" s="7"/>
      <c r="K28" s="7"/>
      <c r="L28" s="42"/>
      <c r="Q28" s="65"/>
    </row>
    <row r="29" spans="1:17" ht="5.15" customHeight="1" x14ac:dyDescent="0.35">
      <c r="A29" s="2"/>
      <c r="B29" s="74"/>
      <c r="C29" s="80"/>
      <c r="D29" s="10"/>
      <c r="E29" s="13"/>
      <c r="F29" s="13"/>
      <c r="G29" s="13"/>
      <c r="H29" s="9"/>
      <c r="I29" s="13"/>
      <c r="J29" s="13"/>
      <c r="K29" s="13"/>
      <c r="L29" s="11"/>
      <c r="Q29" s="65"/>
    </row>
    <row r="30" spans="1:17" ht="16" customHeight="1" x14ac:dyDescent="0.4">
      <c r="A30" s="2"/>
      <c r="B30" s="74"/>
      <c r="C30" s="80"/>
      <c r="D30" s="40" t="s">
        <v>27</v>
      </c>
      <c r="E30" s="13"/>
      <c r="F30" s="14">
        <v>10000</v>
      </c>
      <c r="G30" s="13"/>
      <c r="H30" s="43" t="s">
        <v>6</v>
      </c>
      <c r="I30" s="13"/>
      <c r="J30" s="15" t="s">
        <v>7</v>
      </c>
      <c r="K30" s="13"/>
      <c r="L30" s="16" t="s">
        <v>6</v>
      </c>
      <c r="Q30" s="27"/>
    </row>
    <row r="31" spans="1:17" ht="5.15" customHeight="1" x14ac:dyDescent="0.35">
      <c r="A31" s="2"/>
      <c r="B31" s="74"/>
      <c r="C31" s="90"/>
      <c r="D31" s="41"/>
      <c r="E31" s="7"/>
      <c r="F31" s="7"/>
      <c r="G31" s="7"/>
      <c r="H31" s="6"/>
      <c r="I31" s="7"/>
      <c r="J31" s="7"/>
      <c r="K31" s="7"/>
      <c r="L31" s="42"/>
    </row>
    <row r="32" spans="1:17" ht="5.15" customHeight="1" x14ac:dyDescent="0.35">
      <c r="A32" s="2"/>
      <c r="B32" s="74"/>
      <c r="C32" s="80"/>
      <c r="D32" s="10"/>
      <c r="E32" s="13"/>
      <c r="F32" s="13"/>
      <c r="G32" s="13"/>
      <c r="H32" s="9"/>
      <c r="I32" s="13"/>
      <c r="J32" s="13"/>
      <c r="K32" s="13"/>
      <c r="L32" s="11"/>
    </row>
    <row r="33" spans="1:12" ht="16" customHeight="1" x14ac:dyDescent="0.35">
      <c r="A33" s="2"/>
      <c r="B33" s="74"/>
      <c r="C33" s="80"/>
      <c r="D33" s="40" t="s">
        <v>10</v>
      </c>
      <c r="E33" s="13"/>
      <c r="F33" s="14">
        <v>10000</v>
      </c>
      <c r="G33" s="13"/>
      <c r="H33" s="43" t="s">
        <v>6</v>
      </c>
      <c r="I33" s="13"/>
      <c r="J33" s="15" t="s">
        <v>7</v>
      </c>
      <c r="K33" s="13"/>
      <c r="L33" s="16" t="s">
        <v>6</v>
      </c>
    </row>
    <row r="34" spans="1:12" ht="5.15" customHeight="1" x14ac:dyDescent="0.35">
      <c r="A34" s="2"/>
      <c r="B34" s="74"/>
      <c r="C34" s="90"/>
      <c r="D34" s="41"/>
      <c r="E34" s="7"/>
      <c r="F34" s="7"/>
      <c r="G34" s="7"/>
      <c r="H34" s="6"/>
      <c r="I34" s="7"/>
      <c r="J34" s="7"/>
      <c r="K34" s="7"/>
      <c r="L34" s="42"/>
    </row>
    <row r="35" spans="1:12" ht="5.15" customHeight="1" x14ac:dyDescent="0.35">
      <c r="A35" s="2"/>
      <c r="B35" s="74"/>
      <c r="C35" s="80"/>
      <c r="D35" s="10"/>
      <c r="E35" s="13"/>
      <c r="F35" s="13"/>
      <c r="G35" s="13"/>
      <c r="H35" s="9"/>
      <c r="I35" s="13"/>
      <c r="J35" s="13"/>
      <c r="K35" s="13"/>
      <c r="L35" s="11"/>
    </row>
    <row r="36" spans="1:12" ht="16" customHeight="1" x14ac:dyDescent="0.35">
      <c r="A36" s="2"/>
      <c r="B36" s="74"/>
      <c r="C36" s="80"/>
      <c r="D36" s="40" t="s">
        <v>11</v>
      </c>
      <c r="E36" s="13"/>
      <c r="F36" s="14">
        <v>10000</v>
      </c>
      <c r="G36" s="13"/>
      <c r="H36" s="43" t="s">
        <v>6</v>
      </c>
      <c r="I36" s="13"/>
      <c r="J36" s="15" t="s">
        <v>7</v>
      </c>
      <c r="K36" s="13"/>
      <c r="L36" s="16" t="s">
        <v>6</v>
      </c>
    </row>
    <row r="37" spans="1:12" ht="5.15" customHeight="1" x14ac:dyDescent="0.35">
      <c r="A37" s="2"/>
      <c r="B37" s="74"/>
      <c r="C37" s="90"/>
      <c r="D37" s="41"/>
      <c r="E37" s="7"/>
      <c r="F37" s="7"/>
      <c r="G37" s="7"/>
      <c r="H37" s="6"/>
      <c r="I37" s="7"/>
      <c r="J37" s="7"/>
      <c r="K37" s="7"/>
      <c r="L37" s="42"/>
    </row>
    <row r="38" spans="1:12" ht="5.15" customHeight="1" x14ac:dyDescent="0.35">
      <c r="A38" s="2"/>
      <c r="B38" s="74"/>
      <c r="C38" s="80"/>
      <c r="D38" s="10"/>
      <c r="E38" s="13"/>
      <c r="F38" s="13"/>
      <c r="G38" s="13"/>
      <c r="H38" s="9"/>
      <c r="I38" s="13"/>
      <c r="J38" s="13"/>
      <c r="K38" s="13"/>
      <c r="L38" s="11"/>
    </row>
    <row r="39" spans="1:12" ht="16" customHeight="1" x14ac:dyDescent="0.35">
      <c r="A39" s="2"/>
      <c r="B39" s="74"/>
      <c r="C39" s="80"/>
      <c r="D39" s="40" t="s">
        <v>12</v>
      </c>
      <c r="E39" s="13"/>
      <c r="F39" s="13"/>
      <c r="G39" s="13"/>
      <c r="H39" s="9"/>
      <c r="I39" s="13"/>
      <c r="J39" s="13"/>
      <c r="K39" s="13"/>
      <c r="L39" s="11"/>
    </row>
    <row r="40" spans="1:12" ht="22" customHeight="1" x14ac:dyDescent="0.35">
      <c r="A40" s="2"/>
      <c r="B40" s="74"/>
      <c r="C40" s="39"/>
      <c r="D40" s="10"/>
      <c r="E40" s="10"/>
      <c r="F40" s="10"/>
      <c r="G40" s="10"/>
      <c r="H40" s="9"/>
      <c r="I40" s="10"/>
      <c r="J40" s="10"/>
      <c r="K40" s="10"/>
      <c r="L40" s="11"/>
    </row>
    <row r="41" spans="1:12" ht="5.15" customHeight="1" thickBot="1" x14ac:dyDescent="0.4">
      <c r="A41" s="2"/>
      <c r="B41" s="75"/>
      <c r="C41" s="44"/>
      <c r="D41" s="17"/>
      <c r="E41" s="17"/>
      <c r="F41" s="17"/>
      <c r="G41" s="17"/>
      <c r="H41" s="21"/>
      <c r="I41" s="17"/>
      <c r="J41" s="17"/>
      <c r="K41" s="17"/>
      <c r="L41" s="18"/>
    </row>
    <row r="42" spans="1:12" ht="18" customHeight="1" x14ac:dyDescent="0.35">
      <c r="A42" s="2"/>
      <c r="B42" s="91" t="s">
        <v>4</v>
      </c>
      <c r="C42" s="10"/>
      <c r="D42" s="10"/>
      <c r="E42" s="10"/>
      <c r="F42" s="10"/>
      <c r="G42" s="10"/>
      <c r="H42" s="10"/>
      <c r="I42" s="10"/>
      <c r="J42" s="10"/>
      <c r="K42" s="10"/>
      <c r="L42" s="11"/>
    </row>
    <row r="43" spans="1:12" ht="17.149999999999999" customHeight="1" x14ac:dyDescent="0.35">
      <c r="A43" s="2"/>
      <c r="B43" s="74"/>
      <c r="C43" s="5"/>
      <c r="D43" s="6"/>
      <c r="E43" s="76" t="s">
        <v>1</v>
      </c>
      <c r="F43" s="77"/>
      <c r="G43" s="78"/>
      <c r="H43" s="4" t="s">
        <v>2</v>
      </c>
      <c r="I43" s="76" t="s">
        <v>3</v>
      </c>
      <c r="J43" s="77"/>
      <c r="K43" s="78"/>
      <c r="L43" s="12" t="s">
        <v>2</v>
      </c>
    </row>
    <row r="44" spans="1:12" ht="5.15" customHeight="1" x14ac:dyDescent="0.35">
      <c r="A44" s="2"/>
      <c r="B44" s="74"/>
      <c r="C44" s="80"/>
      <c r="D44" s="10"/>
      <c r="E44" s="13"/>
      <c r="F44" s="13"/>
      <c r="G44" s="13"/>
      <c r="H44" s="9"/>
      <c r="I44" s="13"/>
      <c r="J44" s="13"/>
      <c r="K44" s="13"/>
      <c r="L44" s="11"/>
    </row>
    <row r="45" spans="1:12" ht="16" customHeight="1" x14ac:dyDescent="0.35">
      <c r="A45" s="2"/>
      <c r="B45" s="74"/>
      <c r="C45" s="80"/>
      <c r="D45" s="40" t="s">
        <v>26</v>
      </c>
      <c r="E45" s="13"/>
      <c r="F45" s="14">
        <v>10000</v>
      </c>
      <c r="G45" s="13"/>
      <c r="H45" s="43" t="s">
        <v>6</v>
      </c>
      <c r="I45" s="13"/>
      <c r="J45" s="15" t="s">
        <v>7</v>
      </c>
      <c r="K45" s="13"/>
      <c r="L45" s="16" t="s">
        <v>6</v>
      </c>
    </row>
    <row r="46" spans="1:12" ht="5.15" customHeight="1" x14ac:dyDescent="0.35">
      <c r="A46" s="2"/>
      <c r="B46" s="74"/>
      <c r="C46" s="90"/>
      <c r="D46" s="41"/>
      <c r="E46" s="7"/>
      <c r="F46" s="7"/>
      <c r="G46" s="7"/>
      <c r="H46" s="6"/>
      <c r="I46" s="7"/>
      <c r="J46" s="7"/>
      <c r="K46" s="7"/>
      <c r="L46" s="42"/>
    </row>
    <row r="47" spans="1:12" ht="5.15" customHeight="1" x14ac:dyDescent="0.35">
      <c r="A47" s="2"/>
      <c r="B47" s="74"/>
      <c r="C47" s="80"/>
      <c r="D47" s="10"/>
      <c r="E47" s="13"/>
      <c r="F47" s="13"/>
      <c r="G47" s="13"/>
      <c r="H47" s="9"/>
      <c r="I47" s="13"/>
      <c r="J47" s="13"/>
      <c r="K47" s="13"/>
      <c r="L47" s="11"/>
    </row>
    <row r="48" spans="1:12" ht="16" customHeight="1" x14ac:dyDescent="0.35">
      <c r="A48" s="2"/>
      <c r="B48" s="74"/>
      <c r="C48" s="80"/>
      <c r="D48" s="40" t="s">
        <v>27</v>
      </c>
      <c r="E48" s="13"/>
      <c r="F48" s="33">
        <v>10000</v>
      </c>
      <c r="G48" s="13"/>
      <c r="H48" s="43" t="s">
        <v>22</v>
      </c>
      <c r="I48" s="13"/>
      <c r="J48" s="28" t="s">
        <v>7</v>
      </c>
      <c r="K48" s="13"/>
      <c r="L48" s="16" t="s">
        <v>20</v>
      </c>
    </row>
    <row r="49" spans="1:12" ht="5.15" customHeight="1" x14ac:dyDescent="0.35">
      <c r="A49" s="2"/>
      <c r="B49" s="74"/>
      <c r="C49" s="90"/>
      <c r="D49" s="41"/>
      <c r="E49" s="7"/>
      <c r="F49" s="7"/>
      <c r="G49" s="7"/>
      <c r="H49" s="6"/>
      <c r="I49" s="7"/>
      <c r="J49" s="7"/>
      <c r="K49" s="7"/>
      <c r="L49" s="42"/>
    </row>
    <row r="50" spans="1:12" ht="5.15" customHeight="1" x14ac:dyDescent="0.35">
      <c r="A50" s="2"/>
      <c r="B50" s="74"/>
      <c r="C50" s="80"/>
      <c r="D50" s="10"/>
      <c r="E50" s="13"/>
      <c r="F50" s="13"/>
      <c r="G50" s="13"/>
      <c r="H50" s="9"/>
      <c r="I50" s="13"/>
      <c r="J50" s="13"/>
      <c r="K50" s="13"/>
      <c r="L50" s="11"/>
    </row>
    <row r="51" spans="1:12" ht="16" customHeight="1" x14ac:dyDescent="0.35">
      <c r="A51" s="2"/>
      <c r="B51" s="74"/>
      <c r="C51" s="80"/>
      <c r="D51" s="40" t="s">
        <v>10</v>
      </c>
      <c r="E51" s="13"/>
      <c r="F51" s="14">
        <v>10000</v>
      </c>
      <c r="G51" s="13"/>
      <c r="H51" s="43" t="s">
        <v>6</v>
      </c>
      <c r="I51" s="13"/>
      <c r="J51" s="15" t="s">
        <v>7</v>
      </c>
      <c r="K51" s="13"/>
      <c r="L51" s="16" t="s">
        <v>6</v>
      </c>
    </row>
    <row r="52" spans="1:12" ht="5.15" customHeight="1" x14ac:dyDescent="0.35">
      <c r="A52" s="2"/>
      <c r="B52" s="74"/>
      <c r="C52" s="90"/>
      <c r="D52" s="41"/>
      <c r="E52" s="7"/>
      <c r="F52" s="7"/>
      <c r="G52" s="7"/>
      <c r="H52" s="6"/>
      <c r="I52" s="7"/>
      <c r="J52" s="7"/>
      <c r="K52" s="7"/>
      <c r="L52" s="42"/>
    </row>
    <row r="53" spans="1:12" ht="5.15" customHeight="1" x14ac:dyDescent="0.35">
      <c r="A53" s="2"/>
      <c r="B53" s="74"/>
      <c r="C53" s="80"/>
      <c r="D53" s="10"/>
      <c r="E53" s="13"/>
      <c r="F53" s="13"/>
      <c r="G53" s="13"/>
      <c r="H53" s="9"/>
      <c r="I53" s="13"/>
      <c r="J53" s="13"/>
      <c r="K53" s="13"/>
      <c r="L53" s="11"/>
    </row>
    <row r="54" spans="1:12" ht="16" customHeight="1" x14ac:dyDescent="0.35">
      <c r="A54" s="2"/>
      <c r="B54" s="74"/>
      <c r="C54" s="80"/>
      <c r="D54" s="40" t="s">
        <v>11</v>
      </c>
      <c r="E54" s="13"/>
      <c r="F54" s="30">
        <v>10000</v>
      </c>
      <c r="G54" s="13"/>
      <c r="H54" s="43" t="s">
        <v>21</v>
      </c>
      <c r="I54" s="13"/>
      <c r="J54" s="15" t="s">
        <v>7</v>
      </c>
      <c r="K54" s="13"/>
      <c r="L54" s="16" t="s">
        <v>20</v>
      </c>
    </row>
    <row r="55" spans="1:12" ht="5.15" customHeight="1" x14ac:dyDescent="0.35">
      <c r="A55" s="2"/>
      <c r="B55" s="74"/>
      <c r="C55" s="90"/>
      <c r="D55" s="41"/>
      <c r="E55" s="7"/>
      <c r="F55" s="7"/>
      <c r="G55" s="7"/>
      <c r="H55" s="6"/>
      <c r="I55" s="7"/>
      <c r="J55" s="7"/>
      <c r="K55" s="7"/>
      <c r="L55" s="42"/>
    </row>
    <row r="56" spans="1:12" ht="5.15" customHeight="1" x14ac:dyDescent="0.35">
      <c r="A56" s="2"/>
      <c r="B56" s="74"/>
      <c r="C56" s="80"/>
      <c r="D56" s="10"/>
      <c r="E56" s="13"/>
      <c r="F56" s="13"/>
      <c r="G56" s="13"/>
      <c r="H56" s="9"/>
      <c r="I56" s="13"/>
      <c r="J56" s="13"/>
      <c r="K56" s="13"/>
      <c r="L56" s="11"/>
    </row>
    <row r="57" spans="1:12" ht="16" customHeight="1" x14ac:dyDescent="0.35">
      <c r="A57" s="2"/>
      <c r="B57" s="74"/>
      <c r="C57" s="80"/>
      <c r="D57" s="40" t="s">
        <v>12</v>
      </c>
      <c r="E57" s="13"/>
      <c r="F57" s="13"/>
      <c r="G57" s="13"/>
      <c r="H57" s="9"/>
      <c r="I57" s="13"/>
      <c r="J57" s="13"/>
      <c r="K57" s="13"/>
      <c r="L57" s="11"/>
    </row>
    <row r="58" spans="1:12" ht="4.95" customHeight="1" x14ac:dyDescent="0.35">
      <c r="A58" s="2"/>
      <c r="B58" s="74"/>
      <c r="C58" s="45"/>
      <c r="D58" s="40"/>
      <c r="E58" s="13"/>
      <c r="F58" s="13"/>
      <c r="G58" s="13"/>
      <c r="H58" s="9"/>
      <c r="I58" s="13"/>
      <c r="J58" s="13"/>
      <c r="K58" s="13"/>
      <c r="L58" s="11"/>
    </row>
    <row r="59" spans="1:12" x14ac:dyDescent="0.35">
      <c r="A59" s="2"/>
      <c r="B59" s="74"/>
      <c r="C59" s="45"/>
      <c r="D59" s="36" t="s">
        <v>29</v>
      </c>
      <c r="E59" s="13"/>
      <c r="F59" s="51">
        <v>10000</v>
      </c>
      <c r="G59" s="13"/>
      <c r="H59" s="43" t="s">
        <v>30</v>
      </c>
      <c r="I59" s="13"/>
      <c r="J59" s="52" t="s">
        <v>7</v>
      </c>
      <c r="K59" s="13"/>
      <c r="L59" s="16" t="s">
        <v>30</v>
      </c>
    </row>
    <row r="60" spans="1:12" ht="4.95" customHeight="1" x14ac:dyDescent="0.35">
      <c r="A60" s="2"/>
      <c r="B60" s="74"/>
      <c r="C60" s="45"/>
      <c r="D60" s="35"/>
      <c r="E60" s="7"/>
      <c r="F60" s="7"/>
      <c r="G60" s="7"/>
      <c r="H60" s="6"/>
      <c r="I60" s="7"/>
      <c r="J60" s="7"/>
      <c r="K60" s="7"/>
      <c r="L60" s="46"/>
    </row>
    <row r="61" spans="1:12" ht="22" customHeight="1" x14ac:dyDescent="0.35">
      <c r="A61" s="2"/>
      <c r="B61" s="74"/>
      <c r="C61" s="39"/>
      <c r="D61" s="10"/>
      <c r="E61" s="10"/>
      <c r="F61" s="10"/>
      <c r="G61" s="10"/>
      <c r="H61" s="9"/>
      <c r="I61" s="10"/>
      <c r="J61" s="10"/>
      <c r="K61" s="10"/>
      <c r="L61" s="11"/>
    </row>
    <row r="62" spans="1:12" ht="5.15" customHeight="1" thickBot="1" x14ac:dyDescent="0.4">
      <c r="A62" s="2"/>
      <c r="B62" s="75"/>
      <c r="C62" s="44"/>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84" t="s">
        <v>13</v>
      </c>
      <c r="C65" s="85"/>
      <c r="D65" s="85"/>
      <c r="E65" s="85"/>
      <c r="F65" s="85"/>
      <c r="G65" s="85"/>
      <c r="H65" s="85"/>
      <c r="I65" s="85"/>
      <c r="J65" s="85"/>
      <c r="K65" s="85"/>
      <c r="L65" s="86"/>
    </row>
    <row r="66" spans="1:12" ht="28.4" customHeight="1" x14ac:dyDescent="0.35">
      <c r="A66" s="2"/>
      <c r="B66" s="87"/>
      <c r="C66" s="88"/>
      <c r="D66" s="88"/>
      <c r="E66" s="88"/>
      <c r="F66" s="88"/>
      <c r="G66" s="88"/>
      <c r="H66" s="88"/>
      <c r="I66" s="88"/>
      <c r="J66" s="88"/>
      <c r="K66" s="88"/>
      <c r="L66" s="89"/>
    </row>
    <row r="67" spans="1:12" ht="21.75" customHeight="1" x14ac:dyDescent="0.35">
      <c r="A67" s="2"/>
      <c r="B67" s="91" t="s">
        <v>4</v>
      </c>
      <c r="C67" s="10"/>
      <c r="D67" s="10"/>
      <c r="E67" s="10"/>
      <c r="F67" s="10"/>
      <c r="G67" s="10"/>
      <c r="H67" s="10"/>
      <c r="I67" s="10"/>
      <c r="J67" s="10"/>
      <c r="K67" s="10"/>
      <c r="L67" s="11"/>
    </row>
    <row r="68" spans="1:12" ht="18" customHeight="1" x14ac:dyDescent="0.35">
      <c r="A68" s="2"/>
      <c r="B68" s="74"/>
      <c r="C68" s="5"/>
      <c r="D68" s="6"/>
      <c r="E68" s="76" t="s">
        <v>1</v>
      </c>
      <c r="F68" s="77"/>
      <c r="G68" s="78"/>
      <c r="H68" s="4" t="s">
        <v>2</v>
      </c>
      <c r="I68" s="76" t="s">
        <v>3</v>
      </c>
      <c r="J68" s="77"/>
      <c r="K68" s="78"/>
      <c r="L68" s="12" t="s">
        <v>2</v>
      </c>
    </row>
    <row r="69" spans="1:12" ht="5.15" customHeight="1" x14ac:dyDescent="0.35">
      <c r="A69" s="2"/>
      <c r="B69" s="74"/>
      <c r="C69" s="79"/>
      <c r="D69" s="10"/>
      <c r="E69" s="13"/>
      <c r="F69" s="13"/>
      <c r="G69" s="13"/>
      <c r="H69" s="8"/>
      <c r="I69" s="13"/>
      <c r="J69" s="13"/>
      <c r="K69" s="13"/>
      <c r="L69" s="11"/>
    </row>
    <row r="70" spans="1:12" ht="15.75" customHeight="1" x14ac:dyDescent="0.35">
      <c r="A70" s="2"/>
      <c r="B70" s="74"/>
      <c r="C70" s="80"/>
      <c r="D70" s="40" t="s">
        <v>14</v>
      </c>
      <c r="E70" s="13"/>
      <c r="F70" s="14">
        <v>10000</v>
      </c>
      <c r="G70" s="13"/>
      <c r="H70" s="43" t="s">
        <v>6</v>
      </c>
      <c r="I70" s="13"/>
      <c r="J70" s="15" t="s">
        <v>7</v>
      </c>
      <c r="K70" s="13"/>
      <c r="L70" s="16" t="s">
        <v>6</v>
      </c>
    </row>
    <row r="71" spans="1:12" ht="5.15" customHeight="1" x14ac:dyDescent="0.35">
      <c r="A71" s="2"/>
      <c r="B71" s="74"/>
      <c r="C71" s="90"/>
      <c r="D71" s="41"/>
      <c r="E71" s="7"/>
      <c r="F71" s="7"/>
      <c r="G71" s="7"/>
      <c r="H71" s="6"/>
      <c r="I71" s="7"/>
      <c r="J71" s="7"/>
      <c r="K71" s="7"/>
      <c r="L71" s="42"/>
    </row>
    <row r="72" spans="1:12" ht="5.15" customHeight="1" x14ac:dyDescent="0.35">
      <c r="A72" s="2"/>
      <c r="B72" s="74"/>
      <c r="C72" s="80"/>
      <c r="D72" s="10"/>
      <c r="E72" s="13"/>
      <c r="F72" s="13"/>
      <c r="G72" s="13"/>
      <c r="H72" s="9"/>
      <c r="I72" s="13"/>
      <c r="J72" s="13"/>
      <c r="K72" s="13"/>
      <c r="L72" s="11"/>
    </row>
    <row r="73" spans="1:12" ht="15.75" customHeight="1" x14ac:dyDescent="0.35">
      <c r="A73" s="2"/>
      <c r="B73" s="74"/>
      <c r="C73" s="80"/>
      <c r="D73" s="40" t="s">
        <v>15</v>
      </c>
      <c r="E73" s="13"/>
      <c r="F73" s="14">
        <v>10000</v>
      </c>
      <c r="G73" s="13"/>
      <c r="H73" s="43" t="s">
        <v>6</v>
      </c>
      <c r="I73" s="13"/>
      <c r="J73" s="15" t="s">
        <v>7</v>
      </c>
      <c r="K73" s="13"/>
      <c r="L73" s="16" t="s">
        <v>6</v>
      </c>
    </row>
    <row r="74" spans="1:12" ht="5.15" customHeight="1" x14ac:dyDescent="0.35">
      <c r="A74" s="2"/>
      <c r="B74" s="92"/>
      <c r="C74" s="90"/>
      <c r="D74" s="41"/>
      <c r="E74" s="7"/>
      <c r="F74" s="7"/>
      <c r="G74" s="7"/>
      <c r="H74" s="6"/>
      <c r="I74" s="7"/>
      <c r="J74" s="7"/>
      <c r="K74" s="7"/>
      <c r="L74" s="42"/>
    </row>
    <row r="75" spans="1:12" ht="21.75" customHeight="1" x14ac:dyDescent="0.35">
      <c r="A75" s="2"/>
      <c r="B75" s="91" t="s">
        <v>8</v>
      </c>
      <c r="C75" s="10"/>
      <c r="D75" s="10"/>
      <c r="E75" s="10"/>
      <c r="F75" s="10"/>
      <c r="G75" s="10"/>
      <c r="H75" s="10"/>
      <c r="I75" s="10"/>
      <c r="J75" s="10"/>
      <c r="K75" s="10"/>
      <c r="L75" s="11"/>
    </row>
    <row r="76" spans="1:12" ht="18" customHeight="1" x14ac:dyDescent="0.35">
      <c r="A76" s="2"/>
      <c r="B76" s="74"/>
      <c r="C76" s="5"/>
      <c r="D76" s="6"/>
      <c r="E76" s="76" t="s">
        <v>1</v>
      </c>
      <c r="F76" s="77"/>
      <c r="G76" s="78"/>
      <c r="H76" s="4" t="s">
        <v>2</v>
      </c>
      <c r="I76" s="76" t="s">
        <v>3</v>
      </c>
      <c r="J76" s="77"/>
      <c r="K76" s="78"/>
      <c r="L76" s="12" t="s">
        <v>2</v>
      </c>
    </row>
    <row r="77" spans="1:12" ht="5.15" customHeight="1" x14ac:dyDescent="0.35">
      <c r="A77" s="2"/>
      <c r="B77" s="74"/>
      <c r="C77" s="79"/>
      <c r="D77" s="10"/>
      <c r="E77" s="13"/>
      <c r="F77" s="13"/>
      <c r="G77" s="13"/>
      <c r="H77" s="8"/>
      <c r="I77" s="13"/>
      <c r="J77" s="13"/>
      <c r="K77" s="13"/>
      <c r="L77" s="11"/>
    </row>
    <row r="78" spans="1:12" ht="15.75" customHeight="1" x14ac:dyDescent="0.35">
      <c r="A78" s="2"/>
      <c r="B78" s="74"/>
      <c r="C78" s="80"/>
      <c r="D78" s="40" t="s">
        <v>14</v>
      </c>
      <c r="E78" s="13"/>
      <c r="F78" s="14">
        <v>10000</v>
      </c>
      <c r="G78" s="13"/>
      <c r="H78" s="43" t="s">
        <v>6</v>
      </c>
      <c r="I78" s="13"/>
      <c r="J78" s="15" t="s">
        <v>7</v>
      </c>
      <c r="K78" s="13"/>
      <c r="L78" s="16" t="s">
        <v>6</v>
      </c>
    </row>
    <row r="79" spans="1:12" ht="5.15" customHeight="1" x14ac:dyDescent="0.35">
      <c r="A79" s="2"/>
      <c r="B79" s="74"/>
      <c r="C79" s="90"/>
      <c r="D79" s="41"/>
      <c r="E79" s="7"/>
      <c r="F79" s="7"/>
      <c r="G79" s="7"/>
      <c r="H79" s="6"/>
      <c r="I79" s="7"/>
      <c r="J79" s="7"/>
      <c r="K79" s="7"/>
      <c r="L79" s="42"/>
    </row>
    <row r="80" spans="1:12" ht="5.15" customHeight="1" x14ac:dyDescent="0.35">
      <c r="A80" s="2"/>
      <c r="B80" s="74"/>
      <c r="C80" s="80"/>
      <c r="D80" s="10"/>
      <c r="E80" s="13"/>
      <c r="F80" s="13"/>
      <c r="G80" s="13"/>
      <c r="H80" s="9"/>
      <c r="I80" s="13"/>
      <c r="J80" s="13"/>
      <c r="K80" s="13"/>
      <c r="L80" s="11"/>
    </row>
    <row r="81" spans="1:12" ht="15.75" customHeight="1" x14ac:dyDescent="0.35">
      <c r="A81" s="2"/>
      <c r="B81" s="74"/>
      <c r="C81" s="80"/>
      <c r="D81" s="40" t="s">
        <v>15</v>
      </c>
      <c r="E81" s="13"/>
      <c r="F81" s="14">
        <v>10000</v>
      </c>
      <c r="G81" s="13"/>
      <c r="H81" s="43" t="s">
        <v>6</v>
      </c>
      <c r="I81" s="13"/>
      <c r="J81" s="15" t="s">
        <v>7</v>
      </c>
      <c r="K81" s="13"/>
      <c r="L81" s="16" t="s">
        <v>6</v>
      </c>
    </row>
    <row r="82" spans="1:12" ht="5.15" customHeight="1" thickBot="1" x14ac:dyDescent="0.4">
      <c r="A82" s="2"/>
      <c r="B82" s="75"/>
      <c r="C82" s="81"/>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70757</xdr:rowOff>
              </from>
              <to>
                <xdr:col>7</xdr:col>
                <xdr:colOff>1801586</xdr:colOff>
                <xdr:row>65</xdr:row>
                <xdr:rowOff>0</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70757</xdr:rowOff>
              </from>
              <to>
                <xdr:col>9</xdr:col>
                <xdr:colOff>604157</xdr:colOff>
                <xdr:row>22</xdr:row>
                <xdr:rowOff>0</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70757</xdr:rowOff>
              </from>
              <to>
                <xdr:col>7</xdr:col>
                <xdr:colOff>1611086</xdr:colOff>
                <xdr:row>5</xdr:row>
                <xdr:rowOff>0</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451757</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185057</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185057</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2775857</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1137557</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908957</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908957</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1023257</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1023257</xdr:colOff>
                <xdr:row>19</xdr:row>
                <xdr:rowOff>185057</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1023257</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146957</xdr:rowOff>
              </from>
              <to>
                <xdr:col>11</xdr:col>
                <xdr:colOff>1137557</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908957</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908957</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1023257</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1023257</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1023257</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451757</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1023257</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1023257</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1023257</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1023257</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1023257</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1023257</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1023257</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1023257</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1023257</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1023257</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1023257</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1023257</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489857</xdr:colOff>
                <xdr:row>65</xdr:row>
                <xdr:rowOff>70757</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70757</xdr:rowOff>
              </from>
              <to>
                <xdr:col>3</xdr:col>
                <xdr:colOff>451757</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1023257</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1023257</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1023257</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1023257</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1023257</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1023257</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718457</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124"/>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I5" sqref="I5"/>
    </sheetView>
  </sheetViews>
  <sheetFormatPr defaultRowHeight="14.6" x14ac:dyDescent="0.4"/>
  <cols>
    <col min="1" max="5" width="1.3828125" bestFit="1" customWidth="1"/>
    <col min="6" max="6" width="10.15234375" bestFit="1" customWidth="1"/>
    <col min="7" max="7" width="9.61328125" bestFit="1" customWidth="1"/>
    <col min="8" max="8" width="12.61328125" bestFit="1" customWidth="1"/>
    <col min="9" max="9" width="9"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customHeight="1" x14ac:dyDescent="0.4">
      <c r="A1" s="93"/>
      <c r="B1" s="93"/>
      <c r="C1" s="93"/>
      <c r="D1" s="93"/>
      <c r="E1" s="93"/>
      <c r="F1" s="93"/>
      <c r="G1" s="93"/>
      <c r="H1" s="93"/>
      <c r="I1" s="93"/>
      <c r="J1" s="93"/>
      <c r="K1" s="94" t="str">
        <f>" "&amp;IFERROR(IF(SOP_Favorite_Name&lt;&gt;" ",SOP_Favorite_Name,IF(SOP_Template_Name&lt;&gt;" ",SOP_Template_Name,"Ad Hoc Planning View")),"Offline")</f>
        <v xml:space="preserve"> Change ABC Code</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3"/>
      <c r="X1" s="54"/>
      <c r="Y1" s="54"/>
      <c r="Z1" s="54"/>
      <c r="AA1" s="54"/>
      <c r="AB1" s="54"/>
      <c r="AC1" s="54"/>
      <c r="AD1" s="54"/>
      <c r="AE1" s="55"/>
      <c r="AF1" s="55"/>
      <c r="AG1" s="55"/>
      <c r="AH1" s="55"/>
      <c r="AI1" s="55"/>
      <c r="AJ1" s="55"/>
      <c r="AK1" s="55"/>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7"/>
      <c r="BS1" s="57"/>
      <c r="BT1" s="57"/>
      <c r="BU1" s="57"/>
      <c r="BV1" s="57"/>
      <c r="BW1" s="57"/>
      <c r="BX1" s="57"/>
      <c r="BY1" s="57"/>
      <c r="BZ1" s="57"/>
      <c r="CA1" s="57"/>
      <c r="CB1" s="57"/>
      <c r="CC1" s="57"/>
      <c r="CD1" s="57"/>
    </row>
    <row r="2" spans="1:82" s="31" customFormat="1" ht="60" customHeight="1" x14ac:dyDescent="0.4">
      <c r="A2" s="96"/>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2022-Apr-26   09:07:19</v>
      </c>
      <c r="L2" s="97"/>
      <c r="M2" s="97"/>
      <c r="N2" s="97"/>
      <c r="O2" s="97"/>
      <c r="P2" s="97"/>
      <c r="Q2" s="97"/>
      <c r="R2" s="97"/>
      <c r="S2" s="97"/>
      <c r="T2" s="97"/>
      <c r="U2" s="97"/>
      <c r="V2" s="97"/>
      <c r="W2" s="53"/>
      <c r="X2" s="54"/>
      <c r="Y2" s="54"/>
      <c r="Z2" s="54"/>
      <c r="AA2" s="54"/>
      <c r="AB2" s="54"/>
      <c r="AC2" s="54"/>
      <c r="AD2" s="54"/>
      <c r="AE2" s="55"/>
      <c r="AF2" s="55"/>
      <c r="AG2" s="55"/>
      <c r="AH2" s="55"/>
      <c r="AI2" s="55"/>
      <c r="AJ2" s="55"/>
      <c r="AK2" s="55"/>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7"/>
      <c r="BS2" s="57"/>
      <c r="BT2" s="57"/>
      <c r="BU2" s="57"/>
      <c r="BV2" s="57"/>
      <c r="BW2" s="57"/>
      <c r="BX2" s="57"/>
      <c r="BY2" s="57"/>
      <c r="BZ2" s="57"/>
      <c r="CA2" s="57"/>
      <c r="CB2" s="57"/>
      <c r="CC2" s="57"/>
      <c r="CD2" s="57"/>
    </row>
    <row r="3" spans="1:82" s="31" customFormat="1" ht="22.3" customHeight="1" x14ac:dyDescent="0.4">
      <c r="A3" s="60"/>
      <c r="B3" s="60"/>
      <c r="C3" s="60"/>
      <c r="D3" s="60"/>
      <c r="E3" s="60"/>
      <c r="F3" s="60"/>
      <c r="G3" s="60"/>
      <c r="H3" s="60"/>
      <c r="I3" s="60"/>
      <c r="J3" s="60"/>
      <c r="K3" s="61"/>
      <c r="L3" s="61"/>
      <c r="M3" s="61"/>
      <c r="N3" s="61"/>
      <c r="O3" s="61"/>
      <c r="P3" s="61"/>
      <c r="Q3" s="61"/>
      <c r="R3" s="61"/>
      <c r="S3" s="61"/>
      <c r="T3" s="61"/>
      <c r="U3" s="61"/>
      <c r="V3" s="61"/>
      <c r="W3" s="53"/>
      <c r="X3" s="54"/>
      <c r="Y3" s="54"/>
      <c r="Z3" s="54"/>
      <c r="AA3" s="54"/>
      <c r="AB3" s="54"/>
      <c r="AC3" s="54"/>
      <c r="AD3" s="54"/>
      <c r="AE3" s="55"/>
      <c r="AF3" s="55"/>
      <c r="AG3" s="55"/>
      <c r="AH3" s="55"/>
      <c r="AI3" s="55"/>
      <c r="AJ3" s="55"/>
      <c r="AK3" s="55"/>
      <c r="AL3" s="56"/>
      <c r="AM3" s="56"/>
      <c r="AN3" s="56"/>
      <c r="AO3" s="56"/>
      <c r="AP3" s="56"/>
      <c r="AQ3" s="56"/>
      <c r="AR3" s="56"/>
      <c r="AS3" s="56"/>
      <c r="AT3" s="56"/>
      <c r="AU3" s="56"/>
      <c r="AV3" s="56"/>
      <c r="AW3" s="56"/>
      <c r="AX3" s="56"/>
      <c r="AY3" s="56"/>
      <c r="AZ3" s="56"/>
      <c r="BA3" s="56"/>
      <c r="BB3" s="56"/>
      <c r="BC3" s="56"/>
      <c r="BD3" s="56"/>
      <c r="BE3" s="56"/>
      <c r="BF3" s="56"/>
      <c r="BG3" s="56"/>
      <c r="BH3" s="56"/>
      <c r="BI3" s="56"/>
      <c r="BJ3" s="56"/>
      <c r="BK3" s="56"/>
      <c r="BL3" s="56"/>
      <c r="BM3" s="56"/>
      <c r="BN3" s="56"/>
      <c r="BO3" s="56"/>
      <c r="BP3" s="56"/>
      <c r="BQ3" s="56"/>
      <c r="BR3" s="57"/>
      <c r="BS3" s="57"/>
      <c r="BT3" s="57"/>
      <c r="BU3" s="57"/>
      <c r="BV3" s="57"/>
      <c r="BW3" s="57"/>
      <c r="BX3" s="57"/>
      <c r="BY3" s="57"/>
      <c r="BZ3" s="57"/>
      <c r="CA3" s="57"/>
      <c r="CB3" s="57"/>
      <c r="CC3" s="57"/>
      <c r="CD3" s="57"/>
    </row>
    <row r="4" spans="1:82" s="32" customFormat="1" x14ac:dyDescent="0.4">
      <c r="A4" s="59" t="str">
        <f>SOP_Heading10</f>
        <v xml:space="preserve"> </v>
      </c>
      <c r="B4" s="59" t="str">
        <f>SOP_Heading9</f>
        <v xml:space="preserve"> </v>
      </c>
      <c r="C4" s="59" t="str">
        <f>SOP_Heading8</f>
        <v xml:space="preserve"> </v>
      </c>
      <c r="D4" s="59" t="str">
        <f>SOP_Heading7</f>
        <v xml:space="preserve"> </v>
      </c>
      <c r="E4" s="59" t="str">
        <f>SOP_Heading6</f>
        <v xml:space="preserve"> </v>
      </c>
      <c r="F4" s="59" t="str">
        <f>SOP_Heading5</f>
        <v xml:space="preserve"> </v>
      </c>
      <c r="G4" s="59" t="str">
        <f>SOP_Heading4</f>
        <v>Product ID</v>
      </c>
      <c r="H4" s="59" t="str">
        <f>SOP_Heading3</f>
        <v>Location ID</v>
      </c>
      <c r="I4" s="59" t="str">
        <f>SOP_Heading2</f>
        <v>ABC Code</v>
      </c>
      <c r="J4" s="59" t="str">
        <f>SOP_Heading1</f>
        <v>Key Figure</v>
      </c>
      <c r="K4" s="37" t="str">
        <f xml:space="preserve"> _xll.EPMOlapMemberO("[PERIODID3].[].[70613]","","JAN 2021","","000")</f>
        <v>JAN 2021</v>
      </c>
      <c r="L4" s="37" t="str">
        <f xml:space="preserve"> _xll.EPMOlapMemberO("[PERIODID3].[].[70614]","","FEB 2021","","000")</f>
        <v>FEB 2021</v>
      </c>
      <c r="M4" s="37" t="str">
        <f xml:space="preserve"> _xll.EPMOlapMemberO("[PERIODID3].[].[70615]","","MAR 2021","","000")</f>
        <v>MAR 2021</v>
      </c>
      <c r="N4" s="37" t="str">
        <f xml:space="preserve"> _xll.EPMOlapMemberO("[PERIODID3].[].[70616]","","APR 2021","","000")</f>
        <v>APR 2021</v>
      </c>
      <c r="O4" s="37" t="str">
        <f xml:space="preserve"> _xll.EPMOlapMemberO("[PERIODID3].[].[70617]","","MAY 2021","","000")</f>
        <v>MAY 2021</v>
      </c>
      <c r="P4" s="37" t="str">
        <f xml:space="preserve"> _xll.EPMOlapMemberO("[PERIODID3].[].[70618]","","JUN 2021","","000")</f>
        <v>JUN 2021</v>
      </c>
      <c r="Q4" s="37" t="str">
        <f xml:space="preserve"> _xll.EPMOlapMemberO("[PERIODID3].[].[70619]","","JUL 2021","","000")</f>
        <v>JUL 2021</v>
      </c>
      <c r="R4" s="37" t="str">
        <f xml:space="preserve"> _xll.EPMOlapMemberO("[PERIODID3].[].[70620]","","AUG 2021","","000")</f>
        <v>AUG 2021</v>
      </c>
      <c r="S4" s="37" t="str">
        <f xml:space="preserve"> _xll.EPMOlapMemberO("[PERIODID3].[].[70621]","","SEP 2021","","000")</f>
        <v>SEP 2021</v>
      </c>
      <c r="T4" s="37" t="str">
        <f xml:space="preserve"> _xll.EPMOlapMemberO("[PERIODID3].[].[70622]","","OCT 2021","","000")</f>
        <v>OCT 2021</v>
      </c>
      <c r="U4" s="37" t="str">
        <f xml:space="preserve"> _xll.EPMOlapMemberO("[PERIODID3].[].[70623]","","NOV 2021","","000")</f>
        <v>NOV 2021</v>
      </c>
      <c r="V4" s="37" t="str">
        <f xml:space="preserve"> _xll.EPMOlapMemberO("[PERIODID3].[].[70624]","","DEC 2021","","000")</f>
        <v>DEC 2021</v>
      </c>
      <c r="W4"/>
      <c r="X4"/>
      <c r="Y4"/>
      <c r="Z4"/>
      <c r="AA4"/>
      <c r="AB4"/>
      <c r="AC4"/>
      <c r="AD4"/>
      <c r="AE4"/>
      <c r="AF4"/>
      <c r="AG4"/>
      <c r="AH4"/>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row>
    <row r="5" spans="1:82" x14ac:dyDescent="0.4">
      <c r="A5" s="58"/>
      <c r="B5" s="58"/>
      <c r="C5" s="58"/>
      <c r="D5" s="58"/>
      <c r="E5" s="58"/>
      <c r="G5" s="29" t="str">
        <f xml:space="preserve"> _xll.EPMOlapMemberO("[PRDID].[].[HT_001]","","HT_001","","000")</f>
        <v>HT_001</v>
      </c>
      <c r="H5" s="29" t="str">
        <f xml:space="preserve"> _xll.EPMOlapMemberO("[LOCID].[].[HD_DC_CA_E]","","HD_DC_CA_E","","000")</f>
        <v>HD_DC_CA_E</v>
      </c>
      <c r="I5" s="29" t="str">
        <f xml:space="preserve"> _xll.EPMOlapMemberO("[ABCID].[].[A]","","A","","000")</f>
        <v>A</v>
      </c>
      <c r="J5" s="29" t="str">
        <f xml:space="preserve"> _xll.EPMOlapMemberO("[KEY_FIGURES].[].[CONSENSUSDEMAND]","","Consensus Demand without Promotion","","000")</f>
        <v>Consensus Demand without Promotion</v>
      </c>
      <c r="K5" s="62">
        <v>100</v>
      </c>
      <c r="L5" s="63">
        <v>1651.5</v>
      </c>
      <c r="M5" s="62">
        <v>8000</v>
      </c>
      <c r="N5" s="62">
        <v>1000</v>
      </c>
      <c r="O5" s="64">
        <v>6944</v>
      </c>
      <c r="P5" s="64">
        <v>100</v>
      </c>
      <c r="Q5" s="64">
        <v>125</v>
      </c>
      <c r="R5" s="64">
        <v>100</v>
      </c>
      <c r="S5" s="63">
        <v>100</v>
      </c>
      <c r="T5" s="63">
        <v>100</v>
      </c>
      <c r="U5" s="63">
        <v>300</v>
      </c>
      <c r="V5" s="62">
        <v>5000</v>
      </c>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row>
    <row r="6" spans="1:82" x14ac:dyDescent="0.4">
      <c r="A6" s="58"/>
      <c r="B6" s="58"/>
      <c r="C6" s="58"/>
      <c r="D6" s="58"/>
      <c r="E6" s="58"/>
      <c r="G6" s="29"/>
      <c r="H6" s="29"/>
      <c r="I6" s="29"/>
      <c r="J6" s="29" t="str">
        <f xml:space="preserve"> _xll.EPMOlapMemberO("[KEY_FIGURES].[].[DEMANDPLANNINGQTY]","","Demand Planning Qty","","000")</f>
        <v>Demand Planning Qty</v>
      </c>
      <c r="K6" s="34">
        <v>0</v>
      </c>
      <c r="L6" s="34">
        <v>0</v>
      </c>
      <c r="M6" s="34">
        <v>343</v>
      </c>
      <c r="N6" s="34">
        <v>0</v>
      </c>
      <c r="O6" s="34">
        <v>0</v>
      </c>
      <c r="P6" s="34"/>
      <c r="Q6" s="34"/>
      <c r="R6" s="34"/>
      <c r="S6" s="34">
        <v>0</v>
      </c>
      <c r="T6" s="34">
        <v>0</v>
      </c>
      <c r="U6" s="34">
        <v>0</v>
      </c>
      <c r="V6" s="34">
        <v>13.5</v>
      </c>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row>
    <row r="7" spans="1:82" x14ac:dyDescent="0.4">
      <c r="A7" s="58"/>
      <c r="B7" s="58"/>
      <c r="C7" s="58"/>
      <c r="D7" s="58"/>
      <c r="E7" s="58"/>
      <c r="G7" s="29"/>
      <c r="H7" s="29"/>
      <c r="I7" s="29"/>
      <c r="J7" s="29" t="str">
        <f xml:space="preserve"> _xll.EPMOlapMemberO("[KEY_FIGURES].[].[FINALCONSENSUSDEMAND]","","Consensus Demand","","000")</f>
        <v>Consensus Demand</v>
      </c>
      <c r="K7" s="34">
        <v>100</v>
      </c>
      <c r="L7" s="34">
        <v>17316.5</v>
      </c>
      <c r="M7" s="34">
        <v>8000</v>
      </c>
      <c r="N7" s="34">
        <v>1000</v>
      </c>
      <c r="O7" s="34">
        <v>6944</v>
      </c>
      <c r="P7" s="34">
        <v>100</v>
      </c>
      <c r="Q7" s="34">
        <v>125</v>
      </c>
      <c r="R7" s="34">
        <v>100</v>
      </c>
      <c r="S7" s="34">
        <v>100</v>
      </c>
      <c r="T7" s="34">
        <v>100</v>
      </c>
      <c r="U7" s="34">
        <v>300</v>
      </c>
      <c r="V7" s="34">
        <v>5000</v>
      </c>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58"/>
      <c r="BT7" s="58"/>
      <c r="BU7" s="58"/>
      <c r="BV7" s="58"/>
      <c r="BW7" s="58"/>
      <c r="BX7" s="58"/>
      <c r="BY7" s="58"/>
      <c r="BZ7" s="58"/>
      <c r="CA7" s="58"/>
      <c r="CB7" s="58"/>
      <c r="CC7" s="58"/>
      <c r="CD7" s="58"/>
    </row>
    <row r="8" spans="1:82" x14ac:dyDescent="0.4">
      <c r="A8" s="58"/>
      <c r="B8" s="58"/>
      <c r="C8" s="58"/>
      <c r="D8" s="58"/>
      <c r="E8" s="58"/>
      <c r="G8" s="29"/>
      <c r="H8" s="29"/>
      <c r="I8" s="29"/>
      <c r="J8" s="29" t="str">
        <f xml:space="preserve"> _xll.EPMOlapMemberO("[KEY_FIGURES].[].[ADJDELIVQTY]","","Delivered Qty Adjusted","","000")</f>
        <v>Delivered Qty Adjusted</v>
      </c>
      <c r="K8" s="62">
        <v>100</v>
      </c>
      <c r="L8" s="62">
        <v>2100</v>
      </c>
      <c r="M8" s="62">
        <v>2325</v>
      </c>
      <c r="N8" s="62">
        <v>1710</v>
      </c>
      <c r="O8" s="62">
        <v>1479</v>
      </c>
      <c r="P8" s="62">
        <v>1437</v>
      </c>
      <c r="Q8" s="62">
        <v>43242</v>
      </c>
      <c r="R8" s="62">
        <v>45</v>
      </c>
      <c r="S8" s="62">
        <v>0</v>
      </c>
      <c r="T8" s="62">
        <v>0</v>
      </c>
      <c r="U8" s="62">
        <v>100000</v>
      </c>
      <c r="V8" s="62">
        <v>0</v>
      </c>
      <c r="AI8" s="58"/>
      <c r="AJ8" s="58"/>
      <c r="AK8" s="58"/>
      <c r="AL8" s="58"/>
      <c r="AM8" s="58"/>
      <c r="AN8" s="58"/>
      <c r="AO8" s="58"/>
      <c r="AP8" s="58"/>
      <c r="AQ8" s="58"/>
      <c r="AR8" s="58"/>
      <c r="AS8" s="58"/>
      <c r="AT8" s="58"/>
      <c r="AU8" s="58"/>
      <c r="AV8" s="58"/>
      <c r="AW8" s="58"/>
      <c r="AX8" s="58"/>
      <c r="AY8" s="58"/>
      <c r="AZ8" s="58"/>
      <c r="BA8" s="58"/>
      <c r="BB8" s="58"/>
      <c r="BC8" s="58"/>
      <c r="BD8" s="58"/>
      <c r="BE8" s="58"/>
      <c r="BF8" s="58"/>
      <c r="BG8" s="58"/>
      <c r="BH8" s="58"/>
      <c r="BI8" s="58"/>
      <c r="BJ8" s="58"/>
      <c r="BK8" s="58"/>
      <c r="BL8" s="58"/>
      <c r="BM8" s="58"/>
      <c r="BN8" s="58"/>
      <c r="BO8" s="58"/>
      <c r="BP8" s="58"/>
      <c r="BQ8" s="58"/>
      <c r="BR8" s="58"/>
      <c r="BS8" s="58"/>
      <c r="BT8" s="58"/>
      <c r="BU8" s="58"/>
      <c r="BV8" s="58"/>
      <c r="BW8" s="58"/>
      <c r="BX8" s="58"/>
      <c r="BY8" s="58"/>
      <c r="BZ8" s="58"/>
      <c r="CA8" s="58"/>
      <c r="CB8" s="58"/>
      <c r="CC8" s="58"/>
      <c r="CD8" s="58"/>
    </row>
    <row r="9" spans="1:82" x14ac:dyDescent="0.4">
      <c r="A9" s="58"/>
      <c r="B9" s="58"/>
      <c r="C9" s="58"/>
      <c r="D9" s="58"/>
      <c r="E9" s="58"/>
      <c r="G9" s="29"/>
      <c r="H9" s="29"/>
      <c r="I9" s="29"/>
      <c r="J9" s="29" t="str">
        <f xml:space="preserve"> _xll.EPMOlapMemberO("[KEY_FIGURES].[].[ACTUALSREV]","","Actuals Revenue","","000")</f>
        <v>Actuals Revenue</v>
      </c>
      <c r="K9" s="62"/>
      <c r="L9" s="62"/>
      <c r="M9" s="62"/>
      <c r="N9" s="62"/>
      <c r="O9" s="62"/>
      <c r="P9" s="62"/>
      <c r="Q9" s="62"/>
      <c r="R9" s="62"/>
      <c r="S9" s="62"/>
      <c r="T9" s="62"/>
      <c r="U9" s="62"/>
      <c r="V9" s="62"/>
      <c r="AI9" s="58"/>
      <c r="AJ9" s="58"/>
      <c r="AK9" s="58"/>
      <c r="AL9" s="58"/>
      <c r="AM9" s="58"/>
      <c r="AN9" s="58"/>
      <c r="AO9" s="58"/>
      <c r="AP9" s="58"/>
      <c r="AQ9" s="58"/>
      <c r="AR9" s="58"/>
      <c r="AS9" s="58"/>
      <c r="AT9" s="58"/>
      <c r="AU9" s="58"/>
      <c r="AV9" s="58"/>
      <c r="AW9" s="58"/>
      <c r="AX9" s="58"/>
      <c r="AY9" s="58"/>
      <c r="AZ9" s="58"/>
      <c r="BA9" s="58"/>
      <c r="BB9" s="58"/>
      <c r="BC9" s="58"/>
      <c r="BD9" s="58"/>
      <c r="BE9" s="58"/>
      <c r="BF9" s="58"/>
      <c r="BG9" s="58"/>
      <c r="BH9" s="58"/>
      <c r="BI9" s="58"/>
      <c r="BJ9" s="58"/>
      <c r="BK9" s="58"/>
      <c r="BL9" s="58"/>
      <c r="BM9" s="58"/>
      <c r="BN9" s="58"/>
      <c r="BO9" s="58"/>
      <c r="BP9" s="58"/>
      <c r="BQ9" s="58"/>
      <c r="BR9" s="58"/>
      <c r="BS9" s="58"/>
      <c r="BT9" s="58"/>
      <c r="BU9" s="58"/>
      <c r="BV9" s="58"/>
      <c r="BW9" s="58"/>
      <c r="BX9" s="58"/>
      <c r="BY9" s="58"/>
      <c r="BZ9" s="58"/>
      <c r="CA9" s="58"/>
      <c r="CB9" s="58"/>
      <c r="CC9" s="58"/>
      <c r="CD9" s="58"/>
    </row>
    <row r="10" spans="1:82" x14ac:dyDescent="0.4">
      <c r="A10" s="58"/>
      <c r="B10" s="58"/>
      <c r="C10" s="58"/>
      <c r="D10" s="58"/>
      <c r="E10" s="58"/>
      <c r="G10" s="29"/>
      <c r="H10" s="29"/>
      <c r="I10" s="29"/>
      <c r="J10" s="29" t="str">
        <f xml:space="preserve"> _xll.EPMOlapMemberO("[KEY_FIGURES].[].[CONFQTY]","","Confirmed Qty","","000")</f>
        <v>Confirmed Qty</v>
      </c>
      <c r="K10" s="34"/>
      <c r="L10" s="34"/>
      <c r="M10" s="34"/>
      <c r="N10" s="34"/>
      <c r="O10" s="34"/>
      <c r="P10" s="34"/>
      <c r="Q10" s="34"/>
      <c r="R10" s="34"/>
      <c r="S10" s="34"/>
      <c r="T10" s="34"/>
      <c r="U10" s="34"/>
      <c r="V10" s="34"/>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row>
    <row r="11" spans="1:82" x14ac:dyDescent="0.4">
      <c r="A11" s="58"/>
      <c r="B11" s="58"/>
      <c r="C11" s="58"/>
      <c r="D11" s="58"/>
      <c r="E11" s="58"/>
      <c r="G11" s="29"/>
      <c r="H11" s="29" t="str">
        <f xml:space="preserve"> _xll.EPMOlapMemberO("[LOCID].[].[HD_DC_FR]","","HD_DC_FR","","000")</f>
        <v>HD_DC_FR</v>
      </c>
      <c r="I11" s="29" t="str">
        <f xml:space="preserve"> _xll.EPMOlapMemberO("[ABCID].[].[A]","","A","","000")</f>
        <v>A</v>
      </c>
      <c r="J11" s="29" t="str">
        <f xml:space="preserve"> _xll.EPMOlapMemberO("[KEY_FIGURES].[].[CONSENSUSDEMAND]","","Consensus Demand without Promotion","","000")</f>
        <v>Consensus Demand without Promotion</v>
      </c>
      <c r="K11" s="64">
        <v>45</v>
      </c>
      <c r="L11" s="62">
        <v>100</v>
      </c>
      <c r="M11" s="64">
        <v>22500</v>
      </c>
      <c r="N11" s="64">
        <v>200</v>
      </c>
      <c r="O11" s="64">
        <v>250</v>
      </c>
      <c r="P11" s="64">
        <v>150</v>
      </c>
      <c r="Q11" s="62"/>
      <c r="R11" s="62"/>
      <c r="S11" s="62">
        <v>1000</v>
      </c>
      <c r="T11" s="62">
        <v>450</v>
      </c>
      <c r="U11" s="62">
        <v>0</v>
      </c>
      <c r="V11" s="62">
        <v>0</v>
      </c>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c r="BQ11" s="58"/>
      <c r="BR11" s="58"/>
      <c r="BS11" s="58"/>
      <c r="BT11" s="58"/>
      <c r="BU11" s="58"/>
      <c r="BV11" s="58"/>
      <c r="BW11" s="58"/>
      <c r="BX11" s="58"/>
      <c r="BY11" s="58"/>
      <c r="BZ11" s="58"/>
      <c r="CA11" s="58"/>
      <c r="CB11" s="58"/>
      <c r="CC11" s="58"/>
      <c r="CD11" s="58"/>
    </row>
    <row r="12" spans="1:82" x14ac:dyDescent="0.4">
      <c r="A12" s="58"/>
      <c r="B12" s="58"/>
      <c r="C12" s="58"/>
      <c r="D12" s="58"/>
      <c r="E12" s="58"/>
      <c r="G12" s="29"/>
      <c r="H12" s="29"/>
      <c r="I12" s="29"/>
      <c r="J12" s="29" t="str">
        <f xml:space="preserve"> _xll.EPMOlapMemberO("[KEY_FIGURES].[].[DEMANDPLANNINGQTY]","","Demand Planning Qty","","000")</f>
        <v>Demand Planning Qty</v>
      </c>
      <c r="K12" s="34">
        <v>45</v>
      </c>
      <c r="L12" s="34">
        <v>0</v>
      </c>
      <c r="M12" s="34">
        <v>0</v>
      </c>
      <c r="N12" s="34">
        <v>0</v>
      </c>
      <c r="O12" s="34">
        <v>0</v>
      </c>
      <c r="P12" s="34"/>
      <c r="Q12" s="34"/>
      <c r="R12" s="34"/>
      <c r="S12" s="34">
        <v>0</v>
      </c>
      <c r="T12" s="34">
        <v>0</v>
      </c>
      <c r="U12" s="34">
        <v>0</v>
      </c>
      <c r="V12" s="34">
        <v>12</v>
      </c>
      <c r="AI12" s="58"/>
      <c r="AJ12" s="58"/>
      <c r="AK12" s="58"/>
      <c r="AL12" s="58"/>
      <c r="AM12" s="58"/>
      <c r="AN12" s="58"/>
      <c r="AO12" s="58"/>
      <c r="AP12" s="58"/>
      <c r="AQ12" s="58"/>
      <c r="AR12" s="58"/>
      <c r="AS12" s="58"/>
      <c r="AT12" s="58"/>
      <c r="AU12" s="58"/>
      <c r="AV12" s="58"/>
      <c r="AW12" s="58"/>
      <c r="AX12" s="58"/>
      <c r="AY12" s="58"/>
      <c r="AZ12" s="58"/>
      <c r="BA12" s="58"/>
      <c r="BB12" s="58"/>
      <c r="BC12" s="58"/>
      <c r="BD12" s="58"/>
      <c r="BE12" s="58"/>
      <c r="BF12" s="58"/>
      <c r="BG12" s="58"/>
      <c r="BH12" s="58"/>
      <c r="BI12" s="58"/>
      <c r="BJ12" s="58"/>
      <c r="BK12" s="58"/>
      <c r="BL12" s="58"/>
      <c r="BM12" s="58"/>
      <c r="BN12" s="58"/>
      <c r="BO12" s="58"/>
      <c r="BP12" s="58"/>
      <c r="BQ12" s="58"/>
      <c r="BR12" s="58"/>
      <c r="BS12" s="58"/>
      <c r="BT12" s="58"/>
      <c r="BU12" s="58"/>
      <c r="BV12" s="58"/>
      <c r="BW12" s="58"/>
      <c r="BX12" s="58"/>
      <c r="BY12" s="58"/>
      <c r="BZ12" s="58"/>
      <c r="CA12" s="58"/>
      <c r="CB12" s="58"/>
      <c r="CC12" s="58"/>
      <c r="CD12" s="58"/>
    </row>
    <row r="13" spans="1:82" x14ac:dyDescent="0.4">
      <c r="A13" s="58"/>
      <c r="B13" s="58"/>
      <c r="C13" s="58"/>
      <c r="D13" s="58"/>
      <c r="E13" s="58"/>
      <c r="G13" s="29"/>
      <c r="H13" s="29"/>
      <c r="I13" s="29"/>
      <c r="J13" s="29" t="str">
        <f xml:space="preserve"> _xll.EPMOlapMemberO("[KEY_FIGURES].[].[FINALCONSENSUSDEMAND]","","Consensus Demand","","000")</f>
        <v>Consensus Demand</v>
      </c>
      <c r="K13" s="34">
        <v>45</v>
      </c>
      <c r="L13" s="34">
        <v>100</v>
      </c>
      <c r="M13" s="34">
        <v>22500</v>
      </c>
      <c r="N13" s="34">
        <v>200</v>
      </c>
      <c r="O13" s="34">
        <v>250</v>
      </c>
      <c r="P13" s="34">
        <v>150</v>
      </c>
      <c r="Q13" s="34"/>
      <c r="R13" s="34"/>
      <c r="S13" s="34">
        <v>1000</v>
      </c>
      <c r="T13" s="34">
        <v>450</v>
      </c>
      <c r="U13" s="34">
        <v>0</v>
      </c>
      <c r="V13" s="34">
        <v>0</v>
      </c>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c r="BG13" s="58"/>
      <c r="BH13" s="58"/>
      <c r="BI13" s="58"/>
      <c r="BJ13" s="58"/>
      <c r="BK13" s="58"/>
      <c r="BL13" s="58"/>
      <c r="BM13" s="58"/>
      <c r="BN13" s="58"/>
      <c r="BO13" s="58"/>
      <c r="BP13" s="58"/>
      <c r="BQ13" s="58"/>
      <c r="BR13" s="58"/>
      <c r="BS13" s="58"/>
      <c r="BT13" s="58"/>
      <c r="BU13" s="58"/>
      <c r="BV13" s="58"/>
      <c r="BW13" s="58"/>
      <c r="BX13" s="58"/>
      <c r="BY13" s="58"/>
      <c r="BZ13" s="58"/>
      <c r="CA13" s="58"/>
      <c r="CB13" s="58"/>
      <c r="CC13" s="58"/>
      <c r="CD13" s="58"/>
    </row>
    <row r="14" spans="1:82" x14ac:dyDescent="0.4">
      <c r="A14" s="58"/>
      <c r="B14" s="58"/>
      <c r="C14" s="58"/>
      <c r="D14" s="58"/>
      <c r="E14" s="58"/>
      <c r="G14" s="29"/>
      <c r="H14" s="29"/>
      <c r="I14" s="29"/>
      <c r="J14" s="29" t="str">
        <f xml:space="preserve"> _xll.EPMOlapMemberO("[KEY_FIGURES].[].[ADJDELIVQTY]","","Delivered Qty Adjusted","","000")</f>
        <v>Delivered Qty Adjusted</v>
      </c>
      <c r="K14" s="62">
        <v>9666.5</v>
      </c>
      <c r="L14" s="62">
        <v>8736</v>
      </c>
      <c r="M14" s="62">
        <v>9672</v>
      </c>
      <c r="N14" s="62">
        <v>1365</v>
      </c>
      <c r="O14" s="62">
        <v>1410.5</v>
      </c>
      <c r="P14" s="62">
        <v>1425</v>
      </c>
      <c r="Q14" s="62">
        <v>42</v>
      </c>
      <c r="R14" s="62">
        <v>30.5</v>
      </c>
      <c r="S14" s="62">
        <v>0</v>
      </c>
      <c r="T14" s="62">
        <v>0</v>
      </c>
      <c r="U14" s="62">
        <v>67</v>
      </c>
      <c r="V14" s="62">
        <v>0</v>
      </c>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row>
    <row r="15" spans="1:82" x14ac:dyDescent="0.4">
      <c r="A15" s="58"/>
      <c r="B15" s="58"/>
      <c r="C15" s="58"/>
      <c r="D15" s="58"/>
      <c r="E15" s="58"/>
      <c r="G15" s="29"/>
      <c r="H15" s="29"/>
      <c r="I15" s="29"/>
      <c r="J15" s="29" t="str">
        <f xml:space="preserve"> _xll.EPMOlapMemberO("[KEY_FIGURES].[].[ACTUALSREV]","","Actuals Revenue","","000")</f>
        <v>Actuals Revenue</v>
      </c>
      <c r="K15" s="62"/>
      <c r="L15" s="62"/>
      <c r="M15" s="62"/>
      <c r="N15" s="62"/>
      <c r="O15" s="62"/>
      <c r="P15" s="62"/>
      <c r="Q15" s="62"/>
      <c r="R15" s="62"/>
      <c r="S15" s="62"/>
      <c r="T15" s="62"/>
      <c r="U15" s="62"/>
      <c r="V15" s="62"/>
      <c r="AI15" s="58"/>
      <c r="AJ15" s="58"/>
      <c r="AK15" s="58"/>
      <c r="AL15" s="58"/>
      <c r="AM15" s="58"/>
      <c r="AN15" s="58"/>
      <c r="AO15" s="58"/>
      <c r="AP15" s="58"/>
      <c r="AQ15" s="58"/>
      <c r="AR15" s="58"/>
      <c r="AS15" s="58"/>
      <c r="AT15" s="58"/>
      <c r="AU15" s="58"/>
      <c r="AV15" s="58"/>
      <c r="AW15" s="58"/>
      <c r="AX15" s="58"/>
      <c r="AY15" s="58"/>
      <c r="AZ15" s="58"/>
      <c r="BA15" s="58"/>
      <c r="BB15" s="58"/>
      <c r="BC15" s="58"/>
      <c r="BD15" s="58"/>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row>
    <row r="16" spans="1:82" x14ac:dyDescent="0.4">
      <c r="A16" s="58"/>
      <c r="B16" s="58"/>
      <c r="C16" s="58"/>
      <c r="D16" s="58"/>
      <c r="E16" s="58"/>
      <c r="G16" s="29"/>
      <c r="H16" s="29"/>
      <c r="I16" s="29"/>
      <c r="J16" s="29" t="str">
        <f xml:space="preserve"> _xll.EPMOlapMemberO("[KEY_FIGURES].[].[CONFQTY]","","Confirmed Qty","","000")</f>
        <v>Confirmed Qty</v>
      </c>
      <c r="K16" s="34"/>
      <c r="L16" s="34"/>
      <c r="M16" s="34"/>
      <c r="N16" s="34"/>
      <c r="O16" s="34"/>
      <c r="P16" s="34"/>
      <c r="Q16" s="34"/>
      <c r="R16" s="34"/>
      <c r="S16" s="34"/>
      <c r="T16" s="34"/>
      <c r="U16" s="34"/>
      <c r="V16" s="34"/>
      <c r="AI16" s="58"/>
      <c r="AJ16" s="58"/>
      <c r="AK16" s="58"/>
      <c r="AL16" s="58"/>
      <c r="AM16" s="58"/>
      <c r="AN16" s="58"/>
      <c r="AO16" s="58"/>
      <c r="AP16" s="58"/>
      <c r="AQ16" s="58"/>
      <c r="AR16" s="58"/>
      <c r="AS16" s="58"/>
      <c r="AT16" s="58"/>
      <c r="AU16" s="58"/>
      <c r="AV16" s="58"/>
      <c r="AW16" s="58"/>
      <c r="AX16" s="58"/>
      <c r="AY16" s="58"/>
      <c r="AZ16" s="58"/>
      <c r="BA16" s="58"/>
      <c r="BB16" s="58"/>
      <c r="BC16" s="58"/>
      <c r="BD16" s="58"/>
      <c r="BE16" s="58"/>
      <c r="BF16" s="58"/>
      <c r="BG16" s="58"/>
      <c r="BH16" s="58"/>
      <c r="BI16" s="58"/>
      <c r="BJ16" s="58"/>
      <c r="BK16" s="58"/>
      <c r="BL16" s="58"/>
      <c r="BM16" s="58"/>
      <c r="BN16" s="58"/>
      <c r="BO16" s="58"/>
      <c r="BP16" s="58"/>
      <c r="BQ16" s="58"/>
      <c r="BR16" s="58"/>
      <c r="BS16" s="58"/>
      <c r="BT16" s="58"/>
      <c r="BU16" s="58"/>
      <c r="BV16" s="58"/>
      <c r="BW16" s="58"/>
      <c r="BX16" s="58"/>
      <c r="BY16" s="58"/>
      <c r="BZ16" s="58"/>
      <c r="CA16" s="58"/>
      <c r="CB16" s="58"/>
      <c r="CC16" s="58"/>
      <c r="CD16" s="58"/>
    </row>
    <row r="17" spans="1:82" x14ac:dyDescent="0.4">
      <c r="A17" s="58"/>
      <c r="B17" s="58"/>
      <c r="C17" s="58"/>
      <c r="D17" s="58"/>
      <c r="E17" s="58"/>
      <c r="G17" s="29"/>
      <c r="H17" s="29" t="str">
        <f xml:space="preserve"> _xll.EPMOlapMemberO("[LOCID].[].[HD_DC_US_E]","","HD_DC_US_E","","000")</f>
        <v>HD_DC_US_E</v>
      </c>
      <c r="I17" s="29" t="str">
        <f xml:space="preserve"> _xll.EPMOlapMemberO("[ABCID].[].[A]","","A","","000")</f>
        <v>A</v>
      </c>
      <c r="J17" s="29" t="str">
        <f xml:space="preserve"> _xll.EPMOlapMemberO("[KEY_FIGURES].[].[CONSENSUSDEMAND]","","Consensus Demand without Promotion","","000")</f>
        <v>Consensus Demand without Promotion</v>
      </c>
      <c r="K17" s="62"/>
      <c r="L17" s="64">
        <v>50</v>
      </c>
      <c r="M17" s="62">
        <v>200</v>
      </c>
      <c r="N17" s="64">
        <v>1388.5</v>
      </c>
      <c r="O17" s="64">
        <v>250</v>
      </c>
      <c r="P17" s="64">
        <v>150</v>
      </c>
      <c r="Q17" s="62"/>
      <c r="R17" s="62"/>
      <c r="S17" s="62"/>
      <c r="T17" s="62"/>
      <c r="U17" s="62">
        <v>0</v>
      </c>
      <c r="V17" s="62">
        <v>0</v>
      </c>
      <c r="AI17" s="58"/>
      <c r="AJ17" s="58"/>
      <c r="AK17" s="58"/>
      <c r="AL17" s="58"/>
      <c r="AM17" s="58"/>
      <c r="AN17" s="58"/>
      <c r="AO17" s="58"/>
      <c r="AP17" s="58"/>
      <c r="AQ17" s="58"/>
      <c r="AR17" s="58"/>
      <c r="AS17" s="58"/>
      <c r="AT17" s="58"/>
      <c r="AU17" s="58"/>
      <c r="AV17" s="58"/>
      <c r="AW17" s="58"/>
      <c r="AX17" s="58"/>
      <c r="AY17" s="58"/>
      <c r="AZ17" s="58"/>
      <c r="BA17" s="58"/>
      <c r="BB17" s="58"/>
      <c r="BC17" s="58"/>
      <c r="BD17" s="58"/>
      <c r="BE17" s="58"/>
      <c r="BF17" s="58"/>
      <c r="BG17" s="58"/>
      <c r="BH17" s="58"/>
      <c r="BI17" s="58"/>
      <c r="BJ17" s="58"/>
      <c r="BK17" s="58"/>
      <c r="BL17" s="58"/>
      <c r="BM17" s="58"/>
      <c r="BN17" s="58"/>
      <c r="BO17" s="58"/>
      <c r="BP17" s="58"/>
      <c r="BQ17" s="58"/>
      <c r="BR17" s="58"/>
      <c r="BS17" s="58"/>
      <c r="BT17" s="58"/>
      <c r="BU17" s="58"/>
      <c r="BV17" s="58"/>
      <c r="BW17" s="58"/>
      <c r="BX17" s="58"/>
      <c r="BY17" s="58"/>
      <c r="BZ17" s="58"/>
      <c r="CA17" s="58"/>
      <c r="CB17" s="58"/>
      <c r="CC17" s="58"/>
      <c r="CD17" s="58"/>
    </row>
    <row r="18" spans="1:82" x14ac:dyDescent="0.4">
      <c r="A18" s="58"/>
      <c r="B18" s="58"/>
      <c r="C18" s="58"/>
      <c r="D18" s="58"/>
      <c r="E18" s="58"/>
      <c r="G18" s="29"/>
      <c r="H18" s="29"/>
      <c r="I18" s="29"/>
      <c r="J18" s="29" t="str">
        <f xml:space="preserve"> _xll.EPMOlapMemberO("[KEY_FIGURES].[].[DEMANDPLANNINGQTY]","","Demand Planning Qty","","000")</f>
        <v>Demand Planning Qty</v>
      </c>
      <c r="K18" s="34">
        <v>0</v>
      </c>
      <c r="L18" s="34">
        <v>0</v>
      </c>
      <c r="M18" s="34">
        <v>0</v>
      </c>
      <c r="N18" s="34">
        <v>0</v>
      </c>
      <c r="O18" s="34">
        <v>0</v>
      </c>
      <c r="P18" s="34"/>
      <c r="Q18" s="34"/>
      <c r="R18" s="34"/>
      <c r="S18" s="34">
        <v>0</v>
      </c>
      <c r="T18" s="34">
        <v>0</v>
      </c>
      <c r="U18" s="34">
        <v>0</v>
      </c>
      <c r="V18" s="34">
        <v>12.5</v>
      </c>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W18" s="58"/>
      <c r="BX18" s="58"/>
      <c r="BY18" s="58"/>
      <c r="BZ18" s="58"/>
      <c r="CA18" s="58"/>
      <c r="CB18" s="58"/>
      <c r="CC18" s="58"/>
      <c r="CD18" s="58"/>
    </row>
    <row r="19" spans="1:82" x14ac:dyDescent="0.4">
      <c r="A19" s="58"/>
      <c r="B19" s="58"/>
      <c r="C19" s="58"/>
      <c r="D19" s="58"/>
      <c r="E19" s="58"/>
      <c r="G19" s="29"/>
      <c r="H19" s="29"/>
      <c r="I19" s="29"/>
      <c r="J19" s="29" t="str">
        <f xml:space="preserve"> _xll.EPMOlapMemberO("[KEY_FIGURES].[].[FINALCONSENSUSDEMAND]","","Consensus Demand","","000")</f>
        <v>Consensus Demand</v>
      </c>
      <c r="K19" s="34">
        <v>0</v>
      </c>
      <c r="L19" s="34">
        <v>50</v>
      </c>
      <c r="M19" s="34">
        <v>200</v>
      </c>
      <c r="N19" s="34">
        <v>1388.5</v>
      </c>
      <c r="O19" s="34">
        <v>250</v>
      </c>
      <c r="P19" s="34">
        <v>150</v>
      </c>
      <c r="Q19" s="34"/>
      <c r="R19" s="34"/>
      <c r="S19" s="34">
        <v>0</v>
      </c>
      <c r="T19" s="34">
        <v>0</v>
      </c>
      <c r="U19" s="34">
        <v>0</v>
      </c>
      <c r="V19" s="34">
        <v>0</v>
      </c>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W19" s="58"/>
      <c r="BX19" s="58"/>
      <c r="BY19" s="58"/>
      <c r="BZ19" s="58"/>
      <c r="CA19" s="58"/>
      <c r="CB19" s="58"/>
      <c r="CC19" s="58"/>
      <c r="CD19" s="58"/>
    </row>
    <row r="20" spans="1:82" x14ac:dyDescent="0.4">
      <c r="A20" s="58"/>
      <c r="B20" s="58"/>
      <c r="C20" s="58"/>
      <c r="D20" s="58"/>
      <c r="E20" s="58"/>
      <c r="G20" s="29"/>
      <c r="H20" s="29"/>
      <c r="I20" s="29"/>
      <c r="J20" s="29" t="str">
        <f xml:space="preserve"> _xll.EPMOlapMemberO("[KEY_FIGURES].[].[ADJDELIVQTY]","","Delivered Qty Adjusted","","000")</f>
        <v>Delivered Qty Adjusted</v>
      </c>
      <c r="K20" s="62">
        <v>2232</v>
      </c>
      <c r="L20" s="62">
        <v>2030</v>
      </c>
      <c r="M20" s="62">
        <v>2247.5</v>
      </c>
      <c r="N20" s="62">
        <v>1365</v>
      </c>
      <c r="O20" s="62">
        <v>1410.5</v>
      </c>
      <c r="P20" s="62">
        <v>1425</v>
      </c>
      <c r="Q20" s="62">
        <v>42</v>
      </c>
      <c r="R20" s="62">
        <v>30.5</v>
      </c>
      <c r="S20" s="62">
        <v>0</v>
      </c>
      <c r="T20" s="62">
        <v>0</v>
      </c>
      <c r="U20" s="62">
        <v>66.5</v>
      </c>
      <c r="V20" s="62">
        <v>0</v>
      </c>
      <c r="AI20" s="58"/>
      <c r="AJ20" s="58"/>
      <c r="AK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58"/>
      <c r="BI20" s="58"/>
      <c r="BJ20" s="58"/>
      <c r="BK20" s="58"/>
      <c r="BL20" s="58"/>
      <c r="BM20" s="58"/>
      <c r="BN20" s="58"/>
      <c r="BO20" s="58"/>
      <c r="BP20" s="58"/>
      <c r="BQ20" s="58"/>
      <c r="BR20" s="58"/>
      <c r="BS20" s="58"/>
      <c r="BT20" s="58"/>
      <c r="BU20" s="58"/>
      <c r="BV20" s="58"/>
      <c r="BW20" s="58"/>
      <c r="BX20" s="58"/>
      <c r="BY20" s="58"/>
      <c r="BZ20" s="58"/>
      <c r="CA20" s="58"/>
      <c r="CB20" s="58"/>
      <c r="CC20" s="58"/>
      <c r="CD20" s="58"/>
    </row>
    <row r="21" spans="1:82" x14ac:dyDescent="0.4">
      <c r="A21" s="58"/>
      <c r="B21" s="58"/>
      <c r="C21" s="58"/>
      <c r="D21" s="58"/>
      <c r="E21" s="58"/>
      <c r="G21" s="29"/>
      <c r="H21" s="29"/>
      <c r="I21" s="29"/>
      <c r="J21" s="29" t="str">
        <f xml:space="preserve"> _xll.EPMOlapMemberO("[KEY_FIGURES].[].[ACTUALSREV]","","Actuals Revenue","","000")</f>
        <v>Actuals Revenue</v>
      </c>
      <c r="K21" s="62"/>
      <c r="L21" s="62"/>
      <c r="M21" s="62"/>
      <c r="N21" s="62"/>
      <c r="O21" s="62"/>
      <c r="P21" s="62"/>
      <c r="Q21" s="62"/>
      <c r="R21" s="62"/>
      <c r="S21" s="62"/>
      <c r="T21" s="62"/>
      <c r="U21" s="62"/>
      <c r="V21" s="62"/>
      <c r="AI21" s="58"/>
      <c r="AJ21" s="58"/>
      <c r="AK21" s="58"/>
      <c r="AL21" s="58"/>
      <c r="AM21" s="58"/>
      <c r="AN21" s="58"/>
      <c r="AO21" s="58"/>
      <c r="AP21" s="58"/>
      <c r="AQ21" s="58"/>
      <c r="AR21" s="58"/>
      <c r="AS21" s="58"/>
      <c r="AT21" s="58"/>
      <c r="AU21" s="58"/>
      <c r="AV21" s="58"/>
      <c r="AW21" s="58"/>
      <c r="AX21" s="58"/>
      <c r="AY21" s="58"/>
      <c r="AZ21" s="58"/>
      <c r="BA21" s="58"/>
      <c r="BB21" s="58"/>
      <c r="BC21" s="58"/>
      <c r="BD21" s="58"/>
      <c r="BE21" s="58"/>
      <c r="BF21" s="58"/>
      <c r="BG21" s="58"/>
      <c r="BH21" s="58"/>
      <c r="BI21" s="58"/>
      <c r="BJ21" s="58"/>
      <c r="BK21" s="58"/>
      <c r="BL21" s="58"/>
      <c r="BM21" s="58"/>
      <c r="BN21" s="58"/>
      <c r="BO21" s="58"/>
      <c r="BP21" s="58"/>
      <c r="BQ21" s="58"/>
      <c r="BR21" s="58"/>
      <c r="BS21" s="58"/>
      <c r="BT21" s="58"/>
      <c r="BU21" s="58"/>
      <c r="BV21" s="58"/>
      <c r="BW21" s="58"/>
      <c r="BX21" s="58"/>
      <c r="BY21" s="58"/>
      <c r="BZ21" s="58"/>
      <c r="CA21" s="58"/>
      <c r="CB21" s="58"/>
      <c r="CC21" s="58"/>
      <c r="CD21" s="58"/>
    </row>
    <row r="22" spans="1:82" x14ac:dyDescent="0.4">
      <c r="A22" s="58"/>
      <c r="B22" s="58"/>
      <c r="C22" s="58"/>
      <c r="D22" s="58"/>
      <c r="E22" s="58"/>
      <c r="G22" s="29"/>
      <c r="H22" s="29"/>
      <c r="I22" s="29"/>
      <c r="J22" s="29" t="str">
        <f xml:space="preserve"> _xll.EPMOlapMemberO("[KEY_FIGURES].[].[CONFQTY]","","Confirmed Qty","","000")</f>
        <v>Confirmed Qty</v>
      </c>
      <c r="K22" s="34"/>
      <c r="L22" s="34"/>
      <c r="M22" s="34"/>
      <c r="N22" s="34"/>
      <c r="O22" s="34"/>
      <c r="P22" s="34"/>
      <c r="Q22" s="34"/>
      <c r="R22" s="34"/>
      <c r="S22" s="34"/>
      <c r="T22" s="34"/>
      <c r="U22" s="34"/>
      <c r="V22" s="34"/>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58"/>
      <c r="BO22" s="58"/>
      <c r="BP22" s="58"/>
      <c r="BQ22" s="58"/>
      <c r="BR22" s="58"/>
      <c r="BS22" s="58"/>
      <c r="BT22" s="58"/>
      <c r="BU22" s="58"/>
      <c r="BV22" s="58"/>
      <c r="BW22" s="58"/>
      <c r="BX22" s="58"/>
      <c r="BY22" s="58"/>
      <c r="BZ22" s="58"/>
      <c r="CA22" s="58"/>
      <c r="CB22" s="58"/>
      <c r="CC22" s="58"/>
      <c r="CD22" s="58"/>
    </row>
    <row r="23" spans="1:82" x14ac:dyDescent="0.4">
      <c r="A23" s="58"/>
      <c r="B23" s="58"/>
      <c r="C23" s="58"/>
      <c r="D23" s="58"/>
      <c r="E23" s="58"/>
      <c r="G23" s="29"/>
      <c r="H23" s="29" t="str">
        <f xml:space="preserve"> _xll.EPMOlapMemberO("[LOCID].[].[HD_DC_US_W]","","HD_DC_US_W","","000")</f>
        <v>HD_DC_US_W</v>
      </c>
      <c r="I23" s="29" t="str">
        <f xml:space="preserve"> _xll.EPMOlapMemberO("[ABCID].[].[A]","","A","","000")</f>
        <v>A</v>
      </c>
      <c r="J23" s="29" t="str">
        <f xml:space="preserve"> _xll.EPMOlapMemberO("[KEY_FIGURES].[].[CONSENSUSDEMAND]","","Consensus Demand without Promotion","","000")</f>
        <v>Consensus Demand without Promotion</v>
      </c>
      <c r="K23" s="62"/>
      <c r="L23" s="62">
        <v>300</v>
      </c>
      <c r="M23" s="62">
        <v>1000</v>
      </c>
      <c r="N23" s="62">
        <v>400</v>
      </c>
      <c r="O23" s="62">
        <v>500</v>
      </c>
      <c r="P23" s="62">
        <v>300</v>
      </c>
      <c r="Q23" s="62"/>
      <c r="R23" s="62">
        <v>100</v>
      </c>
      <c r="S23" s="62">
        <v>100</v>
      </c>
      <c r="T23" s="62">
        <v>100</v>
      </c>
      <c r="U23" s="62">
        <v>4055.56</v>
      </c>
      <c r="V23" s="62">
        <v>700</v>
      </c>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row>
    <row r="24" spans="1:82" x14ac:dyDescent="0.4">
      <c r="A24" s="58"/>
      <c r="B24" s="58"/>
      <c r="C24" s="58"/>
      <c r="D24" s="58"/>
      <c r="E24" s="58"/>
      <c r="G24" s="29"/>
      <c r="H24" s="29"/>
      <c r="I24" s="29"/>
      <c r="J24" s="29" t="str">
        <f xml:space="preserve"> _xll.EPMOlapMemberO("[KEY_FIGURES].[].[DEMANDPLANNINGQTY]","","Demand Planning Qty","","000")</f>
        <v>Demand Planning Qty</v>
      </c>
      <c r="K24" s="34">
        <v>0</v>
      </c>
      <c r="L24" s="34">
        <v>0</v>
      </c>
      <c r="M24" s="34">
        <v>0</v>
      </c>
      <c r="N24" s="34">
        <v>0</v>
      </c>
      <c r="O24" s="34">
        <v>0</v>
      </c>
      <c r="P24" s="34"/>
      <c r="Q24" s="34"/>
      <c r="R24" s="34"/>
      <c r="S24" s="34">
        <v>0</v>
      </c>
      <c r="T24" s="34">
        <v>0</v>
      </c>
      <c r="U24" s="34">
        <v>0</v>
      </c>
      <c r="V24" s="34">
        <v>12</v>
      </c>
      <c r="AI24" s="58"/>
      <c r="AJ24" s="58"/>
      <c r="AK24" s="58"/>
      <c r="AL24" s="58"/>
      <c r="AM24" s="58"/>
      <c r="AN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W24" s="58"/>
      <c r="BX24" s="58"/>
      <c r="BY24" s="58"/>
      <c r="BZ24" s="58"/>
      <c r="CA24" s="58"/>
      <c r="CB24" s="58"/>
      <c r="CC24" s="58"/>
      <c r="CD24" s="58"/>
    </row>
    <row r="25" spans="1:82" x14ac:dyDescent="0.4">
      <c r="A25" s="58"/>
      <c r="B25" s="58"/>
      <c r="C25" s="58"/>
      <c r="D25" s="58"/>
      <c r="E25" s="58"/>
      <c r="G25" s="29"/>
      <c r="H25" s="29"/>
      <c r="I25" s="29"/>
      <c r="J25" s="29" t="str">
        <f xml:space="preserve"> _xll.EPMOlapMemberO("[KEY_FIGURES].[].[FINALCONSENSUSDEMAND]","","Consensus Demand","","000")</f>
        <v>Consensus Demand</v>
      </c>
      <c r="K25" s="34">
        <v>0</v>
      </c>
      <c r="L25" s="34">
        <v>300</v>
      </c>
      <c r="M25" s="34">
        <v>1000</v>
      </c>
      <c r="N25" s="34">
        <v>400</v>
      </c>
      <c r="O25" s="34">
        <v>500</v>
      </c>
      <c r="P25" s="34">
        <v>300</v>
      </c>
      <c r="Q25" s="34"/>
      <c r="R25" s="34">
        <v>100</v>
      </c>
      <c r="S25" s="34">
        <v>100</v>
      </c>
      <c r="T25" s="34">
        <v>100</v>
      </c>
      <c r="U25" s="34">
        <v>4055.56</v>
      </c>
      <c r="V25" s="34">
        <v>700</v>
      </c>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8"/>
      <c r="BK25" s="58"/>
      <c r="BL25" s="58"/>
      <c r="BM25" s="58"/>
      <c r="BN25" s="58"/>
      <c r="BO25" s="58"/>
      <c r="BP25" s="58"/>
      <c r="BQ25" s="58"/>
      <c r="BR25" s="58"/>
      <c r="BS25" s="58"/>
      <c r="BT25" s="58"/>
      <c r="BU25" s="58"/>
      <c r="BV25" s="58"/>
      <c r="BW25" s="58"/>
      <c r="BX25" s="58"/>
      <c r="BY25" s="58"/>
      <c r="BZ25" s="58"/>
      <c r="CA25" s="58"/>
      <c r="CB25" s="58"/>
      <c r="CC25" s="58"/>
      <c r="CD25" s="58"/>
    </row>
    <row r="26" spans="1:82" x14ac:dyDescent="0.4">
      <c r="A26" s="58"/>
      <c r="B26" s="58"/>
      <c r="C26" s="58"/>
      <c r="D26" s="58"/>
      <c r="E26" s="58"/>
      <c r="G26" s="29"/>
      <c r="H26" s="29"/>
      <c r="I26" s="29"/>
      <c r="J26" s="29" t="str">
        <f xml:space="preserve"> _xll.EPMOlapMemberO("[KEY_FIGURES].[].[ADJDELIVQTY]","","Delivered Qty Adjusted","","000")</f>
        <v>Delivered Qty Adjusted</v>
      </c>
      <c r="K26" s="62">
        <v>2310.5</v>
      </c>
      <c r="L26" s="62">
        <v>2030</v>
      </c>
      <c r="M26" s="62">
        <v>2247.5</v>
      </c>
      <c r="N26" s="62">
        <v>1365</v>
      </c>
      <c r="O26" s="62">
        <v>1410.5</v>
      </c>
      <c r="P26" s="62">
        <v>1425</v>
      </c>
      <c r="Q26" s="62">
        <v>42</v>
      </c>
      <c r="R26" s="62">
        <v>30</v>
      </c>
      <c r="S26" s="62">
        <v>0</v>
      </c>
      <c r="T26" s="62">
        <v>0</v>
      </c>
      <c r="U26" s="62">
        <v>66.5</v>
      </c>
      <c r="V26" s="62">
        <v>0</v>
      </c>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8"/>
      <c r="BK26" s="58"/>
      <c r="BL26" s="58"/>
      <c r="BM26" s="58"/>
      <c r="BN26" s="58"/>
      <c r="BO26" s="58"/>
      <c r="BP26" s="58"/>
      <c r="BQ26" s="58"/>
      <c r="BR26" s="58"/>
      <c r="BS26" s="58"/>
      <c r="BT26" s="58"/>
      <c r="BU26" s="58"/>
      <c r="BV26" s="58"/>
      <c r="BW26" s="58"/>
      <c r="BX26" s="58"/>
      <c r="BY26" s="58"/>
      <c r="BZ26" s="58"/>
      <c r="CA26" s="58"/>
      <c r="CB26" s="58"/>
      <c r="CC26" s="58"/>
      <c r="CD26" s="58"/>
    </row>
    <row r="27" spans="1:82" x14ac:dyDescent="0.4">
      <c r="A27" s="58"/>
      <c r="B27" s="58"/>
      <c r="C27" s="58"/>
      <c r="D27" s="58"/>
      <c r="E27" s="58"/>
      <c r="G27" s="29"/>
      <c r="H27" s="29"/>
      <c r="I27" s="29"/>
      <c r="J27" s="29" t="str">
        <f xml:space="preserve"> _xll.EPMOlapMemberO("[KEY_FIGURES].[].[ACTUALSREV]","","Actuals Revenue","","000")</f>
        <v>Actuals Revenue</v>
      </c>
      <c r="K27" s="62"/>
      <c r="L27" s="62"/>
      <c r="M27" s="62"/>
      <c r="N27" s="62"/>
      <c r="O27" s="62"/>
      <c r="P27" s="62"/>
      <c r="Q27" s="62"/>
      <c r="R27" s="62"/>
      <c r="S27" s="62"/>
      <c r="T27" s="62"/>
      <c r="U27" s="62"/>
      <c r="V27" s="62"/>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58"/>
      <c r="BO27" s="58"/>
      <c r="BP27" s="58"/>
      <c r="BQ27" s="58"/>
      <c r="BR27" s="58"/>
      <c r="BS27" s="58"/>
      <c r="BT27" s="58"/>
      <c r="BU27" s="58"/>
      <c r="BV27" s="58"/>
      <c r="BW27" s="58"/>
      <c r="BX27" s="58"/>
      <c r="BY27" s="58"/>
      <c r="BZ27" s="58"/>
      <c r="CA27" s="58"/>
      <c r="CB27" s="58"/>
      <c r="CC27" s="58"/>
      <c r="CD27" s="58"/>
    </row>
    <row r="28" spans="1:82" x14ac:dyDescent="0.4">
      <c r="A28" s="58"/>
      <c r="B28" s="58"/>
      <c r="C28" s="58"/>
      <c r="D28" s="58"/>
      <c r="E28" s="58"/>
      <c r="G28" s="29"/>
      <c r="H28" s="29"/>
      <c r="I28" s="29"/>
      <c r="J28" s="29" t="str">
        <f xml:space="preserve"> _xll.EPMOlapMemberO("[KEY_FIGURES].[].[CONFQTY]","","Confirmed Qty","","000")</f>
        <v>Confirmed Qty</v>
      </c>
      <c r="K28" s="34"/>
      <c r="L28" s="34"/>
      <c r="M28" s="34"/>
      <c r="N28" s="34"/>
      <c r="O28" s="34"/>
      <c r="P28" s="34"/>
      <c r="Q28" s="34"/>
      <c r="R28" s="34"/>
      <c r="S28" s="34"/>
      <c r="T28" s="34"/>
      <c r="U28" s="34"/>
      <c r="V28" s="34"/>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8"/>
      <c r="BK28" s="58"/>
      <c r="BL28" s="58"/>
      <c r="BM28" s="58"/>
      <c r="BN28" s="58"/>
      <c r="BO28" s="58"/>
      <c r="BP28" s="58"/>
      <c r="BQ28" s="58"/>
      <c r="BR28" s="58"/>
      <c r="BS28" s="58"/>
      <c r="BT28" s="58"/>
      <c r="BU28" s="58"/>
      <c r="BV28" s="58"/>
      <c r="BW28" s="58"/>
      <c r="BX28" s="58"/>
      <c r="BY28" s="58"/>
      <c r="BZ28" s="58"/>
      <c r="CA28" s="58"/>
      <c r="CB28" s="58"/>
      <c r="CC28" s="58"/>
      <c r="CD28" s="58"/>
    </row>
    <row r="29" spans="1:82" x14ac:dyDescent="0.4">
      <c r="A29" s="58"/>
      <c r="B29" s="58"/>
      <c r="C29" s="58"/>
      <c r="D29" s="58"/>
      <c r="E29" s="58"/>
      <c r="G29" s="29" t="str">
        <f xml:space="preserve"> _xll.EPMOlapMemberO("[PRDID].[].[HT_002]","","HT_002","","000")</f>
        <v>HT_002</v>
      </c>
      <c r="H29" s="29" t="str">
        <f xml:space="preserve"> _xll.EPMOlapMemberO("[LOCID].[].[HD_DC_CA_E]","","HD_DC_CA_E","","000")</f>
        <v>HD_DC_CA_E</v>
      </c>
      <c r="I29" s="29" t="str">
        <f xml:space="preserve"> _xll.EPMOlapMemberO("[ABCID].[].[A]","","A","","000")</f>
        <v>A</v>
      </c>
      <c r="J29" s="29" t="str">
        <f xml:space="preserve"> _xll.EPMOlapMemberO("[KEY_FIGURES].[].[CONSENSUSDEMAND]","","Consensus Demand without Promotion","","000")</f>
        <v>Consensus Demand without Promotion</v>
      </c>
      <c r="K29" s="62"/>
      <c r="L29" s="62"/>
      <c r="M29" s="62"/>
      <c r="N29" s="62"/>
      <c r="O29" s="62"/>
      <c r="P29" s="62"/>
      <c r="Q29" s="62">
        <v>175</v>
      </c>
      <c r="R29" s="62">
        <v>175.00200000000001</v>
      </c>
      <c r="S29" s="62">
        <v>175</v>
      </c>
      <c r="T29" s="62">
        <v>175</v>
      </c>
      <c r="U29" s="62">
        <v>175</v>
      </c>
      <c r="V29" s="62">
        <v>175</v>
      </c>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8"/>
      <c r="BK29" s="58"/>
      <c r="BL29" s="58"/>
      <c r="BM29" s="58"/>
      <c r="BN29" s="58"/>
      <c r="BO29" s="58"/>
      <c r="BP29" s="58"/>
      <c r="BQ29" s="58"/>
      <c r="BR29" s="58"/>
      <c r="BS29" s="58"/>
      <c r="BT29" s="58"/>
      <c r="BU29" s="58"/>
      <c r="BV29" s="58"/>
      <c r="BW29" s="58"/>
      <c r="BX29" s="58"/>
      <c r="BY29" s="58"/>
      <c r="BZ29" s="58"/>
      <c r="CA29" s="58"/>
      <c r="CB29" s="58"/>
      <c r="CC29" s="58"/>
      <c r="CD29" s="58"/>
    </row>
    <row r="30" spans="1:82" x14ac:dyDescent="0.4">
      <c r="A30" s="58"/>
      <c r="B30" s="58"/>
      <c r="C30" s="58"/>
      <c r="D30" s="58"/>
      <c r="E30" s="58"/>
      <c r="G30" s="29"/>
      <c r="H30" s="29"/>
      <c r="I30" s="29"/>
      <c r="J30" s="29" t="str">
        <f xml:space="preserve"> _xll.EPMOlapMemberO("[KEY_FIGURES].[].[DEMANDPLANNINGQTY]","","Demand Planning Qty","","000")</f>
        <v>Demand Planning Qty</v>
      </c>
      <c r="K30" s="34">
        <v>0</v>
      </c>
      <c r="L30" s="34">
        <v>0</v>
      </c>
      <c r="M30" s="34">
        <v>0</v>
      </c>
      <c r="N30" s="34">
        <v>0</v>
      </c>
      <c r="O30" s="34">
        <v>0</v>
      </c>
      <c r="P30" s="34"/>
      <c r="Q30" s="34"/>
      <c r="R30" s="34"/>
      <c r="S30" s="34"/>
      <c r="T30" s="34"/>
      <c r="U30" s="34">
        <v>150</v>
      </c>
      <c r="V30" s="34">
        <v>150</v>
      </c>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row>
    <row r="31" spans="1:82" x14ac:dyDescent="0.4">
      <c r="A31" s="58"/>
      <c r="B31" s="58"/>
      <c r="C31" s="58"/>
      <c r="D31" s="58"/>
      <c r="E31" s="58"/>
      <c r="G31" s="29"/>
      <c r="H31" s="29"/>
      <c r="I31" s="29"/>
      <c r="J31" s="29" t="str">
        <f xml:space="preserve"> _xll.EPMOlapMemberO("[KEY_FIGURES].[].[FINALCONSENSUSDEMAND]","","Consensus Demand","","000")</f>
        <v>Consensus Demand</v>
      </c>
      <c r="K31" s="34">
        <v>0</v>
      </c>
      <c r="L31" s="34">
        <v>0</v>
      </c>
      <c r="M31" s="34">
        <v>0</v>
      </c>
      <c r="N31" s="34">
        <v>0</v>
      </c>
      <c r="O31" s="34">
        <v>0</v>
      </c>
      <c r="P31" s="34"/>
      <c r="Q31" s="34">
        <v>175</v>
      </c>
      <c r="R31" s="34">
        <v>175.00200000000001</v>
      </c>
      <c r="S31" s="34">
        <v>175</v>
      </c>
      <c r="T31" s="34">
        <v>175</v>
      </c>
      <c r="U31" s="34">
        <v>175</v>
      </c>
      <c r="V31" s="34">
        <v>175</v>
      </c>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row>
    <row r="32" spans="1:82" x14ac:dyDescent="0.4">
      <c r="A32" s="58"/>
      <c r="B32" s="58"/>
      <c r="C32" s="58"/>
      <c r="D32" s="58"/>
      <c r="E32" s="58"/>
      <c r="G32" s="29"/>
      <c r="H32" s="29"/>
      <c r="I32" s="29"/>
      <c r="J32" s="29" t="str">
        <f xml:space="preserve"> _xll.EPMOlapMemberO("[KEY_FIGURES].[].[ADJDELIVQTY]","","Delivered Qty Adjusted","","000")</f>
        <v>Delivered Qty Adjusted</v>
      </c>
      <c r="K32" s="62"/>
      <c r="L32" s="62"/>
      <c r="M32" s="62"/>
      <c r="N32" s="62"/>
      <c r="O32" s="62"/>
      <c r="P32" s="62"/>
      <c r="Q32" s="62">
        <v>125</v>
      </c>
      <c r="R32" s="62">
        <v>125</v>
      </c>
      <c r="S32" s="62">
        <v>125</v>
      </c>
      <c r="T32" s="62">
        <v>125</v>
      </c>
      <c r="U32" s="62">
        <v>125</v>
      </c>
      <c r="V32" s="62">
        <v>125</v>
      </c>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row>
    <row r="33" spans="1:82" x14ac:dyDescent="0.4">
      <c r="A33" s="58"/>
      <c r="B33" s="58"/>
      <c r="C33" s="58"/>
      <c r="D33" s="58"/>
      <c r="E33" s="58"/>
      <c r="G33" s="29"/>
      <c r="H33" s="29"/>
      <c r="I33" s="29"/>
      <c r="J33" s="29" t="str">
        <f xml:space="preserve"> _xll.EPMOlapMemberO("[KEY_FIGURES].[].[ACTUALSREV]","","Actuals Revenue","","000")</f>
        <v>Actuals Revenue</v>
      </c>
      <c r="K33" s="62"/>
      <c r="L33" s="62"/>
      <c r="M33" s="62"/>
      <c r="N33" s="62"/>
      <c r="O33" s="62"/>
      <c r="P33" s="62"/>
      <c r="Q33" s="62"/>
      <c r="R33" s="62"/>
      <c r="S33" s="62"/>
      <c r="T33" s="62"/>
      <c r="U33" s="62"/>
      <c r="V33" s="62"/>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row>
    <row r="34" spans="1:82" x14ac:dyDescent="0.4">
      <c r="A34" s="58"/>
      <c r="B34" s="58"/>
      <c r="C34" s="58"/>
      <c r="D34" s="58"/>
      <c r="E34" s="58"/>
      <c r="G34" s="29"/>
      <c r="H34" s="29"/>
      <c r="I34" s="29"/>
      <c r="J34" s="29" t="str">
        <f xml:space="preserve"> _xll.EPMOlapMemberO("[KEY_FIGURES].[].[CONFQTY]","","Confirmed Qty","","000")</f>
        <v>Confirmed Qty</v>
      </c>
      <c r="K34" s="34"/>
      <c r="L34" s="34"/>
      <c r="M34" s="34"/>
      <c r="N34" s="34"/>
      <c r="O34" s="34"/>
      <c r="P34" s="34"/>
      <c r="Q34" s="34"/>
      <c r="R34" s="34"/>
      <c r="S34" s="34"/>
      <c r="T34" s="34"/>
      <c r="U34" s="34"/>
      <c r="V34" s="34"/>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row>
    <row r="35" spans="1:82" x14ac:dyDescent="0.4">
      <c r="A35" s="58"/>
      <c r="B35" s="58"/>
      <c r="C35" s="58"/>
      <c r="D35" s="58"/>
      <c r="E35" s="58"/>
      <c r="G35" s="29"/>
      <c r="H35" s="29" t="str">
        <f xml:space="preserve"> _xll.EPMOlapMemberO("[LOCID].[].[HD_DC_FR]","","HD_DC_FR","","000")</f>
        <v>HD_DC_FR</v>
      </c>
      <c r="I35" s="29" t="str">
        <f xml:space="preserve"> _xll.EPMOlapMemberO("[ABCID].[].[A]","","A","","000")</f>
        <v>A</v>
      </c>
      <c r="J35" s="29" t="str">
        <f xml:space="preserve"> _xll.EPMOlapMemberO("[KEY_FIGURES].[].[CONSENSUSDEMAND]","","Consensus Demand without Promotion","","000")</f>
        <v>Consensus Demand without Promotion</v>
      </c>
      <c r="K35" s="62"/>
      <c r="L35" s="62"/>
      <c r="M35" s="62"/>
      <c r="N35" s="62"/>
      <c r="O35" s="62"/>
      <c r="P35" s="62">
        <v>6000</v>
      </c>
      <c r="Q35" s="62">
        <v>175</v>
      </c>
      <c r="R35" s="62">
        <v>174.99600000000001</v>
      </c>
      <c r="S35" s="62">
        <v>175</v>
      </c>
      <c r="T35" s="62">
        <v>175</v>
      </c>
      <c r="U35" s="62">
        <v>175</v>
      </c>
      <c r="V35" s="62">
        <v>700</v>
      </c>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8"/>
      <c r="BY35" s="58"/>
      <c r="BZ35" s="58"/>
      <c r="CA35" s="58"/>
      <c r="CB35" s="58"/>
      <c r="CC35" s="58"/>
      <c r="CD35" s="58"/>
    </row>
    <row r="36" spans="1:82" x14ac:dyDescent="0.4">
      <c r="A36" s="58"/>
      <c r="B36" s="58"/>
      <c r="C36" s="58"/>
      <c r="D36" s="58"/>
      <c r="E36" s="58"/>
      <c r="G36" s="29"/>
      <c r="H36" s="29"/>
      <c r="I36" s="29"/>
      <c r="J36" s="29" t="str">
        <f xml:space="preserve"> _xll.EPMOlapMemberO("[KEY_FIGURES].[].[DEMANDPLANNINGQTY]","","Demand Planning Qty","","000")</f>
        <v>Demand Planning Qty</v>
      </c>
      <c r="K36" s="34">
        <v>0</v>
      </c>
      <c r="L36" s="34">
        <v>0</v>
      </c>
      <c r="M36" s="34">
        <v>0</v>
      </c>
      <c r="N36" s="34">
        <v>0</v>
      </c>
      <c r="O36" s="34">
        <v>0</v>
      </c>
      <c r="P36" s="34"/>
      <c r="Q36" s="34"/>
      <c r="R36" s="34"/>
      <c r="S36" s="34"/>
      <c r="T36" s="34"/>
      <c r="U36" s="34">
        <v>150</v>
      </c>
      <c r="V36" s="34">
        <v>150</v>
      </c>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58"/>
      <c r="BY36" s="58"/>
      <c r="BZ36" s="58"/>
      <c r="CA36" s="58"/>
      <c r="CB36" s="58"/>
      <c r="CC36" s="58"/>
      <c r="CD36" s="58"/>
    </row>
    <row r="37" spans="1:82" x14ac:dyDescent="0.4">
      <c r="G37" s="29"/>
      <c r="H37" s="29"/>
      <c r="I37" s="29"/>
      <c r="J37" s="29" t="str">
        <f xml:space="preserve"> _xll.EPMOlapMemberO("[KEY_FIGURES].[].[FINALCONSENSUSDEMAND]","","Consensus Demand","","000")</f>
        <v>Consensus Demand</v>
      </c>
      <c r="K37" s="34">
        <v>0</v>
      </c>
      <c r="L37" s="34">
        <v>0</v>
      </c>
      <c r="M37" s="34">
        <v>0</v>
      </c>
      <c r="N37" s="34">
        <v>0</v>
      </c>
      <c r="O37" s="34">
        <v>0</v>
      </c>
      <c r="P37" s="34">
        <v>6000</v>
      </c>
      <c r="Q37" s="34">
        <v>175</v>
      </c>
      <c r="R37" s="34">
        <v>174.99600000000001</v>
      </c>
      <c r="S37" s="34">
        <v>175</v>
      </c>
      <c r="T37" s="34">
        <v>175</v>
      </c>
      <c r="U37" s="34">
        <v>175</v>
      </c>
      <c r="V37" s="34">
        <v>700</v>
      </c>
    </row>
    <row r="38" spans="1:82" x14ac:dyDescent="0.4">
      <c r="G38" s="29"/>
      <c r="H38" s="29"/>
      <c r="I38" s="29"/>
      <c r="J38" s="29" t="str">
        <f xml:space="preserve"> _xll.EPMOlapMemberO("[KEY_FIGURES].[].[ADJDELIVQTY]","","Delivered Qty Adjusted","","000")</f>
        <v>Delivered Qty Adjusted</v>
      </c>
      <c r="K38" s="62"/>
      <c r="L38" s="62"/>
      <c r="M38" s="62"/>
      <c r="N38" s="62"/>
      <c r="O38" s="62"/>
      <c r="P38" s="62"/>
      <c r="Q38" s="62">
        <v>125</v>
      </c>
      <c r="R38" s="62">
        <v>125</v>
      </c>
      <c r="S38" s="62">
        <v>125</v>
      </c>
      <c r="T38" s="62">
        <v>125</v>
      </c>
      <c r="U38" s="62">
        <v>125</v>
      </c>
      <c r="V38" s="62">
        <v>125</v>
      </c>
    </row>
    <row r="39" spans="1:82" x14ac:dyDescent="0.4">
      <c r="G39" s="29"/>
      <c r="H39" s="29"/>
      <c r="I39" s="29"/>
      <c r="J39" s="29" t="str">
        <f xml:space="preserve"> _xll.EPMOlapMemberO("[KEY_FIGURES].[].[ACTUALSREV]","","Actuals Revenue","","000")</f>
        <v>Actuals Revenue</v>
      </c>
      <c r="K39" s="62"/>
      <c r="L39" s="62"/>
      <c r="M39" s="62"/>
      <c r="N39" s="62"/>
      <c r="O39" s="62"/>
      <c r="P39" s="62"/>
      <c r="Q39" s="62"/>
      <c r="R39" s="62"/>
      <c r="S39" s="62"/>
      <c r="T39" s="62"/>
      <c r="U39" s="62"/>
      <c r="V39" s="62"/>
    </row>
    <row r="40" spans="1:82" x14ac:dyDescent="0.4">
      <c r="G40" s="29"/>
      <c r="H40" s="29"/>
      <c r="I40" s="29"/>
      <c r="J40" s="29" t="str">
        <f xml:space="preserve"> _xll.EPMOlapMemberO("[KEY_FIGURES].[].[CONFQTY]","","Confirmed Qty","","000")</f>
        <v>Confirmed Qty</v>
      </c>
      <c r="K40" s="34"/>
      <c r="L40" s="34"/>
      <c r="M40" s="34"/>
      <c r="N40" s="34"/>
      <c r="O40" s="34"/>
      <c r="P40" s="34"/>
      <c r="Q40" s="34"/>
      <c r="R40" s="34"/>
      <c r="S40" s="34"/>
      <c r="T40" s="34"/>
      <c r="U40" s="34"/>
      <c r="V40" s="34"/>
    </row>
    <row r="41" spans="1:82" x14ac:dyDescent="0.4">
      <c r="G41" s="29"/>
      <c r="H41" s="29" t="str">
        <f xml:space="preserve"> _xll.EPMOlapMemberO("[LOCID].[].[HD_DC_US_E]","","HD_DC_US_E","","000")</f>
        <v>HD_DC_US_E</v>
      </c>
      <c r="I41" s="29" t="str">
        <f xml:space="preserve"> _xll.EPMOlapMemberO("[ABCID].[].[A]","","A","","000")</f>
        <v>A</v>
      </c>
      <c r="J41" s="29" t="str">
        <f xml:space="preserve"> _xll.EPMOlapMemberO("[KEY_FIGURES].[].[CONSENSUSDEMAND]","","Consensus Demand without Promotion","","000")</f>
        <v>Consensus Demand without Promotion</v>
      </c>
      <c r="K41" s="62"/>
      <c r="L41" s="62"/>
      <c r="M41" s="62"/>
      <c r="N41" s="62"/>
      <c r="O41" s="62"/>
      <c r="P41" s="62"/>
      <c r="Q41" s="62">
        <v>175</v>
      </c>
      <c r="R41" s="62">
        <v>175.00200000000001</v>
      </c>
      <c r="S41" s="62">
        <v>175</v>
      </c>
      <c r="T41" s="62">
        <v>175</v>
      </c>
      <c r="U41" s="62">
        <v>175</v>
      </c>
      <c r="V41" s="62">
        <v>175</v>
      </c>
    </row>
    <row r="42" spans="1:82" x14ac:dyDescent="0.4">
      <c r="G42" s="29"/>
      <c r="H42" s="29"/>
      <c r="I42" s="29"/>
      <c r="J42" s="29" t="str">
        <f xml:space="preserve"> _xll.EPMOlapMemberO("[KEY_FIGURES].[].[DEMANDPLANNINGQTY]","","Demand Planning Qty","","000")</f>
        <v>Demand Planning Qty</v>
      </c>
      <c r="K42" s="34">
        <v>0</v>
      </c>
      <c r="L42" s="34">
        <v>0</v>
      </c>
      <c r="M42" s="34">
        <v>0</v>
      </c>
      <c r="N42" s="34">
        <v>0</v>
      </c>
      <c r="O42" s="34">
        <v>0</v>
      </c>
      <c r="P42" s="34"/>
      <c r="Q42" s="34"/>
      <c r="R42" s="34"/>
      <c r="S42" s="34"/>
      <c r="T42" s="34"/>
      <c r="U42" s="34">
        <v>150</v>
      </c>
      <c r="V42" s="34">
        <v>150</v>
      </c>
    </row>
    <row r="43" spans="1:82" x14ac:dyDescent="0.4">
      <c r="G43" s="29"/>
      <c r="H43" s="29"/>
      <c r="I43" s="29"/>
      <c r="J43" s="29" t="str">
        <f xml:space="preserve"> _xll.EPMOlapMemberO("[KEY_FIGURES].[].[FINALCONSENSUSDEMAND]","","Consensus Demand","","000")</f>
        <v>Consensus Demand</v>
      </c>
      <c r="K43" s="34">
        <v>0</v>
      </c>
      <c r="L43" s="34">
        <v>0</v>
      </c>
      <c r="M43" s="34">
        <v>0</v>
      </c>
      <c r="N43" s="34">
        <v>0</v>
      </c>
      <c r="O43" s="34">
        <v>0</v>
      </c>
      <c r="P43" s="34"/>
      <c r="Q43" s="34">
        <v>175</v>
      </c>
      <c r="R43" s="34">
        <v>175.00200000000001</v>
      </c>
      <c r="S43" s="34">
        <v>175</v>
      </c>
      <c r="T43" s="34">
        <v>175</v>
      </c>
      <c r="U43" s="34">
        <v>175</v>
      </c>
      <c r="V43" s="34">
        <v>175</v>
      </c>
    </row>
    <row r="44" spans="1:82" x14ac:dyDescent="0.4">
      <c r="G44" s="29"/>
      <c r="H44" s="29"/>
      <c r="I44" s="29"/>
      <c r="J44" s="29" t="str">
        <f xml:space="preserve"> _xll.EPMOlapMemberO("[KEY_FIGURES].[].[ADJDELIVQTY]","","Delivered Qty Adjusted","","000")</f>
        <v>Delivered Qty Adjusted</v>
      </c>
      <c r="K44" s="62"/>
      <c r="L44" s="62"/>
      <c r="M44" s="62"/>
      <c r="N44" s="62"/>
      <c r="O44" s="62"/>
      <c r="P44" s="62"/>
      <c r="Q44" s="62">
        <v>125</v>
      </c>
      <c r="R44" s="62">
        <v>125</v>
      </c>
      <c r="S44" s="62">
        <v>125</v>
      </c>
      <c r="T44" s="62">
        <v>125</v>
      </c>
      <c r="U44" s="62">
        <v>125</v>
      </c>
      <c r="V44" s="62">
        <v>125</v>
      </c>
    </row>
    <row r="45" spans="1:82" x14ac:dyDescent="0.4">
      <c r="G45" s="29"/>
      <c r="H45" s="29"/>
      <c r="I45" s="29"/>
      <c r="J45" s="29" t="str">
        <f xml:space="preserve"> _xll.EPMOlapMemberO("[KEY_FIGURES].[].[ACTUALSREV]","","Actuals Revenue","","000")</f>
        <v>Actuals Revenue</v>
      </c>
      <c r="K45" s="62"/>
      <c r="L45" s="62"/>
      <c r="M45" s="62"/>
      <c r="N45" s="62"/>
      <c r="O45" s="62"/>
      <c r="P45" s="62"/>
      <c r="Q45" s="62"/>
      <c r="R45" s="62"/>
      <c r="S45" s="62"/>
      <c r="T45" s="62"/>
      <c r="U45" s="62"/>
      <c r="V45" s="62"/>
    </row>
    <row r="46" spans="1:82" x14ac:dyDescent="0.4">
      <c r="G46" s="29"/>
      <c r="H46" s="29"/>
      <c r="I46" s="29"/>
      <c r="J46" s="29" t="str">
        <f xml:space="preserve"> _xll.EPMOlapMemberO("[KEY_FIGURES].[].[CONFQTY]","","Confirmed Qty","","000")</f>
        <v>Confirmed Qty</v>
      </c>
      <c r="K46" s="34"/>
      <c r="L46" s="34"/>
      <c r="M46" s="34"/>
      <c r="N46" s="34"/>
      <c r="O46" s="34"/>
      <c r="P46" s="34"/>
      <c r="Q46" s="34"/>
      <c r="R46" s="34"/>
      <c r="S46" s="34"/>
      <c r="T46" s="34"/>
      <c r="U46" s="34"/>
      <c r="V46" s="34"/>
    </row>
    <row r="47" spans="1:82" x14ac:dyDescent="0.4">
      <c r="G47" s="29"/>
      <c r="H47" s="29" t="str">
        <f xml:space="preserve"> _xll.EPMOlapMemberO("[LOCID].[].[HD_DC_US_W]","","HD_DC_US_W","","000")</f>
        <v>HD_DC_US_W</v>
      </c>
      <c r="I47" s="29" t="str">
        <f xml:space="preserve"> _xll.EPMOlapMemberO("[ABCID].[].[A]","","A","","000")</f>
        <v>A</v>
      </c>
      <c r="J47" s="29" t="str">
        <f xml:space="preserve"> _xll.EPMOlapMemberO("[KEY_FIGURES].[].[CONSENSUSDEMAND]","","Consensus Demand without Promotion","","000")</f>
        <v>Consensus Demand without Promotion</v>
      </c>
      <c r="K47" s="62"/>
      <c r="L47" s="62"/>
      <c r="M47" s="62"/>
      <c r="N47" s="62"/>
      <c r="O47" s="62"/>
      <c r="P47" s="62"/>
      <c r="Q47" s="62">
        <v>600</v>
      </c>
      <c r="R47" s="62">
        <v>175</v>
      </c>
      <c r="S47" s="62">
        <v>175</v>
      </c>
      <c r="T47" s="62">
        <v>175</v>
      </c>
      <c r="U47" s="62">
        <v>175</v>
      </c>
      <c r="V47" s="62">
        <v>175</v>
      </c>
    </row>
    <row r="48" spans="1:82" x14ac:dyDescent="0.4">
      <c r="G48" s="29"/>
      <c r="H48" s="29"/>
      <c r="I48" s="29"/>
      <c r="J48" s="29" t="str">
        <f xml:space="preserve"> _xll.EPMOlapMemberO("[KEY_FIGURES].[].[DEMANDPLANNINGQTY]","","Demand Planning Qty","","000")</f>
        <v>Demand Planning Qty</v>
      </c>
      <c r="K48" s="34">
        <v>0</v>
      </c>
      <c r="L48" s="34">
        <v>0</v>
      </c>
      <c r="M48" s="34">
        <v>0</v>
      </c>
      <c r="N48" s="34">
        <v>0</v>
      </c>
      <c r="O48" s="34">
        <v>0</v>
      </c>
      <c r="P48" s="34"/>
      <c r="Q48" s="34"/>
      <c r="R48" s="34"/>
      <c r="S48" s="34"/>
      <c r="T48" s="34"/>
      <c r="U48" s="34">
        <v>150</v>
      </c>
      <c r="V48" s="34">
        <v>150</v>
      </c>
    </row>
    <row r="49" spans="7:22" x14ac:dyDescent="0.4">
      <c r="G49" s="29"/>
      <c r="H49" s="29"/>
      <c r="I49" s="29"/>
      <c r="J49" s="29" t="str">
        <f xml:space="preserve"> _xll.EPMOlapMemberO("[KEY_FIGURES].[].[FINALCONSENSUSDEMAND]","","Consensus Demand","","000")</f>
        <v>Consensus Demand</v>
      </c>
      <c r="K49" s="34">
        <v>0</v>
      </c>
      <c r="L49" s="34">
        <v>0</v>
      </c>
      <c r="M49" s="34">
        <v>0</v>
      </c>
      <c r="N49" s="34">
        <v>0</v>
      </c>
      <c r="O49" s="34">
        <v>0</v>
      </c>
      <c r="P49" s="34"/>
      <c r="Q49" s="34">
        <v>600</v>
      </c>
      <c r="R49" s="34">
        <v>175</v>
      </c>
      <c r="S49" s="34">
        <v>175</v>
      </c>
      <c r="T49" s="34">
        <v>175</v>
      </c>
      <c r="U49" s="34">
        <v>175</v>
      </c>
      <c r="V49" s="34">
        <v>175</v>
      </c>
    </row>
    <row r="50" spans="7:22" x14ac:dyDescent="0.4">
      <c r="G50" s="29"/>
      <c r="H50" s="29"/>
      <c r="I50" s="29"/>
      <c r="J50" s="29" t="str">
        <f xml:space="preserve"> _xll.EPMOlapMemberO("[KEY_FIGURES].[].[ADJDELIVQTY]","","Delivered Qty Adjusted","","000")</f>
        <v>Delivered Qty Adjusted</v>
      </c>
      <c r="K50" s="62"/>
      <c r="L50" s="62"/>
      <c r="M50" s="62"/>
      <c r="N50" s="62"/>
      <c r="O50" s="62"/>
      <c r="P50" s="62"/>
      <c r="Q50" s="62">
        <v>125</v>
      </c>
      <c r="R50" s="62">
        <v>125</v>
      </c>
      <c r="S50" s="62">
        <v>125</v>
      </c>
      <c r="T50" s="62">
        <v>125</v>
      </c>
      <c r="U50" s="62">
        <v>125</v>
      </c>
      <c r="V50" s="62">
        <v>125</v>
      </c>
    </row>
    <row r="51" spans="7:22" x14ac:dyDescent="0.4">
      <c r="G51" s="29"/>
      <c r="H51" s="29"/>
      <c r="I51" s="29"/>
      <c r="J51" s="29" t="str">
        <f xml:space="preserve"> _xll.EPMOlapMemberO("[KEY_FIGURES].[].[ACTUALSREV]","","Actuals Revenue","","000")</f>
        <v>Actuals Revenue</v>
      </c>
      <c r="K51" s="62"/>
      <c r="L51" s="62"/>
      <c r="M51" s="62"/>
      <c r="N51" s="62"/>
      <c r="O51" s="62"/>
      <c r="P51" s="62"/>
      <c r="Q51" s="62"/>
      <c r="R51" s="62"/>
      <c r="S51" s="62"/>
      <c r="T51" s="62"/>
      <c r="U51" s="62"/>
      <c r="V51" s="62"/>
    </row>
    <row r="52" spans="7:22" x14ac:dyDescent="0.4">
      <c r="G52" s="29"/>
      <c r="H52" s="29"/>
      <c r="I52" s="29"/>
      <c r="J52" s="29" t="str">
        <f xml:space="preserve"> _xll.EPMOlapMemberO("[KEY_FIGURES].[].[CONFQTY]","","Confirmed Qty","","000")</f>
        <v>Confirmed Qty</v>
      </c>
      <c r="K52" s="34"/>
      <c r="L52" s="34"/>
      <c r="M52" s="34"/>
      <c r="N52" s="34"/>
      <c r="O52" s="34"/>
      <c r="P52" s="34"/>
      <c r="Q52" s="34"/>
      <c r="R52" s="34"/>
      <c r="S52" s="34"/>
      <c r="T52" s="34"/>
      <c r="U52" s="34"/>
      <c r="V52" s="34"/>
    </row>
    <row r="53" spans="7:22" x14ac:dyDescent="0.4">
      <c r="G53" s="29" t="str">
        <f xml:space="preserve"> _xll.EPMOlapMemberO("[PRDID].[].[HT_003]","","HT_003","","000")</f>
        <v>HT_003</v>
      </c>
      <c r="H53" s="29" t="str">
        <f xml:space="preserve"> _xll.EPMOlapMemberO("[LOCID].[].[HD_DC_CA_E]","","HD_DC_CA_E","","000")</f>
        <v>HD_DC_CA_E</v>
      </c>
      <c r="I53" s="29" t="str">
        <f xml:space="preserve"> _xll.EPMOlapMemberO("[ABCID].[].[C]","","C","","000")</f>
        <v>C</v>
      </c>
      <c r="J53" s="29" t="str">
        <f xml:space="preserve"> _xll.EPMOlapMemberO("[KEY_FIGURES].[].[CONSENSUSDEMAND]","","Consensus Demand without Promotion","","000")</f>
        <v>Consensus Demand without Promotion</v>
      </c>
      <c r="K53" s="62">
        <v>85.76</v>
      </c>
      <c r="L53" s="62">
        <v>98.007999999999996</v>
      </c>
      <c r="M53" s="62">
        <v>62.5</v>
      </c>
      <c r="N53" s="62">
        <v>93.5</v>
      </c>
      <c r="O53" s="62">
        <v>57</v>
      </c>
      <c r="P53" s="62">
        <v>58</v>
      </c>
      <c r="Q53" s="62">
        <v>100</v>
      </c>
      <c r="R53" s="62">
        <v>35.003999999999998</v>
      </c>
      <c r="S53" s="62">
        <v>58.005000000000003</v>
      </c>
      <c r="T53" s="62">
        <v>99.754999999999995</v>
      </c>
      <c r="U53" s="62">
        <v>37.75</v>
      </c>
      <c r="V53" s="62">
        <v>85.5</v>
      </c>
    </row>
    <row r="54" spans="7:22" x14ac:dyDescent="0.4">
      <c r="G54" s="29"/>
      <c r="H54" s="29"/>
      <c r="I54" s="29"/>
      <c r="J54" s="29" t="str">
        <f xml:space="preserve"> _xll.EPMOlapMemberO("[KEY_FIGURES].[].[DEMANDPLANNINGQTY]","","Demand Planning Qty","","000")</f>
        <v>Demand Planning Qty</v>
      </c>
      <c r="K54" s="34">
        <v>0</v>
      </c>
      <c r="L54" s="34">
        <v>0</v>
      </c>
      <c r="M54" s="34">
        <v>0</v>
      </c>
      <c r="N54" s="34">
        <v>0</v>
      </c>
      <c r="O54" s="34">
        <v>0</v>
      </c>
      <c r="P54" s="34"/>
      <c r="Q54" s="34"/>
      <c r="R54" s="34"/>
      <c r="S54" s="34"/>
      <c r="T54" s="34"/>
      <c r="U54" s="34"/>
      <c r="V54" s="34"/>
    </row>
    <row r="55" spans="7:22" x14ac:dyDescent="0.4">
      <c r="G55" s="29"/>
      <c r="H55" s="29"/>
      <c r="I55" s="29"/>
      <c r="J55" s="29" t="str">
        <f xml:space="preserve"> _xll.EPMOlapMemberO("[KEY_FIGURES].[].[FINALCONSENSUSDEMAND]","","Consensus Demand","","000")</f>
        <v>Consensus Demand</v>
      </c>
      <c r="K55" s="34">
        <v>85.76</v>
      </c>
      <c r="L55" s="34">
        <v>98.007999999999996</v>
      </c>
      <c r="M55" s="34">
        <v>62.5</v>
      </c>
      <c r="N55" s="34">
        <v>93.5</v>
      </c>
      <c r="O55" s="34">
        <v>57</v>
      </c>
      <c r="P55" s="34">
        <v>58</v>
      </c>
      <c r="Q55" s="34">
        <v>100</v>
      </c>
      <c r="R55" s="34">
        <v>35.003999999999998</v>
      </c>
      <c r="S55" s="34">
        <v>58.005000000000003</v>
      </c>
      <c r="T55" s="34">
        <v>99.754999999999995</v>
      </c>
      <c r="U55" s="34">
        <v>37.75</v>
      </c>
      <c r="V55" s="34">
        <v>85.5</v>
      </c>
    </row>
    <row r="56" spans="7:22" x14ac:dyDescent="0.4">
      <c r="G56" s="29"/>
      <c r="H56" s="29"/>
      <c r="I56" s="29"/>
      <c r="J56" s="29" t="str">
        <f xml:space="preserve"> _xll.EPMOlapMemberO("[KEY_FIGURES].[].[ADJDELIVQTY]","","Delivered Qty Adjusted","","000")</f>
        <v>Delivered Qty Adjusted</v>
      </c>
      <c r="K56" s="62">
        <v>62</v>
      </c>
      <c r="L56" s="62">
        <v>56</v>
      </c>
      <c r="M56" s="62">
        <v>0</v>
      </c>
      <c r="N56" s="62">
        <v>37</v>
      </c>
      <c r="O56" s="62">
        <v>62</v>
      </c>
      <c r="P56" s="62">
        <v>78</v>
      </c>
      <c r="Q56" s="62">
        <v>32</v>
      </c>
      <c r="R56" s="62">
        <v>56</v>
      </c>
      <c r="S56" s="62">
        <v>80</v>
      </c>
      <c r="T56" s="62">
        <v>30</v>
      </c>
      <c r="U56" s="62">
        <v>62</v>
      </c>
      <c r="V56" s="62">
        <v>76</v>
      </c>
    </row>
    <row r="57" spans="7:22" x14ac:dyDescent="0.4">
      <c r="G57" s="29"/>
      <c r="H57" s="29"/>
      <c r="I57" s="29"/>
      <c r="J57" s="29" t="str">
        <f xml:space="preserve"> _xll.EPMOlapMemberO("[KEY_FIGURES].[].[ACTUALSREV]","","Actuals Revenue","","000")</f>
        <v>Actuals Revenue</v>
      </c>
      <c r="K57" s="62"/>
      <c r="L57" s="62"/>
      <c r="M57" s="62"/>
      <c r="N57" s="62"/>
      <c r="O57" s="62"/>
      <c r="P57" s="62"/>
      <c r="Q57" s="62"/>
      <c r="R57" s="62"/>
      <c r="S57" s="62"/>
      <c r="T57" s="62"/>
      <c r="U57" s="62"/>
      <c r="V57" s="62"/>
    </row>
    <row r="58" spans="7:22" x14ac:dyDescent="0.4">
      <c r="G58" s="29"/>
      <c r="H58" s="29"/>
      <c r="I58" s="29"/>
      <c r="J58" s="29" t="str">
        <f xml:space="preserve"> _xll.EPMOlapMemberO("[KEY_FIGURES].[].[CONFQTY]","","Confirmed Qty","","000")</f>
        <v>Confirmed Qty</v>
      </c>
      <c r="K58" s="34"/>
      <c r="L58" s="34"/>
      <c r="M58" s="34"/>
      <c r="N58" s="34"/>
      <c r="O58" s="34"/>
      <c r="P58" s="34"/>
      <c r="Q58" s="34"/>
      <c r="R58" s="34"/>
      <c r="S58" s="34"/>
      <c r="T58" s="34"/>
      <c r="U58" s="34"/>
      <c r="V58" s="34"/>
    </row>
    <row r="59" spans="7:22" x14ac:dyDescent="0.4">
      <c r="G59" s="29"/>
      <c r="H59" s="29" t="str">
        <f xml:space="preserve"> _xll.EPMOlapMemberO("[LOCID].[].[HD_DC_FR]","","HD_DC_FR","","000")</f>
        <v>HD_DC_FR</v>
      </c>
      <c r="I59" s="29" t="str">
        <f xml:space="preserve"> _xll.EPMOlapMemberO("[ABCID].[].[C]","","C","","000")</f>
        <v>C</v>
      </c>
      <c r="J59" s="29" t="str">
        <f xml:space="preserve"> _xll.EPMOlapMemberO("[KEY_FIGURES].[].[CONSENSUSDEMAND]","","Consensus Demand without Promotion","","000")</f>
        <v>Consensus Demand without Promotion</v>
      </c>
      <c r="K59" s="62">
        <v>85.76</v>
      </c>
      <c r="L59" s="62">
        <v>98.007999999999996</v>
      </c>
      <c r="M59" s="62">
        <v>62.5</v>
      </c>
      <c r="N59" s="62">
        <v>93.51</v>
      </c>
      <c r="O59" s="62">
        <v>57</v>
      </c>
      <c r="P59" s="62">
        <v>58</v>
      </c>
      <c r="Q59" s="62">
        <v>100</v>
      </c>
      <c r="R59" s="62">
        <v>35.003999999999998</v>
      </c>
      <c r="S59" s="62">
        <v>58.01</v>
      </c>
      <c r="T59" s="62">
        <v>99.765000000000001</v>
      </c>
      <c r="U59" s="62">
        <v>37.75</v>
      </c>
      <c r="V59" s="62">
        <v>85.5</v>
      </c>
    </row>
    <row r="60" spans="7:22" x14ac:dyDescent="0.4">
      <c r="G60" s="29"/>
      <c r="H60" s="29"/>
      <c r="I60" s="29"/>
      <c r="J60" s="29" t="str">
        <f xml:space="preserve"> _xll.EPMOlapMemberO("[KEY_FIGURES].[].[DEMANDPLANNINGQTY]","","Demand Planning Qty","","000")</f>
        <v>Demand Planning Qty</v>
      </c>
      <c r="K60" s="34">
        <v>0</v>
      </c>
      <c r="L60" s="34">
        <v>0</v>
      </c>
      <c r="M60" s="34">
        <v>0</v>
      </c>
      <c r="N60" s="34">
        <v>0</v>
      </c>
      <c r="O60" s="34">
        <v>0</v>
      </c>
      <c r="P60" s="34"/>
      <c r="Q60" s="34"/>
      <c r="R60" s="34"/>
      <c r="S60" s="34"/>
      <c r="T60" s="34"/>
      <c r="U60" s="34"/>
      <c r="V60" s="34"/>
    </row>
    <row r="61" spans="7:22" x14ac:dyDescent="0.4">
      <c r="G61" s="29"/>
      <c r="H61" s="29"/>
      <c r="I61" s="29"/>
      <c r="J61" s="29" t="str">
        <f xml:space="preserve"> _xll.EPMOlapMemberO("[KEY_FIGURES].[].[FINALCONSENSUSDEMAND]","","Consensus Demand","","000")</f>
        <v>Consensus Demand</v>
      </c>
      <c r="K61" s="34">
        <v>85.76</v>
      </c>
      <c r="L61" s="34">
        <v>98.007999999999996</v>
      </c>
      <c r="M61" s="34">
        <v>62.5</v>
      </c>
      <c r="N61" s="34">
        <v>93.51</v>
      </c>
      <c r="O61" s="34">
        <v>57</v>
      </c>
      <c r="P61" s="34">
        <v>58</v>
      </c>
      <c r="Q61" s="34">
        <v>100</v>
      </c>
      <c r="R61" s="34">
        <v>35.003999999999998</v>
      </c>
      <c r="S61" s="34">
        <v>58.01</v>
      </c>
      <c r="T61" s="34">
        <v>99.765000000000001</v>
      </c>
      <c r="U61" s="34">
        <v>37.75</v>
      </c>
      <c r="V61" s="34">
        <v>85.5</v>
      </c>
    </row>
    <row r="62" spans="7:22" x14ac:dyDescent="0.4">
      <c r="G62" s="29"/>
      <c r="H62" s="29"/>
      <c r="I62" s="29"/>
      <c r="J62" s="29" t="str">
        <f xml:space="preserve"> _xll.EPMOlapMemberO("[KEY_FIGURES].[].[ADJDELIVQTY]","","Delivered Qty Adjusted","","000")</f>
        <v>Delivered Qty Adjusted</v>
      </c>
      <c r="K62" s="62">
        <v>100</v>
      </c>
      <c r="L62" s="62">
        <v>112</v>
      </c>
      <c r="M62" s="62">
        <v>62</v>
      </c>
      <c r="N62" s="62">
        <v>56</v>
      </c>
      <c r="O62" s="62">
        <v>124</v>
      </c>
      <c r="P62" s="62">
        <v>78</v>
      </c>
      <c r="Q62" s="62">
        <v>32</v>
      </c>
      <c r="R62" s="62">
        <v>56</v>
      </c>
      <c r="S62" s="62">
        <v>80</v>
      </c>
      <c r="T62" s="62">
        <v>30</v>
      </c>
      <c r="U62" s="62">
        <v>61</v>
      </c>
      <c r="V62" s="62">
        <v>76</v>
      </c>
    </row>
    <row r="63" spans="7:22" x14ac:dyDescent="0.4">
      <c r="G63" s="29"/>
      <c r="H63" s="29"/>
      <c r="I63" s="29"/>
      <c r="J63" s="29" t="str">
        <f xml:space="preserve"> _xll.EPMOlapMemberO("[KEY_FIGURES].[].[ACTUALSREV]","","Actuals Revenue","","000")</f>
        <v>Actuals Revenue</v>
      </c>
      <c r="K63" s="62"/>
      <c r="L63" s="62"/>
      <c r="M63" s="62"/>
      <c r="N63" s="62"/>
      <c r="O63" s="62"/>
      <c r="P63" s="62"/>
      <c r="Q63" s="62"/>
      <c r="R63" s="62"/>
      <c r="S63" s="62"/>
      <c r="T63" s="62"/>
      <c r="U63" s="62"/>
      <c r="V63" s="62"/>
    </row>
    <row r="64" spans="7:22" x14ac:dyDescent="0.4">
      <c r="G64" s="29"/>
      <c r="H64" s="29"/>
      <c r="I64" s="29"/>
      <c r="J64" s="29" t="str">
        <f xml:space="preserve"> _xll.EPMOlapMemberO("[KEY_FIGURES].[].[CONFQTY]","","Confirmed Qty","","000")</f>
        <v>Confirmed Qty</v>
      </c>
      <c r="K64" s="34"/>
      <c r="L64" s="34"/>
      <c r="M64" s="34"/>
      <c r="N64" s="34"/>
      <c r="O64" s="34"/>
      <c r="P64" s="34"/>
      <c r="Q64" s="34"/>
      <c r="R64" s="34"/>
      <c r="S64" s="34"/>
      <c r="T64" s="34"/>
      <c r="U64" s="34"/>
      <c r="V64" s="34"/>
    </row>
    <row r="65" spans="7:22" x14ac:dyDescent="0.4">
      <c r="G65" s="29"/>
      <c r="H65" s="29" t="str">
        <f xml:space="preserve"> _xll.EPMOlapMemberO("[LOCID].[].[HD_DC_US_E]","","HD_DC_US_E","","000")</f>
        <v>HD_DC_US_E</v>
      </c>
      <c r="I65" s="29" t="str">
        <f xml:space="preserve"> _xll.EPMOlapMemberO("[ABCID].[].[C]","","C","","000")</f>
        <v>C</v>
      </c>
      <c r="J65" s="29" t="str">
        <f xml:space="preserve"> _xll.EPMOlapMemberO("[KEY_FIGURES].[].[CONSENSUSDEMAND]","","Consensus Demand without Promotion","","000")</f>
        <v>Consensus Demand without Promotion</v>
      </c>
      <c r="K65" s="62">
        <v>85.74</v>
      </c>
      <c r="L65" s="62">
        <v>97.992000000000004</v>
      </c>
      <c r="M65" s="62">
        <v>62.5</v>
      </c>
      <c r="N65" s="62">
        <v>93.49</v>
      </c>
      <c r="O65" s="62">
        <v>57</v>
      </c>
      <c r="P65" s="62">
        <v>58</v>
      </c>
      <c r="Q65" s="62">
        <v>100</v>
      </c>
      <c r="R65" s="62">
        <v>35</v>
      </c>
      <c r="S65" s="62">
        <v>57.99</v>
      </c>
      <c r="T65" s="62">
        <v>99.734999999999999</v>
      </c>
      <c r="U65" s="62">
        <v>37.75</v>
      </c>
      <c r="V65" s="62">
        <v>85.5</v>
      </c>
    </row>
    <row r="66" spans="7:22" x14ac:dyDescent="0.4">
      <c r="G66" s="29"/>
      <c r="H66" s="29"/>
      <c r="I66" s="29"/>
      <c r="J66" s="29" t="str">
        <f xml:space="preserve"> _xll.EPMOlapMemberO("[KEY_FIGURES].[].[DEMANDPLANNINGQTY]","","Demand Planning Qty","","000")</f>
        <v>Demand Planning Qty</v>
      </c>
      <c r="K66" s="34">
        <v>0</v>
      </c>
      <c r="L66" s="34">
        <v>0</v>
      </c>
      <c r="M66" s="34">
        <v>0</v>
      </c>
      <c r="N66" s="34">
        <v>0</v>
      </c>
      <c r="O66" s="34">
        <v>0</v>
      </c>
      <c r="P66" s="34"/>
      <c r="Q66" s="34"/>
      <c r="R66" s="34"/>
      <c r="S66" s="34"/>
      <c r="T66" s="34"/>
      <c r="U66" s="34"/>
      <c r="V66" s="34"/>
    </row>
    <row r="67" spans="7:22" x14ac:dyDescent="0.4">
      <c r="G67" s="29"/>
      <c r="H67" s="29"/>
      <c r="I67" s="29"/>
      <c r="J67" s="29" t="str">
        <f xml:space="preserve"> _xll.EPMOlapMemberO("[KEY_FIGURES].[].[FINALCONSENSUSDEMAND]","","Consensus Demand","","000")</f>
        <v>Consensus Demand</v>
      </c>
      <c r="K67" s="34">
        <v>85.74</v>
      </c>
      <c r="L67" s="34">
        <v>97.992000000000004</v>
      </c>
      <c r="M67" s="34">
        <v>62.5</v>
      </c>
      <c r="N67" s="34">
        <v>93.49</v>
      </c>
      <c r="O67" s="34">
        <v>57</v>
      </c>
      <c r="P67" s="34">
        <v>58</v>
      </c>
      <c r="Q67" s="34">
        <v>100</v>
      </c>
      <c r="R67" s="34">
        <v>35</v>
      </c>
      <c r="S67" s="34">
        <v>57.99</v>
      </c>
      <c r="T67" s="34">
        <v>99.734999999999999</v>
      </c>
      <c r="U67" s="34">
        <v>37.75</v>
      </c>
      <c r="V67" s="34">
        <v>85.5</v>
      </c>
    </row>
    <row r="68" spans="7:22" x14ac:dyDescent="0.4">
      <c r="G68" s="29"/>
      <c r="H68" s="29"/>
      <c r="I68" s="29"/>
      <c r="J68" s="29" t="str">
        <f xml:space="preserve"> _xll.EPMOlapMemberO("[KEY_FIGURES].[].[ADJDELIVQTY]","","Delivered Qty Adjusted","","000")</f>
        <v>Delivered Qty Adjusted</v>
      </c>
      <c r="K68" s="62">
        <v>76</v>
      </c>
      <c r="L68" s="62">
        <v>87</v>
      </c>
      <c r="M68" s="62">
        <v>31</v>
      </c>
      <c r="N68" s="62">
        <v>56</v>
      </c>
      <c r="O68" s="62">
        <v>93</v>
      </c>
      <c r="P68" s="62">
        <v>78</v>
      </c>
      <c r="Q68" s="62">
        <v>32</v>
      </c>
      <c r="R68" s="62">
        <v>56</v>
      </c>
      <c r="S68" s="62">
        <v>80</v>
      </c>
      <c r="T68" s="62">
        <v>28</v>
      </c>
      <c r="U68" s="62">
        <v>60</v>
      </c>
      <c r="V68" s="62">
        <v>76</v>
      </c>
    </row>
    <row r="69" spans="7:22" x14ac:dyDescent="0.4">
      <c r="G69" s="29"/>
      <c r="H69" s="29"/>
      <c r="I69" s="29"/>
      <c r="J69" s="29" t="str">
        <f xml:space="preserve"> _xll.EPMOlapMemberO("[KEY_FIGURES].[].[ACTUALSREV]","","Actuals Revenue","","000")</f>
        <v>Actuals Revenue</v>
      </c>
      <c r="K69" s="62"/>
      <c r="L69" s="62"/>
      <c r="M69" s="62"/>
      <c r="N69" s="62"/>
      <c r="O69" s="62"/>
      <c r="P69" s="62"/>
      <c r="Q69" s="62"/>
      <c r="R69" s="62"/>
      <c r="S69" s="62"/>
      <c r="T69" s="62"/>
      <c r="U69" s="62"/>
      <c r="V69" s="62"/>
    </row>
    <row r="70" spans="7:22" x14ac:dyDescent="0.4">
      <c r="G70" s="29"/>
      <c r="H70" s="29"/>
      <c r="I70" s="29"/>
      <c r="J70" s="29" t="str">
        <f xml:space="preserve"> _xll.EPMOlapMemberO("[KEY_FIGURES].[].[CONFQTY]","","Confirmed Qty","","000")</f>
        <v>Confirmed Qty</v>
      </c>
      <c r="K70" s="34"/>
      <c r="L70" s="34"/>
      <c r="M70" s="34"/>
      <c r="N70" s="34"/>
      <c r="O70" s="34"/>
      <c r="P70" s="34"/>
      <c r="Q70" s="34"/>
      <c r="R70" s="34"/>
      <c r="S70" s="34"/>
      <c r="T70" s="34"/>
      <c r="U70" s="34"/>
      <c r="V70" s="34"/>
    </row>
    <row r="71" spans="7:22" x14ac:dyDescent="0.4">
      <c r="G71" s="29"/>
      <c r="H71" s="29" t="str">
        <f xml:space="preserve"> _xll.EPMOlapMemberO("[LOCID].[].[HD_DC_US_W]","","HD_DC_US_W","","000")</f>
        <v>HD_DC_US_W</v>
      </c>
      <c r="I71" s="29" t="str">
        <f xml:space="preserve"> _xll.EPMOlapMemberO("[ABCID].[].[C]","","C","","000")</f>
        <v>C</v>
      </c>
      <c r="J71" s="29" t="str">
        <f xml:space="preserve"> _xll.EPMOlapMemberO("[KEY_FIGURES].[].[CONSENSUSDEMAND]","","Consensus Demand without Promotion","","000")</f>
        <v>Consensus Demand without Promotion</v>
      </c>
      <c r="K71" s="62">
        <v>85.74</v>
      </c>
      <c r="L71" s="62">
        <v>97.992000000000004</v>
      </c>
      <c r="M71" s="62">
        <v>62.5</v>
      </c>
      <c r="N71" s="62">
        <v>93.5</v>
      </c>
      <c r="O71" s="62">
        <v>57</v>
      </c>
      <c r="P71" s="62">
        <v>58</v>
      </c>
      <c r="Q71" s="62">
        <v>100</v>
      </c>
      <c r="R71" s="62">
        <v>34.991999999999997</v>
      </c>
      <c r="S71" s="62">
        <v>57.994999999999997</v>
      </c>
      <c r="T71" s="62">
        <v>99.745000000000005</v>
      </c>
      <c r="U71" s="62">
        <v>37.75</v>
      </c>
      <c r="V71" s="62">
        <v>85.5</v>
      </c>
    </row>
    <row r="72" spans="7:22" x14ac:dyDescent="0.4">
      <c r="G72" s="29"/>
      <c r="H72" s="29"/>
      <c r="I72" s="29"/>
      <c r="J72" s="29" t="str">
        <f xml:space="preserve"> _xll.EPMOlapMemberO("[KEY_FIGURES].[].[DEMANDPLANNINGQTY]","","Demand Planning Qty","","000")</f>
        <v>Demand Planning Qty</v>
      </c>
      <c r="K72" s="34">
        <v>0</v>
      </c>
      <c r="L72" s="34">
        <v>0</v>
      </c>
      <c r="M72" s="34">
        <v>0</v>
      </c>
      <c r="N72" s="34">
        <v>0</v>
      </c>
      <c r="O72" s="34">
        <v>0</v>
      </c>
      <c r="P72" s="34"/>
      <c r="Q72" s="34"/>
      <c r="R72" s="34"/>
      <c r="S72" s="34"/>
      <c r="T72" s="34"/>
      <c r="U72" s="34"/>
      <c r="V72" s="34"/>
    </row>
    <row r="73" spans="7:22" x14ac:dyDescent="0.4">
      <c r="G73" s="29"/>
      <c r="H73" s="29"/>
      <c r="I73" s="29"/>
      <c r="J73" s="29" t="str">
        <f xml:space="preserve"> _xll.EPMOlapMemberO("[KEY_FIGURES].[].[FINALCONSENSUSDEMAND]","","Consensus Demand","","000")</f>
        <v>Consensus Demand</v>
      </c>
      <c r="K73" s="34">
        <v>85.74</v>
      </c>
      <c r="L73" s="34">
        <v>97.992000000000004</v>
      </c>
      <c r="M73" s="34">
        <v>62.5</v>
      </c>
      <c r="N73" s="34">
        <v>93.5</v>
      </c>
      <c r="O73" s="34">
        <v>57</v>
      </c>
      <c r="P73" s="34">
        <v>58</v>
      </c>
      <c r="Q73" s="34">
        <v>100</v>
      </c>
      <c r="R73" s="34">
        <v>34.991999999999997</v>
      </c>
      <c r="S73" s="34">
        <v>57.994999999999997</v>
      </c>
      <c r="T73" s="34">
        <v>99.745000000000005</v>
      </c>
      <c r="U73" s="34">
        <v>37.75</v>
      </c>
      <c r="V73" s="34">
        <v>85.5</v>
      </c>
    </row>
    <row r="74" spans="7:22" x14ac:dyDescent="0.4">
      <c r="G74" s="29"/>
      <c r="H74" s="29"/>
      <c r="I74" s="29"/>
      <c r="J74" s="29" t="str">
        <f xml:space="preserve"> _xll.EPMOlapMemberO("[KEY_FIGURES].[].[ADJDELIVQTY]","","Delivered Qty Adjusted","","000")</f>
        <v>Delivered Qty Adjusted</v>
      </c>
      <c r="K74" s="62">
        <v>97</v>
      </c>
      <c r="L74" s="62">
        <v>112</v>
      </c>
      <c r="M74" s="62">
        <v>48</v>
      </c>
      <c r="N74" s="62">
        <v>56</v>
      </c>
      <c r="O74" s="62">
        <v>114</v>
      </c>
      <c r="P74" s="62">
        <v>78</v>
      </c>
      <c r="Q74" s="62">
        <v>30</v>
      </c>
      <c r="R74" s="62">
        <v>55</v>
      </c>
      <c r="S74" s="62">
        <v>80</v>
      </c>
      <c r="T74" s="62">
        <v>28</v>
      </c>
      <c r="U74" s="62">
        <v>60</v>
      </c>
      <c r="V74" s="62">
        <v>76</v>
      </c>
    </row>
    <row r="75" spans="7:22" x14ac:dyDescent="0.4">
      <c r="G75" s="29"/>
      <c r="H75" s="29"/>
      <c r="I75" s="29"/>
      <c r="J75" s="29" t="str">
        <f xml:space="preserve"> _xll.EPMOlapMemberO("[KEY_FIGURES].[].[ACTUALSREV]","","Actuals Revenue","","000")</f>
        <v>Actuals Revenue</v>
      </c>
      <c r="K75" s="62"/>
      <c r="L75" s="62"/>
      <c r="M75" s="62"/>
      <c r="N75" s="62"/>
      <c r="O75" s="62"/>
      <c r="P75" s="62"/>
      <c r="Q75" s="62"/>
      <c r="R75" s="62"/>
      <c r="S75" s="62"/>
      <c r="T75" s="62"/>
      <c r="U75" s="62"/>
      <c r="V75" s="62"/>
    </row>
    <row r="76" spans="7:22" x14ac:dyDescent="0.4">
      <c r="G76" s="29"/>
      <c r="H76" s="29"/>
      <c r="I76" s="29"/>
      <c r="J76" s="29" t="str">
        <f xml:space="preserve"> _xll.EPMOlapMemberO("[KEY_FIGURES].[].[CONFQTY]","","Confirmed Qty","","000")</f>
        <v>Confirmed Qty</v>
      </c>
      <c r="K76" s="34"/>
      <c r="L76" s="34"/>
      <c r="M76" s="34"/>
      <c r="N76" s="34"/>
      <c r="O76" s="34"/>
      <c r="P76" s="34"/>
      <c r="Q76" s="34"/>
      <c r="R76" s="34"/>
      <c r="S76" s="34"/>
      <c r="T76" s="34"/>
      <c r="U76" s="34"/>
      <c r="V76" s="34"/>
    </row>
    <row r="77" spans="7:22" x14ac:dyDescent="0.4">
      <c r="G77" s="29" t="str">
        <f xml:space="preserve"> _xll.EPMOlapMemberO("[PRDID].[].[HT_004]","","HT_004","","000")</f>
        <v>HT_004</v>
      </c>
      <c r="H77" s="29" t="str">
        <f xml:space="preserve"> _xll.EPMOlapMemberO("[LOCID].[].[HD_DC_CA_E]","","HD_DC_CA_E","","000")</f>
        <v>HD_DC_CA_E</v>
      </c>
      <c r="I77" s="29" t="str">
        <f xml:space="preserve"> _xll.EPMOlapMemberO("[ABCID].[].[C]","","C","","000")</f>
        <v>C</v>
      </c>
      <c r="J77" s="29" t="str">
        <f xml:space="preserve"> _xll.EPMOlapMemberO("[KEY_FIGURES].[].[CONSENSUSDEMAND]","","Consensus Demand without Promotion","","000")</f>
        <v>Consensus Demand without Promotion</v>
      </c>
      <c r="K77" s="62">
        <v>76.5</v>
      </c>
      <c r="L77" s="62">
        <v>99.251999999999995</v>
      </c>
      <c r="M77" s="62">
        <v>69.75</v>
      </c>
      <c r="N77" s="62">
        <v>95.495000000000005</v>
      </c>
      <c r="O77" s="62">
        <v>71.748000000000005</v>
      </c>
      <c r="P77" s="62">
        <v>30.5</v>
      </c>
      <c r="Q77" s="62">
        <v>48.25</v>
      </c>
      <c r="R77" s="62">
        <v>47.502000000000002</v>
      </c>
      <c r="S77" s="62">
        <v>77.5</v>
      </c>
      <c r="T77" s="62">
        <v>98.74</v>
      </c>
      <c r="U77" s="62">
        <v>52.494999999999997</v>
      </c>
      <c r="V77" s="62">
        <v>52.25</v>
      </c>
    </row>
    <row r="78" spans="7:22" x14ac:dyDescent="0.4">
      <c r="G78" s="29"/>
      <c r="H78" s="29"/>
      <c r="I78" s="29"/>
      <c r="J78" s="29" t="str">
        <f xml:space="preserve"> _xll.EPMOlapMemberO("[KEY_FIGURES].[].[DEMANDPLANNINGQTY]","","Demand Planning Qty","","000")</f>
        <v>Demand Planning Qty</v>
      </c>
      <c r="K78" s="34">
        <v>0</v>
      </c>
      <c r="L78" s="34">
        <v>0</v>
      </c>
      <c r="M78" s="34">
        <v>0</v>
      </c>
      <c r="N78" s="34">
        <v>0</v>
      </c>
      <c r="O78" s="34">
        <v>0</v>
      </c>
      <c r="P78" s="34"/>
      <c r="Q78" s="34"/>
      <c r="R78" s="34"/>
      <c r="S78" s="34"/>
      <c r="T78" s="34"/>
      <c r="U78" s="34"/>
      <c r="V78" s="34"/>
    </row>
    <row r="79" spans="7:22" x14ac:dyDescent="0.4">
      <c r="G79" s="29"/>
      <c r="H79" s="29"/>
      <c r="I79" s="29"/>
      <c r="J79" s="29" t="str">
        <f xml:space="preserve"> _xll.EPMOlapMemberO("[KEY_FIGURES].[].[FINALCONSENSUSDEMAND]","","Consensus Demand","","000")</f>
        <v>Consensus Demand</v>
      </c>
      <c r="K79" s="34">
        <v>76.5</v>
      </c>
      <c r="L79" s="34">
        <v>99.251999999999995</v>
      </c>
      <c r="M79" s="34">
        <v>69.75</v>
      </c>
      <c r="N79" s="34">
        <v>95.495000000000005</v>
      </c>
      <c r="O79" s="34">
        <v>71.748000000000005</v>
      </c>
      <c r="P79" s="34">
        <v>30.5</v>
      </c>
      <c r="Q79" s="34">
        <v>48.25</v>
      </c>
      <c r="R79" s="34">
        <v>47.502000000000002</v>
      </c>
      <c r="S79" s="34">
        <v>77.5</v>
      </c>
      <c r="T79" s="34">
        <v>98.74</v>
      </c>
      <c r="U79" s="34">
        <v>52.494999999999997</v>
      </c>
      <c r="V79" s="34">
        <v>52.25</v>
      </c>
    </row>
    <row r="80" spans="7:22" x14ac:dyDescent="0.4">
      <c r="G80" s="29"/>
      <c r="H80" s="29"/>
      <c r="I80" s="29"/>
      <c r="J80" s="29" t="str">
        <f xml:space="preserve"> _xll.EPMOlapMemberO("[KEY_FIGURES].[].[ADJDELIVQTY]","","Delivered Qty Adjusted","","000")</f>
        <v>Delivered Qty Adjusted</v>
      </c>
      <c r="K80" s="62">
        <v>69</v>
      </c>
      <c r="L80" s="62">
        <v>42</v>
      </c>
      <c r="M80" s="62">
        <v>93</v>
      </c>
      <c r="N80" s="62">
        <v>60</v>
      </c>
      <c r="O80" s="62">
        <v>62</v>
      </c>
      <c r="P80" s="62">
        <v>46</v>
      </c>
      <c r="Q80" s="62">
        <v>59</v>
      </c>
      <c r="R80" s="62">
        <v>27</v>
      </c>
      <c r="S80" s="62">
        <v>50</v>
      </c>
      <c r="T80" s="62">
        <v>93</v>
      </c>
      <c r="U80" s="62">
        <v>54</v>
      </c>
      <c r="V80" s="62">
        <v>44</v>
      </c>
    </row>
    <row r="81" spans="7:22" x14ac:dyDescent="0.4">
      <c r="G81" s="29"/>
      <c r="H81" s="29"/>
      <c r="I81" s="29"/>
      <c r="J81" s="29" t="str">
        <f xml:space="preserve"> _xll.EPMOlapMemberO("[KEY_FIGURES].[].[ACTUALSREV]","","Actuals Revenue","","000")</f>
        <v>Actuals Revenue</v>
      </c>
      <c r="K81" s="62"/>
      <c r="L81" s="62"/>
      <c r="M81" s="62"/>
      <c r="N81" s="62"/>
      <c r="O81" s="62"/>
      <c r="P81" s="62"/>
      <c r="Q81" s="62"/>
      <c r="R81" s="62"/>
      <c r="S81" s="62"/>
      <c r="T81" s="62"/>
      <c r="U81" s="62"/>
      <c r="V81" s="62"/>
    </row>
    <row r="82" spans="7:22" x14ac:dyDescent="0.4">
      <c r="G82" s="29"/>
      <c r="H82" s="29"/>
      <c r="I82" s="29"/>
      <c r="J82" s="29" t="str">
        <f xml:space="preserve"> _xll.EPMOlapMemberO("[KEY_FIGURES].[].[CONFQTY]","","Confirmed Qty","","000")</f>
        <v>Confirmed Qty</v>
      </c>
      <c r="K82" s="34"/>
      <c r="L82" s="34"/>
      <c r="M82" s="34"/>
      <c r="N82" s="34"/>
      <c r="O82" s="34"/>
      <c r="P82" s="34"/>
      <c r="Q82" s="34"/>
      <c r="R82" s="34"/>
      <c r="S82" s="34"/>
      <c r="T82" s="34"/>
      <c r="U82" s="34"/>
      <c r="V82" s="34"/>
    </row>
    <row r="83" spans="7:22" x14ac:dyDescent="0.4">
      <c r="G83" s="29"/>
      <c r="H83" s="29" t="str">
        <f xml:space="preserve"> _xll.EPMOlapMemberO("[LOCID].[].[HD_DC_FR]","","HD_DC_FR","","000")</f>
        <v>HD_DC_FR</v>
      </c>
      <c r="I83" s="29" t="str">
        <f xml:space="preserve"> _xll.EPMOlapMemberO("[ABCID].[].[C]","","C","","000")</f>
        <v>C</v>
      </c>
      <c r="J83" s="29" t="str">
        <f xml:space="preserve"> _xll.EPMOlapMemberO("[KEY_FIGURES].[].[CONSENSUSDEMAND]","","Consensus Demand without Promotion","","000")</f>
        <v>Consensus Demand without Promotion</v>
      </c>
      <c r="K83" s="62">
        <v>76.5</v>
      </c>
      <c r="L83" s="62">
        <v>99.251999999999995</v>
      </c>
      <c r="M83" s="62">
        <v>69.75</v>
      </c>
      <c r="N83" s="62">
        <v>95.5</v>
      </c>
      <c r="O83" s="62">
        <v>71.754000000000005</v>
      </c>
      <c r="P83" s="62">
        <v>30.5</v>
      </c>
      <c r="Q83" s="62">
        <v>48.25</v>
      </c>
      <c r="R83" s="62">
        <v>47.5</v>
      </c>
      <c r="S83" s="62">
        <v>77.5</v>
      </c>
      <c r="T83" s="62">
        <v>98.75</v>
      </c>
      <c r="U83" s="62">
        <v>52.5</v>
      </c>
      <c r="V83" s="62">
        <v>52.25</v>
      </c>
    </row>
    <row r="84" spans="7:22" x14ac:dyDescent="0.4">
      <c r="G84" s="29"/>
      <c r="H84" s="29"/>
      <c r="I84" s="29"/>
      <c r="J84" s="29" t="str">
        <f xml:space="preserve"> _xll.EPMOlapMemberO("[KEY_FIGURES].[].[DEMANDPLANNINGQTY]","","Demand Planning Qty","","000")</f>
        <v>Demand Planning Qty</v>
      </c>
      <c r="K84" s="34">
        <v>0</v>
      </c>
      <c r="L84" s="34">
        <v>0</v>
      </c>
      <c r="M84" s="34">
        <v>0</v>
      </c>
      <c r="N84" s="34">
        <v>0</v>
      </c>
      <c r="O84" s="34">
        <v>0</v>
      </c>
      <c r="P84" s="34"/>
      <c r="Q84" s="34"/>
      <c r="R84" s="34"/>
      <c r="S84" s="34"/>
      <c r="T84" s="34"/>
      <c r="U84" s="34"/>
      <c r="V84" s="34"/>
    </row>
    <row r="85" spans="7:22" x14ac:dyDescent="0.4">
      <c r="G85" s="29"/>
      <c r="H85" s="29"/>
      <c r="I85" s="29"/>
      <c r="J85" s="29" t="str">
        <f xml:space="preserve"> _xll.EPMOlapMemberO("[KEY_FIGURES].[].[FINALCONSENSUSDEMAND]","","Consensus Demand","","000")</f>
        <v>Consensus Demand</v>
      </c>
      <c r="K85" s="34">
        <v>76.5</v>
      </c>
      <c r="L85" s="34">
        <v>99.251999999999995</v>
      </c>
      <c r="M85" s="34">
        <v>69.75</v>
      </c>
      <c r="N85" s="34">
        <v>95.5</v>
      </c>
      <c r="O85" s="34">
        <v>71.754000000000005</v>
      </c>
      <c r="P85" s="34">
        <v>30.5</v>
      </c>
      <c r="Q85" s="34">
        <v>48.25</v>
      </c>
      <c r="R85" s="34">
        <v>47.5</v>
      </c>
      <c r="S85" s="34">
        <v>77.5</v>
      </c>
      <c r="T85" s="34">
        <v>98.75</v>
      </c>
      <c r="U85" s="34">
        <v>52.5</v>
      </c>
      <c r="V85" s="34">
        <v>52.25</v>
      </c>
    </row>
    <row r="86" spans="7:22" x14ac:dyDescent="0.4">
      <c r="G86" s="29"/>
      <c r="H86" s="29"/>
      <c r="I86" s="29"/>
      <c r="J86" s="29" t="str">
        <f xml:space="preserve"> _xll.EPMOlapMemberO("[KEY_FIGURES].[].[ADJDELIVQTY]","","Delivered Qty Adjusted","","000")</f>
        <v>Delivered Qty Adjusted</v>
      </c>
      <c r="K86" s="62">
        <v>62</v>
      </c>
      <c r="L86" s="62">
        <v>28</v>
      </c>
      <c r="M86" s="62">
        <v>93</v>
      </c>
      <c r="N86" s="62">
        <v>84</v>
      </c>
      <c r="O86" s="62">
        <v>31</v>
      </c>
      <c r="P86" s="62">
        <v>45</v>
      </c>
      <c r="Q86" s="62">
        <v>59</v>
      </c>
      <c r="R86" s="62">
        <v>27</v>
      </c>
      <c r="S86" s="62">
        <v>51</v>
      </c>
      <c r="T86" s="62">
        <v>93</v>
      </c>
      <c r="U86" s="62">
        <v>54</v>
      </c>
      <c r="V86" s="62">
        <v>44</v>
      </c>
    </row>
    <row r="87" spans="7:22" x14ac:dyDescent="0.4">
      <c r="G87" s="29"/>
      <c r="H87" s="29"/>
      <c r="I87" s="29"/>
      <c r="J87" s="29" t="str">
        <f xml:space="preserve"> _xll.EPMOlapMemberO("[KEY_FIGURES].[].[ACTUALSREV]","","Actuals Revenue","","000")</f>
        <v>Actuals Revenue</v>
      </c>
      <c r="K87" s="62"/>
      <c r="L87" s="62"/>
      <c r="M87" s="62"/>
      <c r="N87" s="62"/>
      <c r="O87" s="62"/>
      <c r="P87" s="62"/>
      <c r="Q87" s="62"/>
      <c r="R87" s="62"/>
      <c r="S87" s="62"/>
      <c r="T87" s="62"/>
      <c r="U87" s="62"/>
      <c r="V87" s="62"/>
    </row>
    <row r="88" spans="7:22" x14ac:dyDescent="0.4">
      <c r="G88" s="29"/>
      <c r="H88" s="29"/>
      <c r="I88" s="29"/>
      <c r="J88" s="29" t="str">
        <f xml:space="preserve"> _xll.EPMOlapMemberO("[KEY_FIGURES].[].[CONFQTY]","","Confirmed Qty","","000")</f>
        <v>Confirmed Qty</v>
      </c>
      <c r="K88" s="34"/>
      <c r="L88" s="34"/>
      <c r="M88" s="34"/>
      <c r="N88" s="34"/>
      <c r="O88" s="34"/>
      <c r="P88" s="34"/>
      <c r="Q88" s="34"/>
      <c r="R88" s="34"/>
      <c r="S88" s="34"/>
      <c r="T88" s="34"/>
      <c r="U88" s="34"/>
      <c r="V88" s="34"/>
    </row>
    <row r="89" spans="7:22" x14ac:dyDescent="0.4">
      <c r="G89" s="29"/>
      <c r="H89" s="29" t="str">
        <f xml:space="preserve"> _xll.EPMOlapMemberO("[LOCID].[].[HD_DC_US_E]","","HD_DC_US_E","","000")</f>
        <v>HD_DC_US_E</v>
      </c>
      <c r="I89" s="29" t="str">
        <f xml:space="preserve"> _xll.EPMOlapMemberO("[ABCID].[].[C]","","C","","000")</f>
        <v>C</v>
      </c>
      <c r="J89" s="29" t="str">
        <f xml:space="preserve"> _xll.EPMOlapMemberO("[KEY_FIGURES].[].[CONSENSUSDEMAND]","","Consensus Demand without Promotion","","000")</f>
        <v>Consensus Demand without Promotion</v>
      </c>
      <c r="K89" s="62">
        <v>76.5</v>
      </c>
      <c r="L89" s="62">
        <v>99.248000000000005</v>
      </c>
      <c r="M89" s="62">
        <v>69.75</v>
      </c>
      <c r="N89" s="62">
        <v>95.5</v>
      </c>
      <c r="O89" s="62">
        <v>71.75</v>
      </c>
      <c r="P89" s="62">
        <v>30.5</v>
      </c>
      <c r="Q89" s="62">
        <v>48.25</v>
      </c>
      <c r="R89" s="62">
        <v>47.496000000000002</v>
      </c>
      <c r="S89" s="62">
        <v>77.5</v>
      </c>
      <c r="T89" s="62">
        <v>98.75</v>
      </c>
      <c r="U89" s="62">
        <v>52.5</v>
      </c>
      <c r="V89" s="62">
        <v>52.25</v>
      </c>
    </row>
    <row r="90" spans="7:22" x14ac:dyDescent="0.4">
      <c r="G90" s="29"/>
      <c r="H90" s="29"/>
      <c r="I90" s="29"/>
      <c r="J90" s="29" t="str">
        <f xml:space="preserve"> _xll.EPMOlapMemberO("[KEY_FIGURES].[].[DEMANDPLANNINGQTY]","","Demand Planning Qty","","000")</f>
        <v>Demand Planning Qty</v>
      </c>
      <c r="K90" s="34">
        <v>0</v>
      </c>
      <c r="L90" s="34">
        <v>0</v>
      </c>
      <c r="M90" s="34">
        <v>0</v>
      </c>
      <c r="N90" s="34">
        <v>0</v>
      </c>
      <c r="O90" s="34">
        <v>0</v>
      </c>
      <c r="P90" s="34"/>
      <c r="Q90" s="34"/>
      <c r="R90" s="34"/>
      <c r="S90" s="34"/>
      <c r="T90" s="34"/>
      <c r="U90" s="34"/>
      <c r="V90" s="34"/>
    </row>
    <row r="91" spans="7:22" x14ac:dyDescent="0.4">
      <c r="G91" s="29"/>
      <c r="H91" s="29"/>
      <c r="I91" s="29"/>
      <c r="J91" s="29" t="str">
        <f xml:space="preserve"> _xll.EPMOlapMemberO("[KEY_FIGURES].[].[FINALCONSENSUSDEMAND]","","Consensus Demand","","000")</f>
        <v>Consensus Demand</v>
      </c>
      <c r="K91" s="34">
        <v>76.5</v>
      </c>
      <c r="L91" s="34">
        <v>99.248000000000005</v>
      </c>
      <c r="M91" s="34">
        <v>69.75</v>
      </c>
      <c r="N91" s="34">
        <v>95.5</v>
      </c>
      <c r="O91" s="34">
        <v>71.75</v>
      </c>
      <c r="P91" s="34">
        <v>30.5</v>
      </c>
      <c r="Q91" s="34">
        <v>48.25</v>
      </c>
      <c r="R91" s="34">
        <v>47.496000000000002</v>
      </c>
      <c r="S91" s="34">
        <v>77.5</v>
      </c>
      <c r="T91" s="34">
        <v>98.75</v>
      </c>
      <c r="U91" s="34">
        <v>52.5</v>
      </c>
      <c r="V91" s="34">
        <v>52.25</v>
      </c>
    </row>
    <row r="92" spans="7:22" x14ac:dyDescent="0.4">
      <c r="G92" s="29"/>
      <c r="H92" s="29"/>
      <c r="I92" s="29"/>
      <c r="J92" s="29" t="str">
        <f xml:space="preserve"> _xll.EPMOlapMemberO("[KEY_FIGURES].[].[ADJDELIVQTY]","","Delivered Qty Adjusted","","000")</f>
        <v>Delivered Qty Adjusted</v>
      </c>
      <c r="K92" s="62">
        <v>93</v>
      </c>
      <c r="L92" s="62">
        <v>56</v>
      </c>
      <c r="M92" s="62">
        <v>93</v>
      </c>
      <c r="N92" s="62">
        <v>90</v>
      </c>
      <c r="O92" s="62">
        <v>62</v>
      </c>
      <c r="P92" s="62">
        <v>45</v>
      </c>
      <c r="Q92" s="62">
        <v>59</v>
      </c>
      <c r="R92" s="62">
        <v>27</v>
      </c>
      <c r="S92" s="62">
        <v>50</v>
      </c>
      <c r="T92" s="62">
        <v>93</v>
      </c>
      <c r="U92" s="62">
        <v>54</v>
      </c>
      <c r="V92" s="62">
        <v>44</v>
      </c>
    </row>
    <row r="93" spans="7:22" x14ac:dyDescent="0.4">
      <c r="G93" s="29"/>
      <c r="H93" s="29"/>
      <c r="I93" s="29"/>
      <c r="J93" s="29" t="str">
        <f xml:space="preserve"> _xll.EPMOlapMemberO("[KEY_FIGURES].[].[ACTUALSREV]","","Actuals Revenue","","000")</f>
        <v>Actuals Revenue</v>
      </c>
      <c r="K93" s="62"/>
      <c r="L93" s="62"/>
      <c r="M93" s="62"/>
      <c r="N93" s="62"/>
      <c r="O93" s="62"/>
      <c r="P93" s="62"/>
      <c r="Q93" s="62"/>
      <c r="R93" s="62"/>
      <c r="S93" s="62"/>
      <c r="T93" s="62"/>
      <c r="U93" s="62"/>
      <c r="V93" s="62"/>
    </row>
    <row r="94" spans="7:22" x14ac:dyDescent="0.4">
      <c r="G94" s="29"/>
      <c r="H94" s="29"/>
      <c r="I94" s="29"/>
      <c r="J94" s="29" t="str">
        <f xml:space="preserve"> _xll.EPMOlapMemberO("[KEY_FIGURES].[].[CONFQTY]","","Confirmed Qty","","000")</f>
        <v>Confirmed Qty</v>
      </c>
      <c r="K94" s="34"/>
      <c r="L94" s="34"/>
      <c r="M94" s="34"/>
      <c r="N94" s="34"/>
      <c r="O94" s="34"/>
      <c r="P94" s="34"/>
      <c r="Q94" s="34"/>
      <c r="R94" s="34"/>
      <c r="S94" s="34"/>
      <c r="T94" s="34"/>
      <c r="U94" s="34"/>
      <c r="V94" s="34"/>
    </row>
    <row r="95" spans="7:22" x14ac:dyDescent="0.4">
      <c r="G95" s="29"/>
      <c r="H95" s="29" t="str">
        <f xml:space="preserve"> _xll.EPMOlapMemberO("[LOCID].[].[HD_DC_US_W]","","HD_DC_US_W","","000")</f>
        <v>HD_DC_US_W</v>
      </c>
      <c r="I95" s="29" t="str">
        <f xml:space="preserve"> _xll.EPMOlapMemberO("[ABCID].[].[C]","","C","","000")</f>
        <v>C</v>
      </c>
      <c r="J95" s="29" t="str">
        <f xml:space="preserve"> _xll.EPMOlapMemberO("[KEY_FIGURES].[].[CONSENSUSDEMAND]","","Consensus Demand without Promotion","","000")</f>
        <v>Consensus Demand without Promotion</v>
      </c>
      <c r="K95" s="62">
        <v>76.5</v>
      </c>
      <c r="L95" s="62">
        <v>99.248000000000005</v>
      </c>
      <c r="M95" s="62">
        <v>69.75</v>
      </c>
      <c r="N95" s="62">
        <v>95.504999999999995</v>
      </c>
      <c r="O95" s="62">
        <v>71.748000000000005</v>
      </c>
      <c r="P95" s="62">
        <v>30.5</v>
      </c>
      <c r="Q95" s="62">
        <v>48.25</v>
      </c>
      <c r="R95" s="62">
        <v>47.502000000000002</v>
      </c>
      <c r="S95" s="62">
        <v>77.5</v>
      </c>
      <c r="T95" s="62">
        <v>98.76</v>
      </c>
      <c r="U95" s="62">
        <v>52.505000000000003</v>
      </c>
      <c r="V95" s="62">
        <v>52.25</v>
      </c>
    </row>
    <row r="96" spans="7:22" x14ac:dyDescent="0.4">
      <c r="G96" s="29"/>
      <c r="H96" s="29"/>
      <c r="I96" s="29"/>
      <c r="J96" s="29" t="str">
        <f xml:space="preserve"> _xll.EPMOlapMemberO("[KEY_FIGURES].[].[DEMANDPLANNINGQTY]","","Demand Planning Qty","","000")</f>
        <v>Demand Planning Qty</v>
      </c>
      <c r="K96" s="34">
        <v>0</v>
      </c>
      <c r="L96" s="34">
        <v>0</v>
      </c>
      <c r="M96" s="34">
        <v>0</v>
      </c>
      <c r="N96" s="34">
        <v>0</v>
      </c>
      <c r="O96" s="34">
        <v>0</v>
      </c>
      <c r="P96" s="34"/>
      <c r="Q96" s="34"/>
      <c r="R96" s="34"/>
      <c r="S96" s="34"/>
      <c r="T96" s="34"/>
      <c r="U96" s="34"/>
      <c r="V96" s="34"/>
    </row>
    <row r="97" spans="7:22" x14ac:dyDescent="0.4">
      <c r="G97" s="29"/>
      <c r="H97" s="29"/>
      <c r="I97" s="29"/>
      <c r="J97" s="29" t="str">
        <f xml:space="preserve"> _xll.EPMOlapMemberO("[KEY_FIGURES].[].[FINALCONSENSUSDEMAND]","","Consensus Demand","","000")</f>
        <v>Consensus Demand</v>
      </c>
      <c r="K97" s="34">
        <v>76.5</v>
      </c>
      <c r="L97" s="34">
        <v>99.248000000000005</v>
      </c>
      <c r="M97" s="34">
        <v>69.75</v>
      </c>
      <c r="N97" s="34">
        <v>95.504999999999995</v>
      </c>
      <c r="O97" s="34">
        <v>71.748000000000005</v>
      </c>
      <c r="P97" s="34">
        <v>30.5</v>
      </c>
      <c r="Q97" s="34">
        <v>48.25</v>
      </c>
      <c r="R97" s="34">
        <v>47.502000000000002</v>
      </c>
      <c r="S97" s="34">
        <v>77.5</v>
      </c>
      <c r="T97" s="34">
        <v>98.76</v>
      </c>
      <c r="U97" s="34">
        <v>52.505000000000003</v>
      </c>
      <c r="V97" s="34">
        <v>52.25</v>
      </c>
    </row>
    <row r="98" spans="7:22" x14ac:dyDescent="0.4">
      <c r="G98" s="29"/>
      <c r="H98" s="29"/>
      <c r="I98" s="29"/>
      <c r="J98" s="29" t="str">
        <f xml:space="preserve"> _xll.EPMOlapMemberO("[KEY_FIGURES].[].[ADJDELIVQTY]","","Delivered Qty Adjusted","","000")</f>
        <v>Delivered Qty Adjusted</v>
      </c>
      <c r="K98" s="62">
        <v>93</v>
      </c>
      <c r="L98" s="62">
        <v>56</v>
      </c>
      <c r="M98" s="62">
        <v>93</v>
      </c>
      <c r="N98" s="62">
        <v>112</v>
      </c>
      <c r="O98" s="62">
        <v>62</v>
      </c>
      <c r="P98" s="62">
        <v>45</v>
      </c>
      <c r="Q98" s="62">
        <v>58</v>
      </c>
      <c r="R98" s="62">
        <v>26</v>
      </c>
      <c r="S98" s="62">
        <v>50</v>
      </c>
      <c r="T98" s="62">
        <v>92</v>
      </c>
      <c r="U98" s="62">
        <v>54</v>
      </c>
      <c r="V98" s="62">
        <v>44</v>
      </c>
    </row>
    <row r="99" spans="7:22" x14ac:dyDescent="0.4">
      <c r="G99" s="29"/>
      <c r="H99" s="29"/>
      <c r="I99" s="29"/>
      <c r="J99" s="29" t="str">
        <f xml:space="preserve"> _xll.EPMOlapMemberO("[KEY_FIGURES].[].[ACTUALSREV]","","Actuals Revenue","","000")</f>
        <v>Actuals Revenue</v>
      </c>
      <c r="K99" s="62"/>
      <c r="L99" s="62"/>
      <c r="M99" s="62"/>
      <c r="N99" s="62"/>
      <c r="O99" s="62"/>
      <c r="P99" s="62"/>
      <c r="Q99" s="62"/>
      <c r="R99" s="62"/>
      <c r="S99" s="62"/>
      <c r="T99" s="62"/>
      <c r="U99" s="62"/>
      <c r="V99" s="62"/>
    </row>
    <row r="100" spans="7:22" x14ac:dyDescent="0.4">
      <c r="G100" s="29"/>
      <c r="H100" s="29"/>
      <c r="I100" s="29"/>
      <c r="J100" s="29" t="str">
        <f xml:space="preserve"> _xll.EPMOlapMemberO("[KEY_FIGURES].[].[CONFQTY]","","Confirmed Qty","","000")</f>
        <v>Confirmed Qty</v>
      </c>
      <c r="K100" s="34"/>
      <c r="L100" s="34"/>
      <c r="M100" s="34"/>
      <c r="N100" s="34"/>
      <c r="O100" s="34"/>
      <c r="P100" s="34"/>
      <c r="Q100" s="34"/>
      <c r="R100" s="34"/>
      <c r="S100" s="34"/>
      <c r="T100" s="34"/>
      <c r="U100" s="34"/>
      <c r="V100" s="34"/>
    </row>
    <row r="101" spans="7:22" x14ac:dyDescent="0.4">
      <c r="G101" s="29" t="str">
        <f xml:space="preserve"> _xll.EPMOlapMemberO("[PRDID].[].[HT_005]","","HT_005","","000")</f>
        <v>HT_005</v>
      </c>
      <c r="H101" s="29" t="str">
        <f xml:space="preserve"> _xll.EPMOlapMemberO("[LOCID].[].[HD_DC_CA_E]","","HD_DC_CA_E","","000")</f>
        <v>HD_DC_CA_E</v>
      </c>
      <c r="I101" s="29" t="str">
        <f xml:space="preserve"> _xll.EPMOlapMemberO("[ABCID].[].[C]","","C","","000")</f>
        <v>C</v>
      </c>
      <c r="J101" s="29" t="str">
        <f xml:space="preserve"> _xll.EPMOlapMemberO("[KEY_FIGURES].[].[CONSENSUSDEMAND]","","Consensus Demand without Promotion","","000")</f>
        <v>Consensus Demand without Promotion</v>
      </c>
      <c r="K101" s="62"/>
      <c r="L101" s="62"/>
      <c r="M101" s="62"/>
      <c r="N101" s="62"/>
      <c r="O101" s="62"/>
      <c r="P101" s="62"/>
      <c r="Q101" s="62"/>
      <c r="R101" s="62"/>
      <c r="S101" s="62"/>
      <c r="T101" s="62"/>
      <c r="U101" s="62"/>
      <c r="V101" s="62"/>
    </row>
    <row r="102" spans="7:22" x14ac:dyDescent="0.4">
      <c r="G102" s="29"/>
      <c r="H102" s="29"/>
      <c r="I102" s="29"/>
      <c r="J102" s="29" t="str">
        <f xml:space="preserve"> _xll.EPMOlapMemberO("[KEY_FIGURES].[].[DEMANDPLANNINGQTY]","","Demand Planning Qty","","000")</f>
        <v>Demand Planning Qty</v>
      </c>
      <c r="K102" s="34">
        <v>0</v>
      </c>
      <c r="L102" s="34">
        <v>0</v>
      </c>
      <c r="M102" s="34">
        <v>0</v>
      </c>
      <c r="N102" s="34">
        <v>0</v>
      </c>
      <c r="O102" s="34">
        <v>0</v>
      </c>
      <c r="P102" s="34"/>
      <c r="Q102" s="34"/>
      <c r="R102" s="34"/>
      <c r="S102" s="34"/>
      <c r="T102" s="34"/>
      <c r="U102" s="34"/>
      <c r="V102" s="34"/>
    </row>
    <row r="103" spans="7:22" x14ac:dyDescent="0.4">
      <c r="G103" s="29"/>
      <c r="H103" s="29"/>
      <c r="I103" s="29"/>
      <c r="J103" s="29" t="str">
        <f xml:space="preserve"> _xll.EPMOlapMemberO("[KEY_FIGURES].[].[FINALCONSENSUSDEMAND]","","Consensus Demand","","000")</f>
        <v>Consensus Demand</v>
      </c>
      <c r="K103" s="34">
        <v>0</v>
      </c>
      <c r="L103" s="34">
        <v>0</v>
      </c>
      <c r="M103" s="34">
        <v>0</v>
      </c>
      <c r="N103" s="34">
        <v>0</v>
      </c>
      <c r="O103" s="34">
        <v>0</v>
      </c>
      <c r="P103" s="34"/>
      <c r="Q103" s="34"/>
      <c r="R103" s="34"/>
      <c r="S103" s="34"/>
      <c r="T103" s="34"/>
      <c r="U103" s="34"/>
      <c r="V103" s="34"/>
    </row>
    <row r="104" spans="7:22" x14ac:dyDescent="0.4">
      <c r="G104" s="29"/>
      <c r="H104" s="29"/>
      <c r="I104" s="29"/>
      <c r="J104" s="29" t="str">
        <f xml:space="preserve"> _xll.EPMOlapMemberO("[KEY_FIGURES].[].[ADJDELIVQTY]","","Delivered Qty Adjusted","","000")</f>
        <v>Delivered Qty Adjusted</v>
      </c>
      <c r="K104" s="62"/>
      <c r="L104" s="62"/>
      <c r="M104" s="62"/>
      <c r="N104" s="62"/>
      <c r="O104" s="62"/>
      <c r="P104" s="62"/>
      <c r="Q104" s="62"/>
      <c r="R104" s="62"/>
      <c r="S104" s="62"/>
      <c r="T104" s="62"/>
      <c r="U104" s="62"/>
      <c r="V104" s="62"/>
    </row>
    <row r="105" spans="7:22" x14ac:dyDescent="0.4">
      <c r="G105" s="29"/>
      <c r="H105" s="29"/>
      <c r="I105" s="29"/>
      <c r="J105" s="29" t="str">
        <f xml:space="preserve"> _xll.EPMOlapMemberO("[KEY_FIGURES].[].[ACTUALSREV]","","Actuals Revenue","","000")</f>
        <v>Actuals Revenue</v>
      </c>
      <c r="K105" s="62"/>
      <c r="L105" s="62"/>
      <c r="M105" s="62"/>
      <c r="N105" s="62"/>
      <c r="O105" s="62"/>
      <c r="P105" s="62"/>
      <c r="Q105" s="62"/>
      <c r="R105" s="62"/>
      <c r="S105" s="62"/>
      <c r="T105" s="62"/>
      <c r="U105" s="62"/>
      <c r="V105" s="62"/>
    </row>
    <row r="106" spans="7:22" x14ac:dyDescent="0.4">
      <c r="G106" s="29"/>
      <c r="H106" s="29"/>
      <c r="I106" s="29"/>
      <c r="J106" s="29" t="str">
        <f xml:space="preserve"> _xll.EPMOlapMemberO("[KEY_FIGURES].[].[CONFQTY]","","Confirmed Qty","","000")</f>
        <v>Confirmed Qty</v>
      </c>
      <c r="K106" s="34"/>
      <c r="L106" s="34"/>
      <c r="M106" s="34"/>
      <c r="N106" s="34"/>
      <c r="O106" s="34"/>
      <c r="P106" s="34"/>
      <c r="Q106" s="34"/>
      <c r="R106" s="34"/>
      <c r="S106" s="34"/>
      <c r="T106" s="34"/>
      <c r="U106" s="34"/>
      <c r="V106" s="34"/>
    </row>
    <row r="107" spans="7:22" x14ac:dyDescent="0.4">
      <c r="G107" s="29"/>
      <c r="H107" s="29" t="str">
        <f xml:space="preserve"> _xll.EPMOlapMemberO("[LOCID].[].[HD_DC_FR]","","HD_DC_FR","","000")</f>
        <v>HD_DC_FR</v>
      </c>
      <c r="I107" s="29" t="str">
        <f xml:space="preserve"> _xll.EPMOlapMemberO("[ABCID].[].[C]","","C","","000")</f>
        <v>C</v>
      </c>
      <c r="J107" s="29" t="str">
        <f xml:space="preserve"> _xll.EPMOlapMemberO("[KEY_FIGURES].[].[CONSENSUSDEMAND]","","Consensus Demand without Promotion","","000")</f>
        <v>Consensus Demand without Promotion</v>
      </c>
      <c r="K107" s="62"/>
      <c r="L107" s="62"/>
      <c r="M107" s="62"/>
      <c r="N107" s="62"/>
      <c r="O107" s="62"/>
      <c r="P107" s="62"/>
      <c r="Q107" s="62"/>
      <c r="R107" s="62"/>
      <c r="S107" s="62"/>
      <c r="T107" s="62"/>
      <c r="U107" s="62"/>
      <c r="V107" s="62"/>
    </row>
    <row r="108" spans="7:22" x14ac:dyDescent="0.4">
      <c r="G108" s="29"/>
      <c r="H108" s="29"/>
      <c r="I108" s="29"/>
      <c r="J108" s="29" t="str">
        <f xml:space="preserve"> _xll.EPMOlapMemberO("[KEY_FIGURES].[].[DEMANDPLANNINGQTY]","","Demand Planning Qty","","000")</f>
        <v>Demand Planning Qty</v>
      </c>
      <c r="K108" s="34">
        <v>0</v>
      </c>
      <c r="L108" s="34">
        <v>0</v>
      </c>
      <c r="M108" s="34">
        <v>0</v>
      </c>
      <c r="N108" s="34">
        <v>0</v>
      </c>
      <c r="O108" s="34">
        <v>0</v>
      </c>
      <c r="P108" s="34"/>
      <c r="Q108" s="34"/>
      <c r="R108" s="34"/>
      <c r="S108" s="34"/>
      <c r="T108" s="34"/>
      <c r="U108" s="34"/>
      <c r="V108" s="34"/>
    </row>
    <row r="109" spans="7:22" x14ac:dyDescent="0.4">
      <c r="G109" s="29"/>
      <c r="H109" s="29"/>
      <c r="I109" s="29"/>
      <c r="J109" s="29" t="str">
        <f xml:space="preserve"> _xll.EPMOlapMemberO("[KEY_FIGURES].[].[FINALCONSENSUSDEMAND]","","Consensus Demand","","000")</f>
        <v>Consensus Demand</v>
      </c>
      <c r="K109" s="34">
        <v>0</v>
      </c>
      <c r="L109" s="34">
        <v>0</v>
      </c>
      <c r="M109" s="34">
        <v>0</v>
      </c>
      <c r="N109" s="34">
        <v>0</v>
      </c>
      <c r="O109" s="34">
        <v>0</v>
      </c>
      <c r="P109" s="34"/>
      <c r="Q109" s="34"/>
      <c r="R109" s="34"/>
      <c r="S109" s="34"/>
      <c r="T109" s="34"/>
      <c r="U109" s="34"/>
      <c r="V109" s="34"/>
    </row>
    <row r="110" spans="7:22" x14ac:dyDescent="0.4">
      <c r="G110" s="29"/>
      <c r="H110" s="29"/>
      <c r="I110" s="29"/>
      <c r="J110" s="29" t="str">
        <f xml:space="preserve"> _xll.EPMOlapMemberO("[KEY_FIGURES].[].[ADJDELIVQTY]","","Delivered Qty Adjusted","","000")</f>
        <v>Delivered Qty Adjusted</v>
      </c>
      <c r="K110" s="62"/>
      <c r="L110" s="62"/>
      <c r="M110" s="62"/>
      <c r="N110" s="62"/>
      <c r="O110" s="62"/>
      <c r="P110" s="62"/>
      <c r="Q110" s="62"/>
      <c r="R110" s="62"/>
      <c r="S110" s="62"/>
      <c r="T110" s="62"/>
      <c r="U110" s="62"/>
      <c r="V110" s="62"/>
    </row>
    <row r="111" spans="7:22" x14ac:dyDescent="0.4">
      <c r="G111" s="29"/>
      <c r="H111" s="29"/>
      <c r="I111" s="29"/>
      <c r="J111" s="29" t="str">
        <f xml:space="preserve"> _xll.EPMOlapMemberO("[KEY_FIGURES].[].[ACTUALSREV]","","Actuals Revenue","","000")</f>
        <v>Actuals Revenue</v>
      </c>
      <c r="K111" s="62"/>
      <c r="L111" s="62"/>
      <c r="M111" s="62"/>
      <c r="N111" s="62"/>
      <c r="O111" s="62"/>
      <c r="P111" s="62"/>
      <c r="Q111" s="62"/>
      <c r="R111" s="62"/>
      <c r="S111" s="62"/>
      <c r="T111" s="62"/>
      <c r="U111" s="62"/>
      <c r="V111" s="62"/>
    </row>
    <row r="112" spans="7:22" x14ac:dyDescent="0.4">
      <c r="G112" s="29"/>
      <c r="H112" s="29"/>
      <c r="I112" s="29"/>
      <c r="J112" s="29" t="str">
        <f xml:space="preserve"> _xll.EPMOlapMemberO("[KEY_FIGURES].[].[CONFQTY]","","Confirmed Qty","","000")</f>
        <v>Confirmed Qty</v>
      </c>
      <c r="K112" s="34"/>
      <c r="L112" s="34"/>
      <c r="M112" s="34"/>
      <c r="N112" s="34"/>
      <c r="O112" s="34"/>
      <c r="P112" s="34"/>
      <c r="Q112" s="34"/>
      <c r="R112" s="34"/>
      <c r="S112" s="34"/>
      <c r="T112" s="34"/>
      <c r="U112" s="34"/>
      <c r="V112" s="34"/>
    </row>
    <row r="113" spans="7:22" x14ac:dyDescent="0.4">
      <c r="G113" s="29"/>
      <c r="H113" s="29" t="str">
        <f xml:space="preserve"> _xll.EPMOlapMemberO("[LOCID].[].[HD_DC_US_E]","","HD_DC_US_E","","000")</f>
        <v>HD_DC_US_E</v>
      </c>
      <c r="I113" s="29" t="str">
        <f xml:space="preserve"> _xll.EPMOlapMemberO("[ABCID].[].[C]","","C","","000")</f>
        <v>C</v>
      </c>
      <c r="J113" s="29" t="str">
        <f xml:space="preserve"> _xll.EPMOlapMemberO("[KEY_FIGURES].[].[CONSENSUSDEMAND]","","Consensus Demand without Promotion","","000")</f>
        <v>Consensus Demand without Promotion</v>
      </c>
      <c r="K113" s="62"/>
      <c r="L113" s="62"/>
      <c r="M113" s="62"/>
      <c r="N113" s="62"/>
      <c r="O113" s="62"/>
      <c r="P113" s="62"/>
      <c r="Q113" s="62"/>
      <c r="R113" s="62"/>
      <c r="S113" s="62"/>
      <c r="T113" s="62"/>
      <c r="U113" s="62"/>
      <c r="V113" s="62"/>
    </row>
    <row r="114" spans="7:22" x14ac:dyDescent="0.4">
      <c r="G114" s="29"/>
      <c r="H114" s="29"/>
      <c r="I114" s="29"/>
      <c r="J114" s="29" t="str">
        <f xml:space="preserve"> _xll.EPMOlapMemberO("[KEY_FIGURES].[].[DEMANDPLANNINGQTY]","","Demand Planning Qty","","000")</f>
        <v>Demand Planning Qty</v>
      </c>
      <c r="K114" s="34">
        <v>0</v>
      </c>
      <c r="L114" s="34">
        <v>0</v>
      </c>
      <c r="M114" s="34">
        <v>0</v>
      </c>
      <c r="N114" s="34">
        <v>0</v>
      </c>
      <c r="O114" s="34">
        <v>0</v>
      </c>
      <c r="P114" s="34"/>
      <c r="Q114" s="34"/>
      <c r="R114" s="34"/>
      <c r="S114" s="34"/>
      <c r="T114" s="34"/>
      <c r="U114" s="34"/>
      <c r="V114" s="34"/>
    </row>
    <row r="115" spans="7:22" x14ac:dyDescent="0.4">
      <c r="G115" s="29"/>
      <c r="H115" s="29"/>
      <c r="I115" s="29"/>
      <c r="J115" s="29" t="str">
        <f xml:space="preserve"> _xll.EPMOlapMemberO("[KEY_FIGURES].[].[FINALCONSENSUSDEMAND]","","Consensus Demand","","000")</f>
        <v>Consensus Demand</v>
      </c>
      <c r="K115" s="34">
        <v>0</v>
      </c>
      <c r="L115" s="34">
        <v>0</v>
      </c>
      <c r="M115" s="34">
        <v>0</v>
      </c>
      <c r="N115" s="34">
        <v>0</v>
      </c>
      <c r="O115" s="34">
        <v>0</v>
      </c>
      <c r="P115" s="34"/>
      <c r="Q115" s="34"/>
      <c r="R115" s="34"/>
      <c r="S115" s="34"/>
      <c r="T115" s="34"/>
      <c r="U115" s="34"/>
      <c r="V115" s="34"/>
    </row>
    <row r="116" spans="7:22" x14ac:dyDescent="0.4">
      <c r="G116" s="29"/>
      <c r="H116" s="29"/>
      <c r="I116" s="29"/>
      <c r="J116" s="29" t="str">
        <f xml:space="preserve"> _xll.EPMOlapMemberO("[KEY_FIGURES].[].[ADJDELIVQTY]","","Delivered Qty Adjusted","","000")</f>
        <v>Delivered Qty Adjusted</v>
      </c>
      <c r="K116" s="62"/>
      <c r="L116" s="62"/>
      <c r="M116" s="62"/>
      <c r="N116" s="62"/>
      <c r="O116" s="62"/>
      <c r="P116" s="62"/>
      <c r="Q116" s="62"/>
      <c r="R116" s="62"/>
      <c r="S116" s="62"/>
      <c r="T116" s="62"/>
      <c r="U116" s="62"/>
      <c r="V116" s="62"/>
    </row>
    <row r="117" spans="7:22" x14ac:dyDescent="0.4">
      <c r="G117" s="29"/>
      <c r="H117" s="29"/>
      <c r="I117" s="29"/>
      <c r="J117" s="29" t="str">
        <f xml:space="preserve"> _xll.EPMOlapMemberO("[KEY_FIGURES].[].[ACTUALSREV]","","Actuals Revenue","","000")</f>
        <v>Actuals Revenue</v>
      </c>
      <c r="K117" s="62"/>
      <c r="L117" s="62"/>
      <c r="M117" s="62"/>
      <c r="N117" s="62"/>
      <c r="O117" s="62"/>
      <c r="P117" s="62"/>
      <c r="Q117" s="62"/>
      <c r="R117" s="62"/>
      <c r="S117" s="62"/>
      <c r="T117" s="62"/>
      <c r="U117" s="62"/>
      <c r="V117" s="62"/>
    </row>
    <row r="118" spans="7:22" x14ac:dyDescent="0.4">
      <c r="G118" s="29"/>
      <c r="H118" s="29"/>
      <c r="I118" s="29"/>
      <c r="J118" s="29" t="str">
        <f xml:space="preserve"> _xll.EPMOlapMemberO("[KEY_FIGURES].[].[CONFQTY]","","Confirmed Qty","","000")</f>
        <v>Confirmed Qty</v>
      </c>
      <c r="K118" s="34"/>
      <c r="L118" s="34"/>
      <c r="M118" s="34"/>
      <c r="N118" s="34"/>
      <c r="O118" s="34"/>
      <c r="P118" s="34"/>
      <c r="Q118" s="34"/>
      <c r="R118" s="34"/>
      <c r="S118" s="34"/>
      <c r="T118" s="34"/>
      <c r="U118" s="34"/>
      <c r="V118" s="34"/>
    </row>
    <row r="119" spans="7:22" x14ac:dyDescent="0.4">
      <c r="G119" s="29"/>
      <c r="H119" s="29" t="str">
        <f xml:space="preserve"> _xll.EPMOlapMemberO("[LOCID].[].[HD_DC_US_W]","","HD_DC_US_W","","000")</f>
        <v>HD_DC_US_W</v>
      </c>
      <c r="I119" s="29" t="str">
        <f xml:space="preserve"> _xll.EPMOlapMemberO("[ABCID].[].[C]","","C","","000")</f>
        <v>C</v>
      </c>
      <c r="J119" s="29" t="str">
        <f xml:space="preserve"> _xll.EPMOlapMemberO("[KEY_FIGURES].[].[CONSENSUSDEMAND]","","Consensus Demand without Promotion","","000")</f>
        <v>Consensus Demand without Promotion</v>
      </c>
      <c r="K119" s="62"/>
      <c r="L119" s="62"/>
      <c r="M119" s="62"/>
      <c r="N119" s="62"/>
      <c r="O119" s="62"/>
      <c r="P119" s="62"/>
      <c r="Q119" s="62"/>
      <c r="R119" s="62"/>
      <c r="S119" s="62"/>
      <c r="T119" s="62"/>
      <c r="U119" s="62"/>
      <c r="V119" s="62"/>
    </row>
    <row r="120" spans="7:22" x14ac:dyDescent="0.4">
      <c r="G120" s="29"/>
      <c r="H120" s="29"/>
      <c r="I120" s="29"/>
      <c r="J120" s="29" t="str">
        <f xml:space="preserve"> _xll.EPMOlapMemberO("[KEY_FIGURES].[].[DEMANDPLANNINGQTY]","","Demand Planning Qty","","000")</f>
        <v>Demand Planning Qty</v>
      </c>
      <c r="K120" s="34">
        <v>0</v>
      </c>
      <c r="L120" s="34">
        <v>0</v>
      </c>
      <c r="M120" s="34">
        <v>0</v>
      </c>
      <c r="N120" s="34">
        <v>0</v>
      </c>
      <c r="O120" s="34">
        <v>0</v>
      </c>
      <c r="P120" s="34"/>
      <c r="Q120" s="34"/>
      <c r="R120" s="34"/>
      <c r="S120" s="34"/>
      <c r="T120" s="34"/>
      <c r="U120" s="34"/>
      <c r="V120" s="34"/>
    </row>
    <row r="121" spans="7:22" x14ac:dyDescent="0.4">
      <c r="G121" s="29"/>
      <c r="H121" s="29"/>
      <c r="I121" s="29"/>
      <c r="J121" s="29" t="str">
        <f xml:space="preserve"> _xll.EPMOlapMemberO("[KEY_FIGURES].[].[FINALCONSENSUSDEMAND]","","Consensus Demand","","000")</f>
        <v>Consensus Demand</v>
      </c>
      <c r="K121" s="34">
        <v>0</v>
      </c>
      <c r="L121" s="34">
        <v>0</v>
      </c>
      <c r="M121" s="34">
        <v>0</v>
      </c>
      <c r="N121" s="34">
        <v>0</v>
      </c>
      <c r="O121" s="34">
        <v>0</v>
      </c>
      <c r="P121" s="34"/>
      <c r="Q121" s="34"/>
      <c r="R121" s="34"/>
      <c r="S121" s="34"/>
      <c r="T121" s="34"/>
      <c r="U121" s="34"/>
      <c r="V121" s="34"/>
    </row>
    <row r="122" spans="7:22" x14ac:dyDescent="0.4">
      <c r="G122" s="29"/>
      <c r="H122" s="29"/>
      <c r="I122" s="29"/>
      <c r="J122" s="29" t="str">
        <f xml:space="preserve"> _xll.EPMOlapMemberO("[KEY_FIGURES].[].[ADJDELIVQTY]","","Delivered Qty Adjusted","","000")</f>
        <v>Delivered Qty Adjusted</v>
      </c>
      <c r="K122" s="62"/>
      <c r="L122" s="62"/>
      <c r="M122" s="62"/>
      <c r="N122" s="62"/>
      <c r="O122" s="62"/>
      <c r="P122" s="62"/>
      <c r="Q122" s="62"/>
      <c r="R122" s="62"/>
      <c r="S122" s="62"/>
      <c r="T122" s="62"/>
      <c r="U122" s="62"/>
      <c r="V122" s="62"/>
    </row>
    <row r="123" spans="7:22" x14ac:dyDescent="0.4">
      <c r="G123" s="29"/>
      <c r="H123" s="29"/>
      <c r="I123" s="29"/>
      <c r="J123" s="29" t="str">
        <f xml:space="preserve"> _xll.EPMOlapMemberO("[KEY_FIGURES].[].[ACTUALSREV]","","Actuals Revenue","","000")</f>
        <v>Actuals Revenue</v>
      </c>
      <c r="K123" s="62"/>
      <c r="L123" s="62"/>
      <c r="M123" s="62"/>
      <c r="N123" s="62"/>
      <c r="O123" s="62"/>
      <c r="P123" s="62"/>
      <c r="Q123" s="62"/>
      <c r="R123" s="62"/>
      <c r="S123" s="62"/>
      <c r="T123" s="62"/>
      <c r="U123" s="62"/>
      <c r="V123" s="62"/>
    </row>
    <row r="124" spans="7:22" x14ac:dyDescent="0.4">
      <c r="G124" s="29"/>
      <c r="H124" s="29"/>
      <c r="I124" s="29"/>
      <c r="J124" s="29" t="str">
        <f xml:space="preserve"> _xll.EPMOlapMemberO("[KEY_FIGURES].[].[CONFQTY]","","Confirmed Qty","","000")</f>
        <v>Confirmed Qty</v>
      </c>
      <c r="K124" s="34"/>
      <c r="L124" s="34"/>
      <c r="M124" s="34"/>
      <c r="N124" s="34"/>
      <c r="O124" s="34"/>
      <c r="P124" s="34"/>
      <c r="Q124" s="34"/>
      <c r="R124" s="34"/>
      <c r="S124" s="34"/>
      <c r="T124" s="34"/>
      <c r="U124" s="34"/>
      <c r="V124" s="34"/>
    </row>
  </sheetData>
  <sheetProtection autoFilter="0"/>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5</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5</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5</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5</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5</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7</xdr:col>
                <xdr:colOff>887186</xdr:colOff>
                <xdr:row>2</xdr:row>
                <xdr:rowOff>152400</xdr:rowOff>
              </from>
              <to>
                <xdr:col>8</xdr:col>
                <xdr:colOff>0</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4</xdr:row>
                <xdr:rowOff>0</xdr:rowOff>
              </from>
              <to>
                <xdr:col>11</xdr:col>
                <xdr:colOff>310243</xdr:colOff>
                <xdr:row>4</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4</xdr:row>
                <xdr:rowOff>0</xdr:rowOff>
              </from>
              <to>
                <xdr:col>11</xdr:col>
                <xdr:colOff>310243</xdr:colOff>
                <xdr:row>4</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4</xdr:row>
                <xdr:rowOff>0</xdr:rowOff>
              </from>
              <to>
                <xdr:col>11</xdr:col>
                <xdr:colOff>310243</xdr:colOff>
                <xdr:row>4</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4</xdr:row>
                <xdr:rowOff>0</xdr:rowOff>
              </from>
              <to>
                <xdr:col>11</xdr:col>
                <xdr:colOff>310243</xdr:colOff>
                <xdr:row>4</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4</xdr:row>
                <xdr:rowOff>0</xdr:rowOff>
              </from>
              <to>
                <xdr:col>11</xdr:col>
                <xdr:colOff>310243</xdr:colOff>
                <xdr:row>4</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4</xdr:row>
                <xdr:rowOff>0</xdr:rowOff>
              </from>
              <to>
                <xdr:col>11</xdr:col>
                <xdr:colOff>310243</xdr:colOff>
                <xdr:row>4</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4</xdr:row>
                <xdr:rowOff>0</xdr:rowOff>
              </from>
              <to>
                <xdr:col>11</xdr:col>
                <xdr:colOff>310243</xdr:colOff>
                <xdr:row>4</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4</xdr:row>
                <xdr:rowOff>0</xdr:rowOff>
              </from>
              <to>
                <xdr:col>11</xdr:col>
                <xdr:colOff>310243</xdr:colOff>
                <xdr:row>4</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4</xdr:row>
                <xdr:rowOff>0</xdr:rowOff>
              </from>
              <to>
                <xdr:col>11</xdr:col>
                <xdr:colOff>310243</xdr:colOff>
                <xdr:row>4</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4</xdr:row>
                <xdr:rowOff>0</xdr:rowOff>
              </from>
              <to>
                <xdr:col>11</xdr:col>
                <xdr:colOff>310243</xdr:colOff>
                <xdr:row>4</xdr:row>
                <xdr:rowOff>5443</xdr:rowOff>
              </to>
            </anchor>
          </controlPr>
        </control>
      </mc:Choice>
      <mc:Fallback>
        <control shapeId="3147" r:id="rId42"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Change ABC Code</favorite>
  <bookSettings xmlns="">
    <scenarios>
      <value>__BASELINE</value>
    </scenarios>
    <simulations>
      <value>__PLAN</value>
    </simulations>
    <planningUnits>
      <planningVersion>__BASELINE</planningVersion>
      <planningScenario>__PLAN</planningScenario>
      <timeRelativeFromDays>0</timeRelativeFromDays>
      <timeRelativeToDays>0</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value>ABCID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ABCID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
          <sortOrder>
            <sortOrderItem>__AZ</sortOrderItem>
          </sortOrder>
          <sortByDimension/>
          <dimensionId>ABCID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BEAAAARAAAABwMAAAAAAQAAACAAAAAENklCUFhMQ2xpZW50LkJQQ1Byb3h5LklCUC5Qcm94eUNsYXNzZXMuVHVubmVsRml4aW5nSW5mbwIAAAAJBAAAAAkFAAAACQYAAAAJBwAAAAkIAAAACQkAAAAJCgAAAAkLAAAACQwAAAAJDQAAAAkOAAAACQ8AAAAJEAAAAAkRAAAACRIAAAAJEwAAAAkUAAAADQ8FBAAAADZJQlBYTENsaWVudC5CUENQcm94eS5JQlAuUHJveHlDbGFzc2VzLlR1bm5lbEZpeGluZ0luZm8DAAAACEVQTVR1cGxlEk9sZEZpeGluZ0luZGljYXRvchZDdXJyZW50Rml4aW5nSW5kaWNhdG9yAwEBf1N5c3RlbS5Db2xsZWN0aW9ucy5HZW5lcmljLkxpc3RgMVtbU3lzdGVtLlN0cmluZywgbXNjb3JsaWIsIFZlcnNpb249NC4wLjAuMCwgQ3VsdHVyZT1uZXV0cmFsLCBQdWJsaWNLZXlUb2tlbj1iNzdhNWM1NjE5MzRlMDg5XV0CAAAACRUAAAAGFgAAAAExCRYAAAABBQAAAAQAAAAJFwAAAAYYAAAAATIJGAAAAAEGAAAABAAAAAkZAAAABhoAAAABMgkaAAAAAQcAAAAEAAAACRsAAAAGHAAAAAEyCRwAAAABCAAAAAQAAAAJHQAAAAYeAAAAATIJHgAAAAEJAAAABAAAAAkfAAAABiAAAAABMQkgAAAAAQoAAAAEAAAACSEAAAAGIgAAAAExCSIAAAABCwAAAAQAAAAJIwAAAAYkAAAAATEJJAAAAAEMAAAABAAAAAklAAAABiYAAAABMgkmAAAAAQ0AAAAEAAAACScAAAAGKAAAAAEyCSgAAAABDgAAAAQAAAAJKQAAAAYqAAAAATIJKgAAAAEPAAAABAAAAAkrAAAABiwAAAABMgksAAAAARAAAAAEAAAACS0AAAAGLgAAAAEyCS4AAAABEQAAAAQAAAAJLwAAAAYwAAAAATIJMAAAAAESAAAABAAAAAkxAAAABjIAAAABMgkyAAAAARMAAAAEAAAACTMAAAAGNAAAAAEyCTQAAAABFAAAAAQAAAAJNQAAAAY2AAAAATIJNgAAAAQVAAAAf1N5c3RlbS5Db2xsZWN0aW9ucy5HZW5lcmljLkxpc3RgMVtbU3lzdGVtLlN0cmluZywgbXNjb3JsaWIsIFZlcnNpb249NC4wLjAuMCwgQ3VsdHVyZT1uZXV0cmFsLCBQdWJsaWNLZXlUb2tlbj1iNzdhNWM1NjE5MzRlMDg5XV0DAAAABl9pdGVtcwVfc2l6ZQhfdmVyc2lvbgYAAAgICTcAAAAFAAAABQAAAAEXAAAAFQAAAAk4AAAABQAAAAUAAAABGQAAABUAAAAJOQAAAAUAAAAFAAAAARsAAAAVAAAACToAAAAFAAAABQAAAAEdAAAAFQAAAAk7AAAABQAAAAUAAAABHwAAABUAAAAJPAAAAAUAAAAFAAAAASEAAAAVAAAACT0AAAAFAAAABQAAAAEjAAAAFQAAAAk+AAAABQAAAAUAAAABJQAAABUAAAAJPwAAAAUAAAAFAAAAAScAAAAVAAAACUAAAAAFAAAABQAAAAEpAAAAFQAAAAlBAAAABQAAAAUAAAABKwAAABUAAAAJQgAAAAUAAAAFAAAAAS0AAAAVAAAACUMAAAAFAAAABQAAAAEvAAAAFQAAAAlEAAAABQAAAAUAAAABMQAAABUAAAAJRQAAAAUAAAAFAAAAATMAAAAVAAAACUYAAAAFAAAABQAAAAE1AAAAFQAAAAlHAAAABQAAAAUAAAARNwAAAAgAAAAGSAAAABZbUEVSSU9ESUQzXS5bXS5bNzA2MTRdBkkAAAATW1BSRElEXS5bXS5bSFRfMDAxXQZKAAAAF1tMT0NJRF0uW10uW0hEX0RDX0NBX0VdBksAAAAOW0FCQ0lEXS5bXS5bQV0GTAAAACJbS0VZX0ZJR1VSRVNdLltdLltDT05TRU5TVVNERU1BTkRdDQMROAAAAAgAAAAGTQAAABZbUEVSSU9ESUQzXS5bXS5bNzA2MTddBk4AAAATW1BSRElEXS5bXS5bSFRfMDAxXQZPAAAAF1tMT0NJRF0uW10uW0hEX0RDX0NBX0VdBlAAAAAOW0FCQ0lEXS5bXS5bQV0GUQAAACJbS0VZX0ZJR1VSRVNdLltdLltDT05TRU5TVVNERU1BTkRdDQMROQAAAAgAAAAGUgAAABZbUEVSSU9ESUQzXS5bXS5bNzA2MThdBlMAAAATW1BSRElEXS5bXS5bSFRfMDAxXQZUAAAAF1tMT0NJRF0uW10uW0hEX0RDX0NBX0VdBlUAAAAOW0FCQ0lEXS5bXS5bQV0GVgAAACJbS0VZX0ZJR1VSRVNdLltdLltDT05TRU5TVVNERU1BTkRdDQMROgAAAAgAAAAGVwAAABZbUEVSSU9ESUQzXS5bXS5bNzA2MTldBlgAAAATW1BSRElEXS5bXS5bSFRfMDAxXQZZAAAAF1tMT0NJRF0uW10uW0hEX0RDX0NBX0VdBloAAAAOW0FCQ0lEXS5bXS5bQV0GWwAAACJbS0VZX0ZJR1VSRVNdLltdLltDT05TRU5TVVNERU1BTkRdDQMROwAAAAgAAAAGXAAAABZbUEVSSU9ESUQzXS5bXS5bNzA2MjBdBl0AAAATW1BSRElEXS5bXS5bSFRfMDAxXQZeAAAAF1tMT0NJRF0uW10uW0hEX0RDX0NBX0VdBl8AAAAOW0FCQ0lEXS5bXS5bQV0GYAAAACJbS0VZX0ZJR1VSRVNdLltdLltDT05TRU5TVVNERU1BTkRdDQMRPAAAAAgAAAAGYQAAABZbUEVSSU9ESUQzXS5bXS5bNzA2MjFdBmIAAAATW1BSRElEXS5bXS5bSFRfMDAxXQZjAAAAF1tMT0NJRF0uW10uW0hEX0RDX0NBX0VdBmQAAAAOW0FCQ0lEXS5bXS5bQV0GZQAAACJbS0VZX0ZJR1VSRVNdLltdLltDT05TRU5TVVNERU1BTkRdDQMRPQAAAAgAAAAGZgAAABZbUEVSSU9ESUQzXS5bXS5bNzA2MjJdBmcAAAATW1BSRElEXS5bXS5bSFRfMDAxXQZoAAAAF1tMT0NJRF0uW10uW0hEX0RDX0NBX0VdBmkAAAAOW0FCQ0lEXS5bXS5bQV0GagAAACJbS0VZX0ZJR1VSRVNdLltdLltDT05TRU5TVVNERU1BTkRdDQMRPgAAAAgAAAAGawAAABZbUEVSSU9ESUQzXS5bXS5bNzA2MjNdBmwAAAATW1BSRElEXS5bXS5bSFRfMDAxXQZtAAAAF1tMT0NJRF0uW10uW0hEX0RDX0NBX0VdBm4AAAAOW0FCQ0lEXS5bXS5bQV0GbwAAACJbS0VZX0ZJR1VSRVNdLltdLltDT05TRU5TVVNERU1BTkRdDQMRPwAAAAgAAAAGcAAAABZbUEVSSU9ESUQzXS5bXS5bNzA2MTNdBnEAAAATW1BSRElEXS5bXS5bSFRfMDAxXQZyAAAAFVtMT0NJRF0uW10uW0hEX0RDX0ZSXQZzAAAADltBQkNJRF0uW10uW0FdBnQAAAAiW0tFWV9GSUdVUkVTXS5bXS5bQ09OU0VOU1VTREVNQU5EXQ0DEUAAAAAIAAAABnUAAAAWW1BFUklPRElEM10uW10uWzcwNjE1XQZ2AAAAE1tQUkRJRF0uW10uW0hUXzAwMV0GdwAAABVbTE9DSURdLltdLltIRF9EQ19GUl0GeAAAAA5bQUJDSURdLltdLltBXQZ5AAAAIltLRVlfRklHVVJFU10uW10uW0NPTlNFTlNVU0RFTUFORF0NAxFBAAAACAAAAAZ6AAAAFltQRVJJT0RJRDNdLltdLls3MDYxNl0GewAAABNbUFJESURdLltdLltIVF8wMDFdBnwAAAAVW0xPQ0lEXS5bXS5bSERfRENfRlJdBn0AAAAOW0FCQ0lEXS5bXS5bQV0GfgAAACJbS0VZX0ZJR1VSRVNdLltdLltDT05TRU5TVVNERU1BTkRdDQMRQgAAAAgAAAAGfwAAABZbUEVSSU9ESUQzXS5bXS5bNzA2MTddBoAAAAATW1BSRElEXS5bXS5bSFRfMDAxXQaBAAAAFVtMT0NJRF0uW10uW0hEX0RDX0ZSXQaCAAAADltBQkNJRF0uW10uW0FdBoMAAAAiW0tFWV9GSUdVUkVTXS5bXS5bQ09OU0VOU1VTREVNQU5EXQ0DEUMAAAAIAAAABoQAAAAWW1BFUklPRElEM10uW10uWzcwNjE4XQaFAAAAE1tQUkRJRF0uW10uW0hUXzAwMV0GhgAAABVbTE9DSURdLltdLltIRF9EQ19GUl0GhwAAAA5bQUJDSURdLltdLltBXQaIAAAAIltLRVlfRklHVVJFU10uW10uW0NPTlNFTlNVU0RFTUFORF0NAxFEAAAACAAAAAaJAAAAFltQRVJJT0RJRDNdLltdLls3MDYxNF0GigAAABNbUFJESURdLltdLltIVF8wMDFdBosAAAAXW0xPQ0lEXS5bXS5bSERfRENfVVNfRV0GjAAAAA5bQUJDSURdLltdLltBXQaNAAAAIltLRVlfRklHVVJFU10uW10uW0NPTlNFTlNVU0RFTUFORF0NAxFFAAAACAAAAAaOAAAAFltQRVJJT0RJRDNdLltdLls3MDYxNl0GjwAAABNbUFJESURdLltdLltIVF8wMDFdBpAAAAAXW0xPQ0lEXS5bXS5bSERfRENfVVNfRV0GkQAAAA5bQUJDSURdLltdLltBXQaSAAAAIltLRVlfRklHVVJFU10uW10uW0NPTlNFTlNVU0RFTUFORF0NAxFGAAAACAAAAAaTAAAAFltQRVJJT0RJRDNdLltdLls3MDYxN10GlAAAABNbUFJESURdLltdLltIVF8wMDFdBpUAAAAXW0xPQ0lEXS5bXS5bSERfRENfVVNfRV0GlgAAAA5bQUJDSURdLltdLltBXQaXAAAAIltLRVlfRklHVVJFU10uW10uW0NPTlNFTlNVU0RFTUFORF0NAxFHAAAACAAAAAaYAAAAFltQRVJJT0RJRDNdLltdLls3MDYxOF0GmQAAABNbUFJESURdLltdLltIVF8wMDFdBpoAAAAXW0xPQ0lEXS5bXS5bSERfRENfVVNfRV0GmwAAAA5bQUJDSURdLltdLltBXQacAAAAIltLRVlfRklHVVJFU10uW10uW0NPTlNFTlNVU0RFTUFORF0NAws=</fixingInfos>
    <fixingInfosDCS>H4sIAAAAAAAACuyba28SQRSGz08hfi+3VtAGaXABbYRiqk00jWkaLi1J2RK2WvTHq88ZtroBbFFM3HFPNjM7O5fznjkzb+a6377W5EDmMpErycknGcpMIhnLtYTyTB5JSfJS5J0jJZQ+8QNSQ7lwqR/lRkayQ64KXwdSl5o0kDCTc/ksPdLekifkGSK/Tcl5XPoQf4S0XIwdgrpPmkq9ROqNTPku8Ny6J4/bxb9G9gWxZbQqgluQd9KVjrxBt0tQJiDvOIwIGedO56HT/yfOKkaUKB2BMuCtpbW+ISGtT5/3Mv4eoaJU8Q/lubxGl44EoIydtTS/xga4GSXn2CQf58wn4rSE4kaUitBNrfiQ3TRPQB619QJrOZe2U9/VQ3WuY6saev5emZq00LPrtJmiyXCpvQa0yRTJD1t04iRrjSPcyNlGrTv5YctdQiXeBdpSe+GYkmrJL06fRY8sJHrXnaXudNh3LT6La1OXUzRvyTH16kkTv0m+D6Cexn4VrArl9vhWy/xKzv0Ix7HspOSX2Oss7p9/LruD3sEa2U1kN0k5wzXwW1tgNOiLqxiNLSS+Qp/3aNVG6gs5wT4t2jMpPaBeR8S1nH+CaxLugnrk9LgfubDSIzW2R2iwIQM2y6s5N+Hg3+dp2Xi6lqdV42lGeLpggPHUz/H0ifHUeGrjaep5+tR4ajw1nqacp4pt61Ob96ZnfWr7SOt5us1ej+0j+bQ+LXmxPl1oafu9yzwtG08zMp4aT/09lym7WBtPjadpGU/tXGb9PpK/PG2Dbmendibz/99xeGwczcB8185NfeZoxThqHLW5bqo56u8dJJvr2jiajfu8/t4/att61Oa6meCov3fudT1nd+6Np9ngqb9rUuOp7R1l5x82f9elxlPjaXZ46u/a1Hh69c/PYpI9cpN/6+vyHQAA//8=</fixingInfosDCS>
  </report_Sheet2>
</config>
</file>

<file path=customXml/itemProps1.xml><?xml version="1.0" encoding="utf-8"?>
<ds:datastoreItem xmlns:ds="http://schemas.openxmlformats.org/officeDocument/2006/customXml" ds:itemID="{C7CB631A-40CF-4C8D-9220-784CC3D120C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2022-04-28T11:58:43Z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8cf7e3fb-fda4-4fe6-b977-b579ead92bed</vt:lpwstr>
  </property>
</Properties>
</file>